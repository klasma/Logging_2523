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31333-2025</t>
        </is>
      </c>
      <c r="B2" t="inlineStr">
        <is>
          <t>avverkningsanmälan</t>
        </is>
      </c>
      <c r="C2" t="inlineStr">
        <is>
          <t>Föryngringsavverkning</t>
        </is>
      </c>
      <c r="D2" s="1" t="n">
        <v>45832</v>
      </c>
      <c r="E2" s="1" t="n">
        <v>46307</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t="n">
        <v>226</v>
      </c>
      <c r="V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2">
        <f>HYPERLINK("https://klasma.github.io/Logging_2523/artfynd/A 31333-2025 artfynd.xlsx", "A 31333-2025")</f>
        <v/>
      </c>
      <c r="X2">
        <f>HYPERLINK("https://klasma.github.io/Logging_2523/kartor/A 31333-2025 karta.png", "A 31333-2025")</f>
        <v/>
      </c>
      <c r="Y2">
        <f>HYPERLINK("https://klasma.github.io/Logging_2523/kartor_geotiff/A 31333-2025 georefererad karta.tif", "A 31333-2025")</f>
        <v/>
      </c>
      <c r="AA2">
        <f>HYPERLINK("https://klasma.github.io/Logging_2523/klagomål/A 31333-2025 FSC-klagomål.docx", "A 31333-2025")</f>
        <v/>
      </c>
      <c r="AB2">
        <f>HYPERLINK("https://klasma.github.io/Logging_2523/klagomålsmail/A 31333-2025 FSC-klagomål mail.docx", "A 31333-2025")</f>
        <v/>
      </c>
      <c r="AC2">
        <f>HYPERLINK("https://klasma.github.io/Logging_2523/tillsyn/A 31333-2025 tillsynsbegäran.docx", "A 31333-2025")</f>
        <v/>
      </c>
      <c r="AD2">
        <f>HYPERLINK("https://klasma.github.io/Logging_2523/tillsynsmail/A 31333-2025 tillsynsbegäran mail.docx", "A 31333-2025")</f>
        <v/>
      </c>
      <c r="AE2">
        <f>HYPERLINK("https://klasma.github.io/Logging_2523/fåglar/A 31333-2025 prioriterade fågelarter.docx", "A 31333-2025")</f>
        <v/>
      </c>
    </row>
    <row r="3" ht="15" customHeight="1">
      <c r="A3" t="inlineStr">
        <is>
          <t>A 18784-2024</t>
        </is>
      </c>
      <c r="B3" t="inlineStr">
        <is>
          <t>avverkningsanmälan</t>
        </is>
      </c>
      <c r="C3" t="inlineStr">
        <is>
          <t>Avverkning för annat ändamål</t>
        </is>
      </c>
      <c r="D3" s="1" t="n">
        <v>45426</v>
      </c>
      <c r="E3" s="1" t="n">
        <v>46307</v>
      </c>
      <c r="F3" t="inlineStr">
        <is>
          <t>NORRBOTTENS LÄN</t>
        </is>
      </c>
      <c r="G3" t="inlineStr">
        <is>
          <t>GÄLLIVARE</t>
        </is>
      </c>
      <c r="H3" t="inlineStr">
        <is>
          <t>Övriga statliga verk och myndigheter</t>
        </is>
      </c>
      <c r="I3" t="n">
        <v>20.3</v>
      </c>
      <c r="J3" t="n">
        <v>16</v>
      </c>
      <c r="K3" t="n">
        <v>4</v>
      </c>
      <c r="L3" t="n">
        <v>10</v>
      </c>
      <c r="M3" t="n">
        <v>3</v>
      </c>
      <c r="N3" t="n">
        <v>0</v>
      </c>
      <c r="O3" t="n">
        <v>0</v>
      </c>
      <c r="P3" t="n">
        <v>0</v>
      </c>
      <c r="Q3" t="n">
        <v>13</v>
      </c>
      <c r="R3" t="n">
        <v>3</v>
      </c>
      <c r="S3" t="n">
        <v>22</v>
      </c>
      <c r="T3" t="n">
        <v>126</v>
      </c>
      <c r="U3" t="n">
        <v>0</v>
      </c>
      <c r="V3" s="2" t="inlineStr">
        <is>
          <t>Grönfink
Knärot
Tornseglare
Björktrast
Blåhake
Gulsparv
Järnsparv
Rosenticka
Rödvingetrast
Sädesärla
Ullticka
Violmussling
Äggvaxskivling
Korallrot
Luddlav
Spindelblomster
Stuplav
Järpe
Grönsiska
Kungsfågel
Ärtsångare
Revlummer</t>
        </is>
      </c>
      <c r="W3">
        <f>HYPERLINK("https://klasma.github.io/Logging_2523/artfynd/A 18784-2024 artfynd.xlsx", "A 18784-2024")</f>
        <v/>
      </c>
      <c r="X3">
        <f>HYPERLINK("https://klasma.github.io/Logging_2523/kartor/A 18784-2024 karta.png", "A 18784-2024")</f>
        <v/>
      </c>
      <c r="Y3">
        <f>HYPERLINK("https://klasma.github.io/Logging_2523/kartor_geotiff/A 18784-2024 georefererad karta.tif", "A 18784-2024")</f>
        <v/>
      </c>
      <c r="Z3">
        <f>HYPERLINK("https://klasma.github.io/Logging_2523/knärot/A 18784-2024 karta knärot.png", "A 18784-2024")</f>
        <v/>
      </c>
      <c r="AA3">
        <f>HYPERLINK("https://klasma.github.io/Logging_2523/klagomål/A 18784-2024 FSC-klagomål.docx", "A 18784-2024")</f>
        <v/>
      </c>
      <c r="AB3">
        <f>HYPERLINK("https://klasma.github.io/Logging_2523/klagomålsmail/A 18784-2024 FSC-klagomål mail.docx", "A 18784-2024")</f>
        <v/>
      </c>
      <c r="AC3">
        <f>HYPERLINK("https://klasma.github.io/Logging_2523/tillsyn/A 18784-2024 tillsynsbegäran.docx", "A 18784-2024")</f>
        <v/>
      </c>
      <c r="AD3">
        <f>HYPERLINK("https://klasma.github.io/Logging_2523/tillsynsmail/A 18784-2024 tillsynsbegäran mail.docx", "A 18784-2024")</f>
        <v/>
      </c>
      <c r="AE3">
        <f>HYPERLINK("https://klasma.github.io/Logging_2523/fåglar/A 18784-2024 prioriterade fågelarter.docx", "A 18784-2024")</f>
        <v/>
      </c>
    </row>
    <row r="4" ht="15" customHeight="1">
      <c r="A4" t="inlineStr">
        <is>
          <t>A 36345-2022</t>
        </is>
      </c>
      <c r="B4" t="inlineStr">
        <is>
          <t>avverkningsanmälan</t>
        </is>
      </c>
      <c r="C4" t="inlineStr">
        <is>
          <t>Föryngringsavverkning</t>
        </is>
      </c>
      <c r="D4" s="1" t="n">
        <v>44803</v>
      </c>
      <c r="E4" s="1" t="n">
        <v>46307</v>
      </c>
      <c r="F4" t="inlineStr">
        <is>
          <t>NORRBOTTENS LÄN</t>
        </is>
      </c>
      <c r="G4" t="inlineStr">
        <is>
          <t>GÄLLIVARE</t>
        </is>
      </c>
      <c r="H4" t="inlineStr">
        <is>
          <t>Övriga statliga verk och myndigheter</t>
        </is>
      </c>
      <c r="I4" t="n">
        <v>249</v>
      </c>
      <c r="J4" t="n">
        <v>7</v>
      </c>
      <c r="K4" t="n">
        <v>3</v>
      </c>
      <c r="L4" t="n">
        <v>13</v>
      </c>
      <c r="M4" t="n">
        <v>1</v>
      </c>
      <c r="N4" t="n">
        <v>0</v>
      </c>
      <c r="O4" t="n">
        <v>0</v>
      </c>
      <c r="P4" t="n">
        <v>0</v>
      </c>
      <c r="Q4" t="n">
        <v>14</v>
      </c>
      <c r="R4" t="n">
        <v>1</v>
      </c>
      <c r="S4" t="n">
        <v>20</v>
      </c>
      <c r="T4" t="n">
        <v>44</v>
      </c>
      <c r="U4" t="n">
        <v>44</v>
      </c>
      <c r="V4"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
        <f>HYPERLINK("https://klasma.github.io/Logging_2523/artfynd/A 36345-2022 artfynd.xlsx", "A 36345-2022")</f>
        <v/>
      </c>
      <c r="X4">
        <f>HYPERLINK("https://klasma.github.io/Logging_2523/kartor/A 36345-2022 karta.png", "A 36345-2022")</f>
        <v/>
      </c>
      <c r="Y4">
        <f>HYPERLINK("https://klasma.github.io/Logging_2523/kartor_geotiff/A 36345-2022 georefererad karta.tif", "A 36345-2022")</f>
        <v/>
      </c>
      <c r="AA4">
        <f>HYPERLINK("https://klasma.github.io/Logging_2523/klagomål/A 36345-2022 FSC-klagomål.docx", "A 36345-2022")</f>
        <v/>
      </c>
      <c r="AB4">
        <f>HYPERLINK("https://klasma.github.io/Logging_2523/klagomålsmail/A 36345-2022 FSC-klagomål mail.docx", "A 36345-2022")</f>
        <v/>
      </c>
      <c r="AC4">
        <f>HYPERLINK("https://klasma.github.io/Logging_2523/tillsyn/A 36345-2022 tillsynsbegäran.docx", "A 36345-2022")</f>
        <v/>
      </c>
      <c r="AD4">
        <f>HYPERLINK("https://klasma.github.io/Logging_2523/tillsynsmail/A 36345-2022 tillsynsbegäran mail.docx", "A 36345-2022")</f>
        <v/>
      </c>
      <c r="AE4">
        <f>HYPERLINK("https://klasma.github.io/Logging_2523/fåglar/A 36345-2022 prioriterade fågelarter.docx", "A 36345-2022")</f>
        <v/>
      </c>
    </row>
    <row r="5" ht="15" customHeight="1">
      <c r="A5" t="inlineStr">
        <is>
          <t>A 31283-2025</t>
        </is>
      </c>
      <c r="B5" t="inlineStr">
        <is>
          <t>avverkningsanmälan</t>
        </is>
      </c>
      <c r="C5" t="inlineStr">
        <is>
          <t>Föryngringsavverkning</t>
        </is>
      </c>
      <c r="D5" s="1" t="n">
        <v>45832</v>
      </c>
      <c r="E5" s="1" t="n">
        <v>46307</v>
      </c>
      <c r="F5" t="inlineStr">
        <is>
          <t>NORRBOTTENS LÄN</t>
        </is>
      </c>
      <c r="G5" t="inlineStr">
        <is>
          <t>GÄLLIVARE</t>
        </is>
      </c>
      <c r="H5" t="inlineStr">
        <is>
          <t>Allmännings- och besparingsskogar</t>
        </is>
      </c>
      <c r="I5" t="n">
        <v>16.6</v>
      </c>
      <c r="J5" t="n">
        <v>7</v>
      </c>
      <c r="K5" t="n">
        <v>1</v>
      </c>
      <c r="L5" t="n">
        <v>12</v>
      </c>
      <c r="M5" t="n">
        <v>2</v>
      </c>
      <c r="N5" t="n">
        <v>0</v>
      </c>
      <c r="O5" t="n">
        <v>0</v>
      </c>
      <c r="P5" t="n">
        <v>0</v>
      </c>
      <c r="Q5" t="n">
        <v>14</v>
      </c>
      <c r="R5" t="n">
        <v>2</v>
      </c>
      <c r="S5" t="n">
        <v>18</v>
      </c>
      <c r="T5" t="n">
        <v>125</v>
      </c>
      <c r="U5" t="n">
        <v>125</v>
      </c>
      <c r="V5" s="2" t="inlineStr">
        <is>
          <t>Garnlav
Gräddporing
Blanksvart spiklav
Blågrå svartspik
Dropptaggsvamp
Dvärgbägarlav
Kolflarnlav
Kortskaftad ärgspik
Lavskrika
Talltagel
Talltita
Tretåig hackspett
Vedflamlav
Vedskivlav
Plattlummer
Spillkråka
Tjäder
Kungsfågel</t>
        </is>
      </c>
      <c r="W5">
        <f>HYPERLINK("https://klasma.github.io/Logging_2523/artfynd/A 31283-2025 artfynd.xlsx", "A 31283-2025")</f>
        <v/>
      </c>
      <c r="X5">
        <f>HYPERLINK("https://klasma.github.io/Logging_2523/kartor/A 31283-2025 karta.png", "A 31283-2025")</f>
        <v/>
      </c>
      <c r="Y5">
        <f>HYPERLINK("https://klasma.github.io/Logging_2523/kartor_geotiff/A 31283-2025 georefererad karta.tif", "A 31283-2025")</f>
        <v/>
      </c>
      <c r="AA5">
        <f>HYPERLINK("https://klasma.github.io/Logging_2523/klagomål/A 31283-2025 FSC-klagomål.docx", "A 31283-2025")</f>
        <v/>
      </c>
      <c r="AB5">
        <f>HYPERLINK("https://klasma.github.io/Logging_2523/klagomålsmail/A 31283-2025 FSC-klagomål mail.docx", "A 31283-2025")</f>
        <v/>
      </c>
      <c r="AC5">
        <f>HYPERLINK("https://klasma.github.io/Logging_2523/tillsyn/A 31283-2025 tillsynsbegäran.docx", "A 31283-2025")</f>
        <v/>
      </c>
      <c r="AD5">
        <f>HYPERLINK("https://klasma.github.io/Logging_2523/tillsynsmail/A 31283-2025 tillsynsbegäran mail.docx", "A 31283-2025")</f>
        <v/>
      </c>
      <c r="AE5">
        <f>HYPERLINK("https://klasma.github.io/Logging_2523/fåglar/A 31283-2025 prioriterade fågelarter.docx", "A 31283-2025")</f>
        <v/>
      </c>
    </row>
    <row r="6" ht="15" customHeight="1">
      <c r="A6" t="inlineStr">
        <is>
          <t>A 23357-2024</t>
        </is>
      </c>
      <c r="B6" t="inlineStr">
        <is>
          <t>avverkningsanmälan</t>
        </is>
      </c>
      <c r="C6" t="inlineStr">
        <is>
          <t>Föryngringsavverkning</t>
        </is>
      </c>
      <c r="D6" s="1" t="n">
        <v>45453</v>
      </c>
      <c r="E6" s="1" t="n">
        <v>46307</v>
      </c>
      <c r="F6" t="inlineStr">
        <is>
          <t>NORRBOTTENS LÄN</t>
        </is>
      </c>
      <c r="G6" t="inlineStr">
        <is>
          <t>GÄLLIVARE</t>
        </is>
      </c>
      <c r="H6" t="inlineStr">
        <is>
          <t>Allmännings- och besparingsskogar</t>
        </is>
      </c>
      <c r="I6" t="n">
        <v>16.5</v>
      </c>
      <c r="J6" t="n">
        <v>5</v>
      </c>
      <c r="K6" t="n">
        <v>4</v>
      </c>
      <c r="L6" t="n">
        <v>7</v>
      </c>
      <c r="M6" t="n">
        <v>3</v>
      </c>
      <c r="N6" t="n">
        <v>0</v>
      </c>
      <c r="O6" t="n">
        <v>0</v>
      </c>
      <c r="P6" t="n">
        <v>0</v>
      </c>
      <c r="Q6" t="n">
        <v>10</v>
      </c>
      <c r="R6" t="n">
        <v>3</v>
      </c>
      <c r="S6" t="n">
        <v>17</v>
      </c>
      <c r="T6" t="n">
        <v>78</v>
      </c>
      <c r="U6" t="n">
        <v>78</v>
      </c>
      <c r="V6" s="2" t="inlineStr">
        <is>
          <t>Garnlav
Knärot
Tallgråticka
Dropptaggsvamp
Dvärgbägarlav
Gammelgransskål
Lunglav
Mörk kolflarnlav
Vedskivlav
Vedtrappmossa
Källpraktmossa
Plattlummer
Skinnlav
Stuplav
Tjäder
Fläcknycklar
Revlummer</t>
        </is>
      </c>
      <c r="W6">
        <f>HYPERLINK("https://klasma.github.io/Logging_2523/artfynd/A 23357-2024 artfynd.xlsx", "A 23357-2024")</f>
        <v/>
      </c>
      <c r="X6">
        <f>HYPERLINK("https://klasma.github.io/Logging_2523/kartor/A 23357-2024 karta.png", "A 23357-2024")</f>
        <v/>
      </c>
      <c r="Y6">
        <f>HYPERLINK("https://klasma.github.io/Logging_2523/kartor_geotiff/A 23357-2024 georefererad karta.tif", "A 23357-2024")</f>
        <v/>
      </c>
      <c r="Z6">
        <f>HYPERLINK("https://klasma.github.io/Logging_2523/knärot/A 23357-2024 karta knärot.png", "A 23357-2024")</f>
        <v/>
      </c>
      <c r="AA6">
        <f>HYPERLINK("https://klasma.github.io/Logging_2523/klagomål/A 23357-2024 FSC-klagomål.docx", "A 23357-2024")</f>
        <v/>
      </c>
      <c r="AB6">
        <f>HYPERLINK("https://klasma.github.io/Logging_2523/klagomålsmail/A 23357-2024 FSC-klagomål mail.docx", "A 23357-2024")</f>
        <v/>
      </c>
      <c r="AC6">
        <f>HYPERLINK("https://klasma.github.io/Logging_2523/tillsyn/A 23357-2024 tillsynsbegäran.docx", "A 23357-2024")</f>
        <v/>
      </c>
      <c r="AD6">
        <f>HYPERLINK("https://klasma.github.io/Logging_2523/tillsynsmail/A 23357-2024 tillsynsbegäran mail.docx", "A 23357-2024")</f>
        <v/>
      </c>
      <c r="AE6">
        <f>HYPERLINK("https://klasma.github.io/Logging_2523/fåglar/A 23357-2024 prioriterade fågelarter.docx", "A 23357-2024")</f>
        <v/>
      </c>
    </row>
    <row r="7" ht="15" customHeight="1">
      <c r="A7" t="inlineStr">
        <is>
          <t>A 37043-2026</t>
        </is>
      </c>
      <c r="B7" t="inlineStr">
        <is>
          <t>avverkningsanmälan</t>
        </is>
      </c>
      <c r="C7" t="inlineStr">
        <is>
          <t>Föryngringsavverkning</t>
        </is>
      </c>
      <c r="D7" s="1" t="n">
        <v>46273</v>
      </c>
      <c r="E7" s="1" t="n">
        <v>46307</v>
      </c>
      <c r="F7" t="inlineStr">
        <is>
          <t>NORRBOTTENS LÄN</t>
        </is>
      </c>
      <c r="G7" t="inlineStr">
        <is>
          <t>GÄLLIVARE</t>
        </is>
      </c>
      <c r="H7" t="inlineStr">
        <is>
          <t>Sveaskog</t>
        </is>
      </c>
      <c r="I7" t="n">
        <v>20.9</v>
      </c>
      <c r="J7" t="n">
        <v>2</v>
      </c>
      <c r="K7" t="n">
        <v>0</v>
      </c>
      <c r="L7" t="n">
        <v>9</v>
      </c>
      <c r="M7" t="n">
        <v>5</v>
      </c>
      <c r="N7" t="n">
        <v>0</v>
      </c>
      <c r="O7" t="n">
        <v>0</v>
      </c>
      <c r="P7" t="n">
        <v>0</v>
      </c>
      <c r="Q7" t="n">
        <v>14</v>
      </c>
      <c r="R7" t="n">
        <v>5</v>
      </c>
      <c r="S7" t="n">
        <v>14</v>
      </c>
      <c r="T7" t="n">
        <v>24</v>
      </c>
      <c r="U7" t="n">
        <v>24</v>
      </c>
      <c r="V7" s="2" t="inlineStr">
        <is>
          <t>Garnlav
Smalfotad taggsvamp
Spadskinn
Tajgataggsvamp
Torrmusseron
Blanksvart spiklav
Blå taggsvamp
Dropptaggsvamp
Lavskrika
Nordtagging
Svartvit taggsvamp
Tretåig hackspett
Vaddporing
Vedflamlav</t>
        </is>
      </c>
      <c r="W7">
        <f>HYPERLINK("https://klasma.github.io/Logging_2523/artfynd/A 37043-2026 artfynd.xlsx", "A 37043-2026")</f>
        <v/>
      </c>
      <c r="X7">
        <f>HYPERLINK("https://klasma.github.io/Logging_2523/kartor/A 37043-2026 karta.png", "A 37043-2026")</f>
        <v/>
      </c>
      <c r="Y7">
        <f>HYPERLINK("https://klasma.github.io/Logging_2523/kartor_geotiff/A 37043-2026 georefererad karta.tif", "A 37043-2026")</f>
        <v/>
      </c>
      <c r="AA7">
        <f>HYPERLINK("https://klasma.github.io/Logging_2523/klagomål/A 37043-2026 FSC-klagomål.docx", "A 37043-2026")</f>
        <v/>
      </c>
      <c r="AB7">
        <f>HYPERLINK("https://klasma.github.io/Logging_2523/klagomålsmail/A 37043-2026 FSC-klagomål mail.docx", "A 37043-2026")</f>
        <v/>
      </c>
      <c r="AC7">
        <f>HYPERLINK("https://klasma.github.io/Logging_2523/tillsyn/A 37043-2026 tillsynsbegäran.docx", "A 37043-2026")</f>
        <v/>
      </c>
      <c r="AD7">
        <f>HYPERLINK("https://klasma.github.io/Logging_2523/tillsynsmail/A 37043-2026 tillsynsbegäran mail.docx", "A 37043-2026")</f>
        <v/>
      </c>
      <c r="AE7">
        <f>HYPERLINK("https://klasma.github.io/Logging_2523/fåglar/A 37043-2026 prioriterade fågelarter.docx", "A 37043-2026")</f>
        <v/>
      </c>
    </row>
    <row r="8" ht="15" customHeight="1">
      <c r="A8" t="inlineStr">
        <is>
          <t>A 37171-2026</t>
        </is>
      </c>
      <c r="B8" t="inlineStr">
        <is>
          <t>avverkningsanmälan</t>
        </is>
      </c>
      <c r="C8" t="inlineStr">
        <is>
          <t>Föryngringsavverkning</t>
        </is>
      </c>
      <c r="D8" s="1" t="n">
        <v>46274</v>
      </c>
      <c r="E8" s="1" t="n">
        <v>46307</v>
      </c>
      <c r="F8" t="inlineStr">
        <is>
          <t>NORRBOTTENS LÄN</t>
        </is>
      </c>
      <c r="G8" t="inlineStr">
        <is>
          <t>GÄLLIVARE</t>
        </is>
      </c>
      <c r="H8" t="inlineStr">
        <is>
          <t>Allmännings- och besparingsskogar</t>
        </is>
      </c>
      <c r="I8" t="n">
        <v>21.6</v>
      </c>
      <c r="J8" t="n">
        <v>4</v>
      </c>
      <c r="K8" t="n">
        <v>6</v>
      </c>
      <c r="L8" t="n">
        <v>4</v>
      </c>
      <c r="M8" t="n">
        <v>2</v>
      </c>
      <c r="N8" t="n">
        <v>0</v>
      </c>
      <c r="O8" t="n">
        <v>0</v>
      </c>
      <c r="P8" t="n">
        <v>0</v>
      </c>
      <c r="Q8" t="n">
        <v>6</v>
      </c>
      <c r="R8" t="n">
        <v>2</v>
      </c>
      <c r="S8" t="n">
        <v>14</v>
      </c>
      <c r="T8" t="n">
        <v>46</v>
      </c>
      <c r="U8" t="n">
        <v>0</v>
      </c>
      <c r="V8" s="2" t="inlineStr">
        <is>
          <t>Garnlav
Knärot
Gammelgransskål
Lunglav
Rosenticka
Ullticka
Bronshjon
Bårdlav
Luddlav
Spindelblomster
Stuplav
Trådticka
Fläcknycklar
Revlummer</t>
        </is>
      </c>
      <c r="W8">
        <f>HYPERLINK("https://klasma.github.io/Logging_2523/artfynd/A 37171-2026 artfynd.xlsx", "A 37171-2026")</f>
        <v/>
      </c>
      <c r="X8">
        <f>HYPERLINK("https://klasma.github.io/Logging_2523/kartor/A 37171-2026 karta.png", "A 37171-2026")</f>
        <v/>
      </c>
      <c r="Y8">
        <f>HYPERLINK("https://klasma.github.io/Logging_2523/kartor_geotiff/A 37171-2026 georefererad karta.tif", "A 37171-2026")</f>
        <v/>
      </c>
      <c r="Z8">
        <f>HYPERLINK("https://klasma.github.io/Logging_2523/knärot/A 37171-2026 karta knärot.png", "A 37171-2026")</f>
        <v/>
      </c>
      <c r="AA8">
        <f>HYPERLINK("https://klasma.github.io/Logging_2523/klagomål/A 37171-2026 FSC-klagomål.docx", "A 37171-2026")</f>
        <v/>
      </c>
      <c r="AB8">
        <f>HYPERLINK("https://klasma.github.io/Logging_2523/klagomålsmail/A 37171-2026 FSC-klagomål mail.docx", "A 37171-2026")</f>
        <v/>
      </c>
      <c r="AC8">
        <f>HYPERLINK("https://klasma.github.io/Logging_2523/tillsyn/A 37171-2026 tillsynsbegäran.docx", "A 37171-2026")</f>
        <v/>
      </c>
      <c r="AD8">
        <f>HYPERLINK("https://klasma.github.io/Logging_2523/tillsynsmail/A 37171-2026 tillsynsbegäran mail.docx", "A 37171-2026")</f>
        <v/>
      </c>
    </row>
    <row r="9" ht="15" customHeight="1">
      <c r="A9" t="inlineStr">
        <is>
          <t>A 50584-2025</t>
        </is>
      </c>
      <c r="B9" t="inlineStr">
        <is>
          <t>avverkningsanmälan</t>
        </is>
      </c>
      <c r="C9" t="inlineStr">
        <is>
          <t>Föryngringsavverkning</t>
        </is>
      </c>
      <c r="D9" s="1" t="n">
        <v>45945</v>
      </c>
      <c r="E9" s="1" t="n">
        <v>46307</v>
      </c>
      <c r="F9" t="inlineStr">
        <is>
          <t>NORRBOTTENS LÄN</t>
        </is>
      </c>
      <c r="G9" t="inlineStr">
        <is>
          <t>GÄLLIVARE</t>
        </is>
      </c>
      <c r="H9" t="inlineStr">
        <is>
          <t>Sveaskog</t>
        </is>
      </c>
      <c r="I9" t="n">
        <v>14.8</v>
      </c>
      <c r="J9" t="n">
        <v>4</v>
      </c>
      <c r="K9" t="n">
        <v>4</v>
      </c>
      <c r="L9" t="n">
        <v>4</v>
      </c>
      <c r="M9" t="n">
        <v>2</v>
      </c>
      <c r="N9" t="n">
        <v>0</v>
      </c>
      <c r="O9" t="n">
        <v>0</v>
      </c>
      <c r="P9" t="n">
        <v>0</v>
      </c>
      <c r="Q9" t="n">
        <v>6</v>
      </c>
      <c r="R9" t="n">
        <v>2</v>
      </c>
      <c r="S9" t="n">
        <v>12</v>
      </c>
      <c r="T9" t="n">
        <v>26</v>
      </c>
      <c r="U9" t="n">
        <v>0</v>
      </c>
      <c r="V9" s="2" t="inlineStr">
        <is>
          <t>Garnlav
Knärot
Harticka
Lunglav
Rosenticka
Ullticka
Luddlav
Plattlummer
Sotlav
Stuplav
Järpe
Fläcknycklar</t>
        </is>
      </c>
      <c r="W9">
        <f>HYPERLINK("https://klasma.github.io/Logging_2523/artfynd/A 50584-2025 artfynd.xlsx", "A 50584-2025")</f>
        <v/>
      </c>
      <c r="X9">
        <f>HYPERLINK("https://klasma.github.io/Logging_2523/kartor/A 50584-2025 karta.png", "A 50584-2025")</f>
        <v/>
      </c>
      <c r="Y9">
        <f>HYPERLINK("https://klasma.github.io/Logging_2523/kartor_geotiff/A 50584-2025 georefererad karta.tif", "A 50584-2025")</f>
        <v/>
      </c>
      <c r="Z9">
        <f>HYPERLINK("https://klasma.github.io/Logging_2523/knärot/A 50584-2025 karta knärot.png", "A 50584-2025")</f>
        <v/>
      </c>
      <c r="AA9">
        <f>HYPERLINK("https://klasma.github.io/Logging_2523/klagomål/A 50584-2025 FSC-klagomål.docx", "A 50584-2025")</f>
        <v/>
      </c>
      <c r="AB9">
        <f>HYPERLINK("https://klasma.github.io/Logging_2523/klagomålsmail/A 50584-2025 FSC-klagomål mail.docx", "A 50584-2025")</f>
        <v/>
      </c>
      <c r="AC9">
        <f>HYPERLINK("https://klasma.github.io/Logging_2523/tillsyn/A 50584-2025 tillsynsbegäran.docx", "A 50584-2025")</f>
        <v/>
      </c>
      <c r="AD9">
        <f>HYPERLINK("https://klasma.github.io/Logging_2523/tillsynsmail/A 50584-2025 tillsynsbegäran mail.docx", "A 50584-2025")</f>
        <v/>
      </c>
      <c r="AE9">
        <f>HYPERLINK("https://klasma.github.io/Logging_2523/fåglar/A 50584-2025 prioriterade fågelarter.docx", "A 50584-2025")</f>
        <v/>
      </c>
    </row>
    <row r="10" ht="15" customHeight="1">
      <c r="A10" t="inlineStr">
        <is>
          <t>A 26670-2022</t>
        </is>
      </c>
      <c r="B10" t="inlineStr">
        <is>
          <t>avverkningsanmälan</t>
        </is>
      </c>
      <c r="C10" t="inlineStr">
        <is>
          <t>Föryngringsavverkning</t>
        </is>
      </c>
      <c r="D10" s="1" t="n">
        <v>44739</v>
      </c>
      <c r="E10" s="1" t="n">
        <v>46307</v>
      </c>
      <c r="F10" t="inlineStr">
        <is>
          <t>NORRBOTTENS LÄN</t>
        </is>
      </c>
      <c r="G10" t="inlineStr">
        <is>
          <t>GÄLLIVARE</t>
        </is>
      </c>
      <c r="I10" t="n">
        <v>27.4</v>
      </c>
      <c r="J10" t="n">
        <v>3</v>
      </c>
      <c r="K10" t="n">
        <v>1</v>
      </c>
      <c r="L10" t="n">
        <v>11</v>
      </c>
      <c r="M10" t="n">
        <v>0</v>
      </c>
      <c r="N10" t="n">
        <v>0</v>
      </c>
      <c r="O10" t="n">
        <v>0</v>
      </c>
      <c r="P10" t="n">
        <v>0</v>
      </c>
      <c r="Q10" t="n">
        <v>11</v>
      </c>
      <c r="R10" t="n">
        <v>0</v>
      </c>
      <c r="S10" t="n">
        <v>12</v>
      </c>
      <c r="T10" t="n">
        <v>14</v>
      </c>
      <c r="U10" t="n">
        <v>14</v>
      </c>
      <c r="V10" s="2" t="inlineStr">
        <is>
          <t>Blanksvart spiklav
Blå taggsvamp
Dropptaggsvamp
Knottrig blåslav
Lappmes
Lavskrika
Skarp dropptaggsvamp
Tallticka
Tretåig hackspett
Vedtrappmossa
Vitplätt
Gullgröppa</t>
        </is>
      </c>
      <c r="W10">
        <f>HYPERLINK("https://klasma.github.io/Logging_2523/artfynd/A 26670-2022 artfynd.xlsx", "A 26670-2022")</f>
        <v/>
      </c>
      <c r="X10">
        <f>HYPERLINK("https://klasma.github.io/Logging_2523/kartor/A 26670-2022 karta.png", "A 26670-2022")</f>
        <v/>
      </c>
      <c r="Y10">
        <f>HYPERLINK("https://klasma.github.io/Logging_2523/kartor_geotiff/A 26670-2022 georefererad karta.tif", "A 26670-2022")</f>
        <v/>
      </c>
      <c r="AA10">
        <f>HYPERLINK("https://klasma.github.io/Logging_2523/klagomål/A 26670-2022 FSC-klagomål.docx", "A 26670-2022")</f>
        <v/>
      </c>
      <c r="AB10">
        <f>HYPERLINK("https://klasma.github.io/Logging_2523/klagomålsmail/A 26670-2022 FSC-klagomål mail.docx", "A 26670-2022")</f>
        <v/>
      </c>
      <c r="AC10">
        <f>HYPERLINK("https://klasma.github.io/Logging_2523/tillsyn/A 26670-2022 tillsynsbegäran.docx", "A 26670-2022")</f>
        <v/>
      </c>
      <c r="AD10">
        <f>HYPERLINK("https://klasma.github.io/Logging_2523/tillsynsmail/A 26670-2022 tillsynsbegäran mail.docx", "A 26670-2022")</f>
        <v/>
      </c>
      <c r="AE10">
        <f>HYPERLINK("https://klasma.github.io/Logging_2523/fåglar/A 26670-2022 prioriterade fågelarter.docx", "A 26670-2022")</f>
        <v/>
      </c>
    </row>
    <row r="11" ht="15" customHeight="1">
      <c r="A11" t="inlineStr">
        <is>
          <t>A 35667-2026</t>
        </is>
      </c>
      <c r="B11" t="inlineStr">
        <is>
          <t>avverkningsanmälan</t>
        </is>
      </c>
      <c r="C11" t="inlineStr">
        <is>
          <t>Föryngringsavverkning</t>
        </is>
      </c>
      <c r="D11" s="1" t="n">
        <v>46265</v>
      </c>
      <c r="E11" s="1" t="n">
        <v>46307</v>
      </c>
      <c r="F11" t="inlineStr">
        <is>
          <t>NORRBOTTENS LÄN</t>
        </is>
      </c>
      <c r="G11" t="inlineStr">
        <is>
          <t>GÄLLIVARE</t>
        </is>
      </c>
      <c r="I11" t="n">
        <v>5.6</v>
      </c>
      <c r="J11" t="n">
        <v>4</v>
      </c>
      <c r="K11" t="n">
        <v>1</v>
      </c>
      <c r="L11" t="n">
        <v>9</v>
      </c>
      <c r="M11" t="n">
        <v>1</v>
      </c>
      <c r="N11" t="n">
        <v>0</v>
      </c>
      <c r="O11" t="n">
        <v>0</v>
      </c>
      <c r="P11" t="n">
        <v>0</v>
      </c>
      <c r="Q11" t="n">
        <v>10</v>
      </c>
      <c r="R11" t="n">
        <v>1</v>
      </c>
      <c r="S11" t="n">
        <v>12</v>
      </c>
      <c r="T11" t="n">
        <v>23</v>
      </c>
      <c r="U11" t="n">
        <v>23</v>
      </c>
      <c r="V11" s="2" t="inlineStr">
        <is>
          <t>Torrmusseron
Blå taggsvamp
Lavskrika
Mellanlummer
Nordtagging
Skarp dropptaggsvamp
Tretåig hackspett
Vaddporing
Vedskivlav
Violmussling
Norrlandslav
Revlummer</t>
        </is>
      </c>
      <c r="W11">
        <f>HYPERLINK("https://klasma.github.io/Logging_2523/artfynd/A 35667-2026 artfynd.xlsx", "A 35667-2026")</f>
        <v/>
      </c>
      <c r="X11">
        <f>HYPERLINK("https://klasma.github.io/Logging_2523/kartor/A 35667-2026 karta.png", "A 35667-2026")</f>
        <v/>
      </c>
      <c r="Y11">
        <f>HYPERLINK("https://klasma.github.io/Logging_2523/kartor_geotiff/A 35667-2026 georefererad karta.tif", "A 35667-2026")</f>
        <v/>
      </c>
      <c r="AA11">
        <f>HYPERLINK("https://klasma.github.io/Logging_2523/klagomål/A 35667-2026 FSC-klagomål.docx", "A 35667-2026")</f>
        <v/>
      </c>
      <c r="AB11">
        <f>HYPERLINK("https://klasma.github.io/Logging_2523/klagomålsmail/A 35667-2026 FSC-klagomål mail.docx", "A 35667-2026")</f>
        <v/>
      </c>
      <c r="AC11">
        <f>HYPERLINK("https://klasma.github.io/Logging_2523/tillsyn/A 35667-2026 tillsynsbegäran.docx", "A 35667-2026")</f>
        <v/>
      </c>
      <c r="AD11">
        <f>HYPERLINK("https://klasma.github.io/Logging_2523/tillsynsmail/A 35667-2026 tillsynsbegäran mail.docx", "A 35667-2026")</f>
        <v/>
      </c>
      <c r="AE11">
        <f>HYPERLINK("https://klasma.github.io/Logging_2523/fåglar/A 35667-2026 prioriterade fågelarter.docx", "A 35667-2026")</f>
        <v/>
      </c>
    </row>
    <row r="12" ht="15" customHeight="1">
      <c r="A12" t="inlineStr">
        <is>
          <t>A 14999-2024</t>
        </is>
      </c>
      <c r="B12" t="inlineStr">
        <is>
          <t>avverkningsanmälan</t>
        </is>
      </c>
      <c r="C12" t="inlineStr">
        <is>
          <t>Föryngringsavverkning</t>
        </is>
      </c>
      <c r="D12" s="1" t="n">
        <v>45399</v>
      </c>
      <c r="E12" s="1" t="n">
        <v>46307</v>
      </c>
      <c r="F12" t="inlineStr">
        <is>
          <t>NORRBOTTENS LÄN</t>
        </is>
      </c>
      <c r="G12" t="inlineStr">
        <is>
          <t>GÄLLIVARE</t>
        </is>
      </c>
      <c r="I12" t="n">
        <v>12.5</v>
      </c>
      <c r="J12" t="n">
        <v>4</v>
      </c>
      <c r="K12" t="n">
        <v>6</v>
      </c>
      <c r="L12" t="n">
        <v>2</v>
      </c>
      <c r="M12" t="n">
        <v>1</v>
      </c>
      <c r="N12" t="n">
        <v>0</v>
      </c>
      <c r="O12" t="n">
        <v>0</v>
      </c>
      <c r="P12" t="n">
        <v>0</v>
      </c>
      <c r="Q12" t="n">
        <v>3</v>
      </c>
      <c r="R12" t="n">
        <v>1</v>
      </c>
      <c r="S12" t="n">
        <v>11</v>
      </c>
      <c r="T12" t="n">
        <v>19</v>
      </c>
      <c r="U12" t="n">
        <v>19</v>
      </c>
      <c r="V12" s="2" t="inlineStr">
        <is>
          <t>Garnlav
Talltaggsvamp
Äggvaxskivling
Lappranunkel
Mörk husmossa
Norrlandslav
Plattlummer
Skogshakmossa
Ögonpyrola
Järpe
Revlummer</t>
        </is>
      </c>
      <c r="W12">
        <f>HYPERLINK("https://klasma.github.io/Logging_2523/artfynd/A 14999-2024 artfynd.xlsx", "A 14999-2024")</f>
        <v/>
      </c>
      <c r="X12">
        <f>HYPERLINK("https://klasma.github.io/Logging_2523/kartor/A 14999-2024 karta.png", "A 14999-2024")</f>
        <v/>
      </c>
      <c r="Y12">
        <f>HYPERLINK("https://klasma.github.io/Logging_2523/kartor_geotiff/A 14999-2024 georefererad karta.tif", "A 14999-2024")</f>
        <v/>
      </c>
      <c r="AA12">
        <f>HYPERLINK("https://klasma.github.io/Logging_2523/klagomål/A 14999-2024 FSC-klagomål.docx", "A 14999-2024")</f>
        <v/>
      </c>
      <c r="AB12">
        <f>HYPERLINK("https://klasma.github.io/Logging_2523/klagomålsmail/A 14999-2024 FSC-klagomål mail.docx", "A 14999-2024")</f>
        <v/>
      </c>
      <c r="AC12">
        <f>HYPERLINK("https://klasma.github.io/Logging_2523/tillsyn/A 14999-2024 tillsynsbegäran.docx", "A 14999-2024")</f>
        <v/>
      </c>
      <c r="AD12">
        <f>HYPERLINK("https://klasma.github.io/Logging_2523/tillsynsmail/A 14999-2024 tillsynsbegäran mail.docx", "A 14999-2024")</f>
        <v/>
      </c>
      <c r="AE12">
        <f>HYPERLINK("https://klasma.github.io/Logging_2523/fåglar/A 14999-2024 prioriterade fågelarter.docx", "A 14999-2024")</f>
        <v/>
      </c>
    </row>
    <row r="13" ht="15" customHeight="1">
      <c r="A13" t="inlineStr">
        <is>
          <t>A 15152-2025</t>
        </is>
      </c>
      <c r="B13" t="inlineStr">
        <is>
          <t>avverkningsanmälan</t>
        </is>
      </c>
      <c r="C13" t="inlineStr">
        <is>
          <t>Avverkning för annat ändamål</t>
        </is>
      </c>
      <c r="D13" s="1" t="n">
        <v>45744</v>
      </c>
      <c r="E13" s="1" t="n">
        <v>46307</v>
      </c>
      <c r="F13" t="inlineStr">
        <is>
          <t>NORRBOTTENS LÄN</t>
        </is>
      </c>
      <c r="G13" t="inlineStr">
        <is>
          <t>GÄLLIVARE</t>
        </is>
      </c>
      <c r="H13" t="inlineStr">
        <is>
          <t>Sveaskog</t>
        </is>
      </c>
      <c r="I13" t="n">
        <v>0.4</v>
      </c>
      <c r="J13" t="n">
        <v>0</v>
      </c>
      <c r="K13" t="n">
        <v>0</v>
      </c>
      <c r="L13" t="n">
        <v>8</v>
      </c>
      <c r="M13" t="n">
        <v>3</v>
      </c>
      <c r="N13" t="n">
        <v>0</v>
      </c>
      <c r="O13" t="n">
        <v>0</v>
      </c>
      <c r="P13" t="n">
        <v>0</v>
      </c>
      <c r="Q13" t="n">
        <v>11</v>
      </c>
      <c r="R13" t="n">
        <v>3</v>
      </c>
      <c r="S13" t="n">
        <v>11</v>
      </c>
      <c r="T13" t="n">
        <v>17</v>
      </c>
      <c r="U13" t="n">
        <v>0</v>
      </c>
      <c r="V13" s="2" t="inlineStr">
        <is>
          <t>Skrovlig taggsvamp
Tallgråticka
Tallmusseron
Blå taggsvamp
Dropptaggsvamp
Grantaggsvamp
Orange taggsvamp
Tallriska
Talltaggsvamp
Vaddporing
Vaxspindling</t>
        </is>
      </c>
      <c r="W13">
        <f>HYPERLINK("https://klasma.github.io/Logging_2523/artfynd/A 15152-2025 artfynd.xlsx", "A 15152-2025")</f>
        <v/>
      </c>
      <c r="X13">
        <f>HYPERLINK("https://klasma.github.io/Logging_2523/kartor/A 15152-2025 karta.png", "A 15152-2025")</f>
        <v/>
      </c>
      <c r="Y13">
        <f>HYPERLINK("https://klasma.github.io/Logging_2523/kartor_geotiff/A 15152-2025 georefererad karta.tif", "A 15152-2025")</f>
        <v/>
      </c>
      <c r="AA13">
        <f>HYPERLINK("https://klasma.github.io/Logging_2523/klagomål/A 15152-2025 FSC-klagomål.docx", "A 15152-2025")</f>
        <v/>
      </c>
      <c r="AB13">
        <f>HYPERLINK("https://klasma.github.io/Logging_2523/klagomålsmail/A 15152-2025 FSC-klagomål mail.docx", "A 15152-2025")</f>
        <v/>
      </c>
      <c r="AC13">
        <f>HYPERLINK("https://klasma.github.io/Logging_2523/tillsyn/A 15152-2025 tillsynsbegäran.docx", "A 15152-2025")</f>
        <v/>
      </c>
      <c r="AD13">
        <f>HYPERLINK("https://klasma.github.io/Logging_2523/tillsynsmail/A 15152-2025 tillsynsbegäran mail.docx", "A 15152-2025")</f>
        <v/>
      </c>
    </row>
    <row r="14" ht="15" customHeight="1">
      <c r="A14" t="inlineStr">
        <is>
          <t>A 24318-2023</t>
        </is>
      </c>
      <c r="B14" t="inlineStr">
        <is>
          <t>avverkningsanmälan</t>
        </is>
      </c>
      <c r="C14" t="inlineStr">
        <is>
          <t>Föryngringsavverkning</t>
        </is>
      </c>
      <c r="D14" s="1" t="n">
        <v>45080</v>
      </c>
      <c r="E14" s="1" t="n">
        <v>46307</v>
      </c>
      <c r="F14" t="inlineStr">
        <is>
          <t>NORRBOTTENS LÄN</t>
        </is>
      </c>
      <c r="G14" t="inlineStr">
        <is>
          <t>GÄLLIVARE</t>
        </is>
      </c>
      <c r="H14" t="inlineStr">
        <is>
          <t>Sveaskog</t>
        </is>
      </c>
      <c r="I14" t="n">
        <v>22.1</v>
      </c>
      <c r="J14" t="n">
        <v>4</v>
      </c>
      <c r="K14" t="n">
        <v>3</v>
      </c>
      <c r="L14" t="n">
        <v>5</v>
      </c>
      <c r="M14" t="n">
        <v>2</v>
      </c>
      <c r="N14" t="n">
        <v>0</v>
      </c>
      <c r="O14" t="n">
        <v>0</v>
      </c>
      <c r="P14" t="n">
        <v>0</v>
      </c>
      <c r="Q14" t="n">
        <v>7</v>
      </c>
      <c r="R14" t="n">
        <v>2</v>
      </c>
      <c r="S14" t="n">
        <v>11</v>
      </c>
      <c r="T14" t="n">
        <v>40</v>
      </c>
      <c r="U14" t="n">
        <v>40</v>
      </c>
      <c r="V14" s="2" t="inlineStr">
        <is>
          <t>Doftticka
Garnlav
Knottrig blåslav
Lavskrika
Skrovellav
Tretåig hackspett
Vaddporing
Stuplav
Vedticka
Ögonpyrola
Spillkråka</t>
        </is>
      </c>
      <c r="W14">
        <f>HYPERLINK("https://klasma.github.io/Logging_2523/artfynd/A 24318-2023 artfynd.xlsx", "A 24318-2023")</f>
        <v/>
      </c>
      <c r="X14">
        <f>HYPERLINK("https://klasma.github.io/Logging_2523/kartor/A 24318-2023 karta.png", "A 24318-2023")</f>
        <v/>
      </c>
      <c r="Y14">
        <f>HYPERLINK("https://klasma.github.io/Logging_2523/kartor_geotiff/A 24318-2023 georefererad karta.tif", "A 24318-2023")</f>
        <v/>
      </c>
      <c r="AA14">
        <f>HYPERLINK("https://klasma.github.io/Logging_2523/klagomål/A 24318-2023 FSC-klagomål.docx", "A 24318-2023")</f>
        <v/>
      </c>
      <c r="AB14">
        <f>HYPERLINK("https://klasma.github.io/Logging_2523/klagomålsmail/A 24318-2023 FSC-klagomål mail.docx", "A 24318-2023")</f>
        <v/>
      </c>
      <c r="AC14">
        <f>HYPERLINK("https://klasma.github.io/Logging_2523/tillsyn/A 24318-2023 tillsynsbegäran.docx", "A 24318-2023")</f>
        <v/>
      </c>
      <c r="AD14">
        <f>HYPERLINK("https://klasma.github.io/Logging_2523/tillsynsmail/A 24318-2023 tillsynsbegäran mail.docx", "A 24318-2023")</f>
        <v/>
      </c>
      <c r="AE14">
        <f>HYPERLINK("https://klasma.github.io/Logging_2523/fåglar/A 24318-2023 prioriterade fågelarter.docx", "A 24318-2023")</f>
        <v/>
      </c>
    </row>
    <row r="15" ht="15" customHeight="1">
      <c r="A15" t="inlineStr">
        <is>
          <t>A 37301-2026</t>
        </is>
      </c>
      <c r="B15" t="inlineStr">
        <is>
          <t>avverkningsanmälan</t>
        </is>
      </c>
      <c r="C15" t="inlineStr">
        <is>
          <t>Föryngringsavverkning</t>
        </is>
      </c>
      <c r="D15" s="1" t="n">
        <v>46274</v>
      </c>
      <c r="E15" s="1" t="n">
        <v>46307</v>
      </c>
      <c r="F15" t="inlineStr">
        <is>
          <t>NORRBOTTENS LÄN</t>
        </is>
      </c>
      <c r="G15" t="inlineStr">
        <is>
          <t>GÄLLIVARE</t>
        </is>
      </c>
      <c r="H15" t="inlineStr">
        <is>
          <t>Allmännings- och besparingsskogar</t>
        </is>
      </c>
      <c r="I15" t="n">
        <v>19.8</v>
      </c>
      <c r="J15" t="n">
        <v>0</v>
      </c>
      <c r="K15" t="n">
        <v>0</v>
      </c>
      <c r="L15" t="n">
        <v>6</v>
      </c>
      <c r="M15" t="n">
        <v>5</v>
      </c>
      <c r="N15" t="n">
        <v>0</v>
      </c>
      <c r="O15" t="n">
        <v>0</v>
      </c>
      <c r="P15" t="n">
        <v>0</v>
      </c>
      <c r="Q15" t="n">
        <v>11</v>
      </c>
      <c r="R15" t="n">
        <v>5</v>
      </c>
      <c r="S15" t="n">
        <v>11</v>
      </c>
      <c r="T15" t="n">
        <v>21</v>
      </c>
      <c r="U15" t="n">
        <v>0</v>
      </c>
      <c r="V15" s="2" t="inlineStr">
        <is>
          <t>Garnlav
Goliatmusseron
Skrovlig taggsvamp
Smalfotad taggsvamp
Tallgråticka
Blå taggsvamp
Dvärgbägarlav
Orange taggsvamp
Vaddporing
Vedflamlav
Vedskivlav</t>
        </is>
      </c>
      <c r="W15">
        <f>HYPERLINK("https://klasma.github.io/Logging_2523/artfynd/A 37301-2026 artfynd.xlsx", "A 37301-2026")</f>
        <v/>
      </c>
      <c r="X15">
        <f>HYPERLINK("https://klasma.github.io/Logging_2523/kartor/A 37301-2026 karta.png", "A 37301-2026")</f>
        <v/>
      </c>
      <c r="Y15">
        <f>HYPERLINK("https://klasma.github.io/Logging_2523/kartor_geotiff/A 37301-2026 georefererad karta.tif", "A 37301-2026")</f>
        <v/>
      </c>
      <c r="AA15">
        <f>HYPERLINK("https://klasma.github.io/Logging_2523/klagomål/A 37301-2026 FSC-klagomål.docx", "A 37301-2026")</f>
        <v/>
      </c>
      <c r="AB15">
        <f>HYPERLINK("https://klasma.github.io/Logging_2523/klagomålsmail/A 37301-2026 FSC-klagomål mail.docx", "A 37301-2026")</f>
        <v/>
      </c>
      <c r="AC15">
        <f>HYPERLINK("https://klasma.github.io/Logging_2523/tillsyn/A 37301-2026 tillsynsbegäran.docx", "A 37301-2026")</f>
        <v/>
      </c>
      <c r="AD15">
        <f>HYPERLINK("https://klasma.github.io/Logging_2523/tillsynsmail/A 37301-2026 tillsynsbegäran mail.docx", "A 37301-2026")</f>
        <v/>
      </c>
    </row>
    <row r="16" ht="15" customHeight="1">
      <c r="A16" t="inlineStr">
        <is>
          <t>A 15155-2025</t>
        </is>
      </c>
      <c r="B16" t="inlineStr">
        <is>
          <t>avverkningsanmälan</t>
        </is>
      </c>
      <c r="C16" t="inlineStr">
        <is>
          <t>Avverkning för annat ändamål</t>
        </is>
      </c>
      <c r="D16" s="1" t="n">
        <v>45744</v>
      </c>
      <c r="E16" s="1" t="n">
        <v>46307</v>
      </c>
      <c r="F16" t="inlineStr">
        <is>
          <t>NORRBOTTENS LÄN</t>
        </is>
      </c>
      <c r="G16" t="inlineStr">
        <is>
          <t>GÄLLIVARE</t>
        </is>
      </c>
      <c r="H16" t="inlineStr">
        <is>
          <t>Sveaskog</t>
        </is>
      </c>
      <c r="I16" t="n">
        <v>1.9</v>
      </c>
      <c r="J16" t="n">
        <v>1</v>
      </c>
      <c r="K16" t="n">
        <v>0</v>
      </c>
      <c r="L16" t="n">
        <v>6</v>
      </c>
      <c r="M16" t="n">
        <v>4</v>
      </c>
      <c r="N16" t="n">
        <v>0</v>
      </c>
      <c r="O16" t="n">
        <v>0</v>
      </c>
      <c r="P16" t="n">
        <v>0</v>
      </c>
      <c r="Q16" t="n">
        <v>10</v>
      </c>
      <c r="R16" t="n">
        <v>4</v>
      </c>
      <c r="S16" t="n">
        <v>10</v>
      </c>
      <c r="T16" t="n">
        <v>13</v>
      </c>
      <c r="U16" t="n">
        <v>0</v>
      </c>
      <c r="V16" s="2" t="inlineStr">
        <is>
          <t>Mospindling
Skrovlig taggsvamp
Tallgråticka
Tallmusseron
Blå taggsvamp
Skarp dropptaggsvamp
Talltaggsvamp
Talltita
Vaddporing
Vaxspindling</t>
        </is>
      </c>
      <c r="W16">
        <f>HYPERLINK("https://klasma.github.io/Logging_2523/artfynd/A 15155-2025 artfynd.xlsx", "A 15155-2025")</f>
        <v/>
      </c>
      <c r="X16">
        <f>HYPERLINK("https://klasma.github.io/Logging_2523/kartor/A 15155-2025 karta.png", "A 15155-2025")</f>
        <v/>
      </c>
      <c r="Y16">
        <f>HYPERLINK("https://klasma.github.io/Logging_2523/kartor_geotiff/A 15155-2025 georefererad karta.tif", "A 15155-2025")</f>
        <v/>
      </c>
      <c r="AA16">
        <f>HYPERLINK("https://klasma.github.io/Logging_2523/klagomål/A 15155-2025 FSC-klagomål.docx", "A 15155-2025")</f>
        <v/>
      </c>
      <c r="AB16">
        <f>HYPERLINK("https://klasma.github.io/Logging_2523/klagomålsmail/A 15155-2025 FSC-klagomål mail.docx", "A 15155-2025")</f>
        <v/>
      </c>
      <c r="AC16">
        <f>HYPERLINK("https://klasma.github.io/Logging_2523/tillsyn/A 15155-2025 tillsynsbegäran.docx", "A 15155-2025")</f>
        <v/>
      </c>
      <c r="AD16">
        <f>HYPERLINK("https://klasma.github.io/Logging_2523/tillsynsmail/A 15155-2025 tillsynsbegäran mail.docx", "A 15155-2025")</f>
        <v/>
      </c>
      <c r="AE16">
        <f>HYPERLINK("https://klasma.github.io/Logging_2523/fåglar/A 15155-2025 prioriterade fågelarter.docx", "A 15155-2025")</f>
        <v/>
      </c>
    </row>
    <row r="17" ht="15" customHeight="1">
      <c r="A17" t="inlineStr">
        <is>
          <t>A 50582-2025</t>
        </is>
      </c>
      <c r="B17" t="inlineStr">
        <is>
          <t>avverkningsanmälan</t>
        </is>
      </c>
      <c r="C17" t="inlineStr">
        <is>
          <t>Föryngringsavverkning</t>
        </is>
      </c>
      <c r="D17" s="1" t="n">
        <v>45945</v>
      </c>
      <c r="E17" s="1" t="n">
        <v>46307</v>
      </c>
      <c r="F17" t="inlineStr">
        <is>
          <t>NORRBOTTENS LÄN</t>
        </is>
      </c>
      <c r="G17" t="inlineStr">
        <is>
          <t>GÄLLIVARE</t>
        </is>
      </c>
      <c r="H17" t="inlineStr">
        <is>
          <t>Sveaskog</t>
        </is>
      </c>
      <c r="I17" t="n">
        <v>3.4</v>
      </c>
      <c r="J17" t="n">
        <v>3</v>
      </c>
      <c r="K17" t="n">
        <v>0</v>
      </c>
      <c r="L17" t="n">
        <v>6</v>
      </c>
      <c r="M17" t="n">
        <v>2</v>
      </c>
      <c r="N17" t="n">
        <v>0</v>
      </c>
      <c r="O17" t="n">
        <v>0</v>
      </c>
      <c r="P17" t="n">
        <v>0</v>
      </c>
      <c r="Q17" t="n">
        <v>8</v>
      </c>
      <c r="R17" t="n">
        <v>2</v>
      </c>
      <c r="S17" t="n">
        <v>10</v>
      </c>
      <c r="T17" t="n">
        <v>28</v>
      </c>
      <c r="U17" t="n">
        <v>0</v>
      </c>
      <c r="V17" s="2" t="inlineStr">
        <is>
          <t>Garnlav
Knärot
Knottrig blåslav
Lunglav
Mörk kolflarnlav
Rosenticka
Ullticka
Vitgrynig nållav
Spillkråka
Revlummer</t>
        </is>
      </c>
      <c r="W17">
        <f>HYPERLINK("https://klasma.github.io/Logging_2523/artfynd/A 50582-2025 artfynd.xlsx", "A 50582-2025")</f>
        <v/>
      </c>
      <c r="X17">
        <f>HYPERLINK("https://klasma.github.io/Logging_2523/kartor/A 50582-2025 karta.png", "A 50582-2025")</f>
        <v/>
      </c>
      <c r="Y17">
        <f>HYPERLINK("https://klasma.github.io/Logging_2523/kartor_geotiff/A 50582-2025 georefererad karta.tif", "A 50582-2025")</f>
        <v/>
      </c>
      <c r="Z17">
        <f>HYPERLINK("https://klasma.github.io/Logging_2523/knärot/A 50582-2025 karta knärot.png", "A 50582-2025")</f>
        <v/>
      </c>
      <c r="AA17">
        <f>HYPERLINK("https://klasma.github.io/Logging_2523/klagomål/A 50582-2025 FSC-klagomål.docx", "A 50582-2025")</f>
        <v/>
      </c>
      <c r="AB17">
        <f>HYPERLINK("https://klasma.github.io/Logging_2523/klagomålsmail/A 50582-2025 FSC-klagomål mail.docx", "A 50582-2025")</f>
        <v/>
      </c>
      <c r="AC17">
        <f>HYPERLINK("https://klasma.github.io/Logging_2523/tillsyn/A 50582-2025 tillsynsbegäran.docx", "A 50582-2025")</f>
        <v/>
      </c>
      <c r="AD17">
        <f>HYPERLINK("https://klasma.github.io/Logging_2523/tillsynsmail/A 50582-2025 tillsynsbegäran mail.docx", "A 50582-2025")</f>
        <v/>
      </c>
      <c r="AE17">
        <f>HYPERLINK("https://klasma.github.io/Logging_2523/fåglar/A 50582-2025 prioriterade fågelarter.docx", "A 50582-2025")</f>
        <v/>
      </c>
    </row>
    <row r="18" ht="15" customHeight="1">
      <c r="A18" t="inlineStr">
        <is>
          <t>A 37042-2026</t>
        </is>
      </c>
      <c r="B18" t="inlineStr">
        <is>
          <t>avverkningsanmälan</t>
        </is>
      </c>
      <c r="C18" t="inlineStr">
        <is>
          <t>Föryngringsavverkning</t>
        </is>
      </c>
      <c r="D18" s="1" t="n">
        <v>46273</v>
      </c>
      <c r="E18" s="1" t="n">
        <v>46307</v>
      </c>
      <c r="F18" t="inlineStr">
        <is>
          <t>NORRBOTTENS LÄN</t>
        </is>
      </c>
      <c r="G18" t="inlineStr">
        <is>
          <t>GÄLLIVARE</t>
        </is>
      </c>
      <c r="H18" t="inlineStr">
        <is>
          <t>Sveaskog</t>
        </is>
      </c>
      <c r="I18" t="n">
        <v>11.1</v>
      </c>
      <c r="J18" t="n">
        <v>1</v>
      </c>
      <c r="K18" t="n">
        <v>1</v>
      </c>
      <c r="L18" t="n">
        <v>8</v>
      </c>
      <c r="M18" t="n">
        <v>1</v>
      </c>
      <c r="N18" t="n">
        <v>0</v>
      </c>
      <c r="O18" t="n">
        <v>0</v>
      </c>
      <c r="P18" t="n">
        <v>0</v>
      </c>
      <c r="Q18" t="n">
        <v>9</v>
      </c>
      <c r="R18" t="n">
        <v>1</v>
      </c>
      <c r="S18" t="n">
        <v>10</v>
      </c>
      <c r="T18" t="n">
        <v>13</v>
      </c>
      <c r="U18" t="n">
        <v>13</v>
      </c>
      <c r="V18" s="2" t="inlineStr">
        <is>
          <t>Garnlav
Blanksvart spiklav
Blågrå svartspik
Dropptaggsvamp
Svartvit taggsvamp
Talltagel
Tretåig hackspett
Vaddporing
Vedflamlav
Stuplav</t>
        </is>
      </c>
      <c r="W18">
        <f>HYPERLINK("https://klasma.github.io/Logging_2523/artfynd/A 37042-2026 artfynd.xlsx", "A 37042-2026")</f>
        <v/>
      </c>
      <c r="X18">
        <f>HYPERLINK("https://klasma.github.io/Logging_2523/kartor/A 37042-2026 karta.png", "A 37042-2026")</f>
        <v/>
      </c>
      <c r="Y18">
        <f>HYPERLINK("https://klasma.github.io/Logging_2523/kartor_geotiff/A 37042-2026 georefererad karta.tif", "A 37042-2026")</f>
        <v/>
      </c>
      <c r="AA18">
        <f>HYPERLINK("https://klasma.github.io/Logging_2523/klagomål/A 37042-2026 FSC-klagomål.docx", "A 37042-2026")</f>
        <v/>
      </c>
      <c r="AB18">
        <f>HYPERLINK("https://klasma.github.io/Logging_2523/klagomålsmail/A 37042-2026 FSC-klagomål mail.docx", "A 37042-2026")</f>
        <v/>
      </c>
      <c r="AC18">
        <f>HYPERLINK("https://klasma.github.io/Logging_2523/tillsyn/A 37042-2026 tillsynsbegäran.docx", "A 37042-2026")</f>
        <v/>
      </c>
      <c r="AD18">
        <f>HYPERLINK("https://klasma.github.io/Logging_2523/tillsynsmail/A 37042-2026 tillsynsbegäran mail.docx", "A 37042-2026")</f>
        <v/>
      </c>
      <c r="AE18">
        <f>HYPERLINK("https://klasma.github.io/Logging_2523/fåglar/A 37042-2026 prioriterade fågelarter.docx", "A 37042-2026")</f>
        <v/>
      </c>
    </row>
    <row r="19" ht="15" customHeight="1">
      <c r="A19" t="inlineStr">
        <is>
          <t>A 51108-2025</t>
        </is>
      </c>
      <c r="B19" t="inlineStr">
        <is>
          <t>avverkningsanmälan</t>
        </is>
      </c>
      <c r="C19" t="inlineStr">
        <is>
          <t>Föryngringsavverkning</t>
        </is>
      </c>
      <c r="D19" s="1" t="n">
        <v>45947</v>
      </c>
      <c r="E19" s="1" t="n">
        <v>46307</v>
      </c>
      <c r="F19" t="inlineStr">
        <is>
          <t>NORRBOTTENS LÄN</t>
        </is>
      </c>
      <c r="G19" t="inlineStr">
        <is>
          <t>GÄLLIVARE</t>
        </is>
      </c>
      <c r="H19" t="inlineStr">
        <is>
          <t>Övriga statliga verk och myndigheter</t>
        </is>
      </c>
      <c r="I19" t="n">
        <v>118.3</v>
      </c>
      <c r="J19" t="n">
        <v>2</v>
      </c>
      <c r="K19" t="n">
        <v>1</v>
      </c>
      <c r="L19" t="n">
        <v>8</v>
      </c>
      <c r="M19" t="n">
        <v>1</v>
      </c>
      <c r="N19" t="n">
        <v>0</v>
      </c>
      <c r="O19" t="n">
        <v>0</v>
      </c>
      <c r="P19" t="n">
        <v>0</v>
      </c>
      <c r="Q19" t="n">
        <v>9</v>
      </c>
      <c r="R19" t="n">
        <v>1</v>
      </c>
      <c r="S19" t="n">
        <v>10</v>
      </c>
      <c r="T19" t="n">
        <v>14</v>
      </c>
      <c r="U19" t="n">
        <v>0</v>
      </c>
      <c r="V19" s="2" t="inlineStr">
        <is>
          <t>Tajgaskinn
Gammelgransskål
Harticka
Knottrig blåslav
Lavskrika
Rynkskinn
Stjärntagging
Tretåig hackspett
Ullticka
Blodticka</t>
        </is>
      </c>
      <c r="W19">
        <f>HYPERLINK("https://klasma.github.io/Logging_2523/artfynd/A 51108-2025 artfynd.xlsx", "A 51108-2025")</f>
        <v/>
      </c>
      <c r="X19">
        <f>HYPERLINK("https://klasma.github.io/Logging_2523/kartor/A 51108-2025 karta.png", "A 51108-2025")</f>
        <v/>
      </c>
      <c r="Y19">
        <f>HYPERLINK("https://klasma.github.io/Logging_2523/kartor_geotiff/A 51108-2025 georefererad karta.tif", "A 51108-2025")</f>
        <v/>
      </c>
      <c r="AA19">
        <f>HYPERLINK("https://klasma.github.io/Logging_2523/klagomål/A 51108-2025 FSC-klagomål.docx", "A 51108-2025")</f>
        <v/>
      </c>
      <c r="AB19">
        <f>HYPERLINK("https://klasma.github.io/Logging_2523/klagomålsmail/A 51108-2025 FSC-klagomål mail.docx", "A 51108-2025")</f>
        <v/>
      </c>
      <c r="AC19">
        <f>HYPERLINK("https://klasma.github.io/Logging_2523/tillsyn/A 51108-2025 tillsynsbegäran.docx", "A 51108-2025")</f>
        <v/>
      </c>
      <c r="AD19">
        <f>HYPERLINK("https://klasma.github.io/Logging_2523/tillsynsmail/A 51108-2025 tillsynsbegäran mail.docx", "A 51108-2025")</f>
        <v/>
      </c>
      <c r="AE19">
        <f>HYPERLINK("https://klasma.github.io/Logging_2523/fåglar/A 51108-2025 prioriterade fågelarter.docx", "A 51108-2025")</f>
        <v/>
      </c>
    </row>
    <row r="20" ht="15" customHeight="1">
      <c r="A20" t="inlineStr">
        <is>
          <t>A 65517-2021</t>
        </is>
      </c>
      <c r="B20" t="inlineStr">
        <is>
          <t>avverkningsanmälan</t>
        </is>
      </c>
      <c r="C20" t="inlineStr">
        <is>
          <t>Föryngringsavverkning</t>
        </is>
      </c>
      <c r="D20" s="1" t="n">
        <v>44516</v>
      </c>
      <c r="E20" s="1" t="n">
        <v>46307</v>
      </c>
      <c r="F20" t="inlineStr">
        <is>
          <t>NORRBOTTENS LÄN</t>
        </is>
      </c>
      <c r="G20" t="inlineStr">
        <is>
          <t>GÄLLIVARE</t>
        </is>
      </c>
      <c r="I20" t="n">
        <v>5</v>
      </c>
      <c r="J20" t="n">
        <v>2</v>
      </c>
      <c r="K20" t="n">
        <v>3</v>
      </c>
      <c r="L20" t="n">
        <v>4</v>
      </c>
      <c r="M20" t="n">
        <v>2</v>
      </c>
      <c r="N20" t="n">
        <v>0</v>
      </c>
      <c r="O20" t="n">
        <v>0</v>
      </c>
      <c r="P20" t="n">
        <v>0</v>
      </c>
      <c r="Q20" t="n">
        <v>6</v>
      </c>
      <c r="R20" t="n">
        <v>2</v>
      </c>
      <c r="S20" t="n">
        <v>9</v>
      </c>
      <c r="T20" t="n">
        <v>13</v>
      </c>
      <c r="U20" t="n">
        <v>13</v>
      </c>
      <c r="V20" s="2" t="inlineStr">
        <is>
          <t>Garnlav
Knärot
Knottrig blåslav
Talltagel
Vedskivlav
Vitgrynig nållav
Luddlav
Spindelblomster
Ögonpyrola</t>
        </is>
      </c>
      <c r="W20">
        <f>HYPERLINK("https://klasma.github.io/Logging_2523/artfynd/A 65517-2021 artfynd.xlsx", "A 65517-2021")</f>
        <v/>
      </c>
      <c r="X20">
        <f>HYPERLINK("https://klasma.github.io/Logging_2523/kartor/A 65517-2021 karta.png", "A 65517-2021")</f>
        <v/>
      </c>
      <c r="Y20">
        <f>HYPERLINK("https://klasma.github.io/Logging_2523/kartor_geotiff/A 65517-2021 georefererad karta.tif", "A 65517-2021")</f>
        <v/>
      </c>
      <c r="Z20">
        <f>HYPERLINK("https://klasma.github.io/Logging_2523/knärot/A 65517-2021 karta knärot.png", "A 65517-2021")</f>
        <v/>
      </c>
      <c r="AA20">
        <f>HYPERLINK("https://klasma.github.io/Logging_2523/klagomål/A 65517-2021 FSC-klagomål.docx", "A 65517-2021")</f>
        <v/>
      </c>
      <c r="AB20">
        <f>HYPERLINK("https://klasma.github.io/Logging_2523/klagomålsmail/A 65517-2021 FSC-klagomål mail.docx", "A 65517-2021")</f>
        <v/>
      </c>
      <c r="AC20">
        <f>HYPERLINK("https://klasma.github.io/Logging_2523/tillsyn/A 65517-2021 tillsynsbegäran.docx", "A 65517-2021")</f>
        <v/>
      </c>
      <c r="AD20">
        <f>HYPERLINK("https://klasma.github.io/Logging_2523/tillsynsmail/A 65517-2021 tillsynsbegäran mail.docx", "A 65517-2021")</f>
        <v/>
      </c>
    </row>
    <row r="21" ht="15" customHeight="1">
      <c r="A21" t="inlineStr">
        <is>
          <t>A 58262-2025</t>
        </is>
      </c>
      <c r="B21" t="inlineStr">
        <is>
          <t>avverkningsanmälan</t>
        </is>
      </c>
      <c r="C21" t="inlineStr">
        <is>
          <t>Föryngringsavverkning</t>
        </is>
      </c>
      <c r="D21" s="1" t="n">
        <v>45985</v>
      </c>
      <c r="E21" s="1" t="n">
        <v>46307</v>
      </c>
      <c r="F21" t="inlineStr">
        <is>
          <t>NORRBOTTENS LÄN</t>
        </is>
      </c>
      <c r="G21" t="inlineStr">
        <is>
          <t>GÄLLIVARE</t>
        </is>
      </c>
      <c r="I21" t="n">
        <v>43.3</v>
      </c>
      <c r="J21" t="n">
        <v>2</v>
      </c>
      <c r="K21" t="n">
        <v>0</v>
      </c>
      <c r="L21" t="n">
        <v>5</v>
      </c>
      <c r="M21" t="n">
        <v>3</v>
      </c>
      <c r="N21" t="n">
        <v>0</v>
      </c>
      <c r="O21" t="n">
        <v>0</v>
      </c>
      <c r="P21" t="n">
        <v>0</v>
      </c>
      <c r="Q21" t="n">
        <v>8</v>
      </c>
      <c r="R21" t="n">
        <v>3</v>
      </c>
      <c r="S21" t="n">
        <v>9</v>
      </c>
      <c r="T21" t="n">
        <v>10</v>
      </c>
      <c r="U21" t="n">
        <v>1</v>
      </c>
      <c r="V21" s="2" t="inlineStr">
        <is>
          <t>Garnlav
Gränsticka
Lappticka
Harticka
Knottrig blåslav
Rosenticka
Tretåig hackspett
Violmussling
Tjäder</t>
        </is>
      </c>
      <c r="W21">
        <f>HYPERLINK("https://klasma.github.io/Logging_2523/artfynd/A 58262-2025 artfynd.xlsx", "A 58262-2025")</f>
        <v/>
      </c>
      <c r="X21">
        <f>HYPERLINK("https://klasma.github.io/Logging_2523/kartor/A 58262-2025 karta.png", "A 58262-2025")</f>
        <v/>
      </c>
      <c r="Y21">
        <f>HYPERLINK("https://klasma.github.io/Logging_2523/kartor_geotiff/A 58262-2025 georefererad karta.tif", "A 58262-2025")</f>
        <v/>
      </c>
      <c r="AA21">
        <f>HYPERLINK("https://klasma.github.io/Logging_2523/klagomål/A 58262-2025 FSC-klagomål.docx", "A 58262-2025")</f>
        <v/>
      </c>
      <c r="AB21">
        <f>HYPERLINK("https://klasma.github.io/Logging_2523/klagomålsmail/A 58262-2025 FSC-klagomål mail.docx", "A 58262-2025")</f>
        <v/>
      </c>
      <c r="AC21">
        <f>HYPERLINK("https://klasma.github.io/Logging_2523/tillsyn/A 58262-2025 tillsynsbegäran.docx", "A 58262-2025")</f>
        <v/>
      </c>
      <c r="AD21">
        <f>HYPERLINK("https://klasma.github.io/Logging_2523/tillsynsmail/A 58262-2025 tillsynsbegäran mail.docx", "A 58262-2025")</f>
        <v/>
      </c>
      <c r="AE21">
        <f>HYPERLINK("https://klasma.github.io/Logging_2523/fåglar/A 58262-2025 prioriterade fågelarter.docx", "A 58262-2025")</f>
        <v/>
      </c>
    </row>
    <row r="22" ht="15" customHeight="1">
      <c r="A22" t="inlineStr">
        <is>
          <t>A 14627-2026</t>
        </is>
      </c>
      <c r="B22" t="inlineStr">
        <is>
          <t>avverkningsanmälan</t>
        </is>
      </c>
      <c r="C22" t="inlineStr">
        <is>
          <t>Föryngringsavverkning</t>
        </is>
      </c>
      <c r="D22" s="1" t="n">
        <v>46101</v>
      </c>
      <c r="E22" s="1" t="n">
        <v>46307</v>
      </c>
      <c r="F22" t="inlineStr">
        <is>
          <t>NORRBOTTENS LÄN</t>
        </is>
      </c>
      <c r="G22" t="inlineStr">
        <is>
          <t>GÄLLIVARE</t>
        </is>
      </c>
      <c r="I22" t="n">
        <v>41.9</v>
      </c>
      <c r="J22" t="n">
        <v>6</v>
      </c>
      <c r="K22" t="n">
        <v>2</v>
      </c>
      <c r="L22" t="n">
        <v>1</v>
      </c>
      <c r="M22" t="n">
        <v>0</v>
      </c>
      <c r="N22" t="n">
        <v>0</v>
      </c>
      <c r="O22" t="n">
        <v>0</v>
      </c>
      <c r="P22" t="n">
        <v>0</v>
      </c>
      <c r="Q22" t="n">
        <v>1</v>
      </c>
      <c r="R22" t="n">
        <v>0</v>
      </c>
      <c r="S22" t="n">
        <v>8</v>
      </c>
      <c r="T22" t="n">
        <v>10</v>
      </c>
      <c r="U22" t="n">
        <v>0</v>
      </c>
      <c r="V22" s="2" t="inlineStr">
        <is>
          <t>Violmussling
Plattlummer
Stuplav
Mattlummer
Spillkråka
Tallbit
Tjäder
Revlummer</t>
        </is>
      </c>
      <c r="W22">
        <f>HYPERLINK("https://klasma.github.io/Logging_2523/artfynd/A 14627-2026 artfynd.xlsx", "A 14627-2026")</f>
        <v/>
      </c>
      <c r="X22">
        <f>HYPERLINK("https://klasma.github.io/Logging_2523/kartor/A 14627-2026 karta.png", "A 14627-2026")</f>
        <v/>
      </c>
      <c r="Y22">
        <f>HYPERLINK("https://klasma.github.io/Logging_2523/kartor_geotiff/A 14627-2026 georefererad karta.tif", "A 14627-2026")</f>
        <v/>
      </c>
      <c r="AA22">
        <f>HYPERLINK("https://klasma.github.io/Logging_2523/klagomål/A 14627-2026 FSC-klagomål.docx", "A 14627-2026")</f>
        <v/>
      </c>
      <c r="AB22">
        <f>HYPERLINK("https://klasma.github.io/Logging_2523/klagomålsmail/A 14627-2026 FSC-klagomål mail.docx", "A 14627-2026")</f>
        <v/>
      </c>
      <c r="AC22">
        <f>HYPERLINK("https://klasma.github.io/Logging_2523/tillsyn/A 14627-2026 tillsynsbegäran.docx", "A 14627-2026")</f>
        <v/>
      </c>
      <c r="AD22">
        <f>HYPERLINK("https://klasma.github.io/Logging_2523/tillsynsmail/A 14627-2026 tillsynsbegäran mail.docx", "A 14627-2026")</f>
        <v/>
      </c>
      <c r="AE22">
        <f>HYPERLINK("https://klasma.github.io/Logging_2523/fåglar/A 14627-2026 prioriterade fågelarter.docx", "A 14627-2026")</f>
        <v/>
      </c>
    </row>
    <row r="23" ht="15" customHeight="1">
      <c r="A23" t="inlineStr">
        <is>
          <t>A 37295-2026</t>
        </is>
      </c>
      <c r="B23" t="inlineStr">
        <is>
          <t>avverkningsanmälan</t>
        </is>
      </c>
      <c r="C23" t="inlineStr">
        <is>
          <t>Avverkning för annat ändamål</t>
        </is>
      </c>
      <c r="D23" s="1" t="n">
        <v>46274</v>
      </c>
      <c r="E23" s="1" t="n">
        <v>46307</v>
      </c>
      <c r="F23" t="inlineStr">
        <is>
          <t>NORRBOTTENS LÄN</t>
        </is>
      </c>
      <c r="G23" t="inlineStr">
        <is>
          <t>GÄLLIVARE</t>
        </is>
      </c>
      <c r="H23" t="inlineStr">
        <is>
          <t>Kommuner</t>
        </is>
      </c>
      <c r="I23" t="n">
        <v>2.7</v>
      </c>
      <c r="J23" t="n">
        <v>6</v>
      </c>
      <c r="K23" t="n">
        <v>2</v>
      </c>
      <c r="L23" t="n">
        <v>3</v>
      </c>
      <c r="M23" t="n">
        <v>0</v>
      </c>
      <c r="N23" t="n">
        <v>0</v>
      </c>
      <c r="O23" t="n">
        <v>0</v>
      </c>
      <c r="P23" t="n">
        <v>0</v>
      </c>
      <c r="Q23" t="n">
        <v>3</v>
      </c>
      <c r="R23" t="n">
        <v>0</v>
      </c>
      <c r="S23" t="n">
        <v>8</v>
      </c>
      <c r="T23" t="n">
        <v>16</v>
      </c>
      <c r="U23" t="n">
        <v>0</v>
      </c>
      <c r="V23" s="2" t="inlineStr">
        <is>
          <t>Höstlåsbräken
Talltita
Tretåig hackspett
Plattlummer
Ögonpyrola
Hultbräken
Utter
Revlummer</t>
        </is>
      </c>
      <c r="W23">
        <f>HYPERLINK("https://klasma.github.io/Logging_2523/artfynd/A 37295-2026 artfynd.xlsx", "A 37295-2026")</f>
        <v/>
      </c>
      <c r="X23">
        <f>HYPERLINK("https://klasma.github.io/Logging_2523/kartor/A 37295-2026 karta.png", "A 37295-2026")</f>
        <v/>
      </c>
      <c r="Y23">
        <f>HYPERLINK("https://klasma.github.io/Logging_2523/kartor_geotiff/A 37295-2026 georefererad karta.tif", "A 37295-2026")</f>
        <v/>
      </c>
      <c r="AA23">
        <f>HYPERLINK("https://klasma.github.io/Logging_2523/klagomål/A 37295-2026 FSC-klagomål.docx", "A 37295-2026")</f>
        <v/>
      </c>
      <c r="AB23">
        <f>HYPERLINK("https://klasma.github.io/Logging_2523/klagomålsmail/A 37295-2026 FSC-klagomål mail.docx", "A 37295-2026")</f>
        <v/>
      </c>
      <c r="AC23">
        <f>HYPERLINK("https://klasma.github.io/Logging_2523/tillsyn/A 37295-2026 tillsynsbegäran.docx", "A 37295-2026")</f>
        <v/>
      </c>
      <c r="AD23">
        <f>HYPERLINK("https://klasma.github.io/Logging_2523/tillsynsmail/A 37295-2026 tillsynsbegäran mail.docx", "A 37295-2026")</f>
        <v/>
      </c>
      <c r="AE23">
        <f>HYPERLINK("https://klasma.github.io/Logging_2523/fåglar/A 37295-2026 prioriterade fågelarter.docx", "A 37295-2026")</f>
        <v/>
      </c>
    </row>
    <row r="24" ht="15" customHeight="1">
      <c r="A24" t="inlineStr">
        <is>
          <t>A 30587-2026</t>
        </is>
      </c>
      <c r="B24" t="inlineStr">
        <is>
          <t>avverkningsanmälan</t>
        </is>
      </c>
      <c r="C24" t="inlineStr">
        <is>
          <t>Föryngringsavverkning</t>
        </is>
      </c>
      <c r="D24" s="1" t="n">
        <v>46210</v>
      </c>
      <c r="E24" s="1" t="n">
        <v>46307</v>
      </c>
      <c r="F24" t="inlineStr">
        <is>
          <t>NORRBOTTENS LÄN</t>
        </is>
      </c>
      <c r="G24" t="inlineStr">
        <is>
          <t>GÄLLIVARE</t>
        </is>
      </c>
      <c r="H24" t="inlineStr">
        <is>
          <t>Sveaskog</t>
        </is>
      </c>
      <c r="I24" t="n">
        <v>8.300000000000001</v>
      </c>
      <c r="J24" t="n">
        <v>4</v>
      </c>
      <c r="K24" t="n">
        <v>1</v>
      </c>
      <c r="L24" t="n">
        <v>3</v>
      </c>
      <c r="M24" t="n">
        <v>0</v>
      </c>
      <c r="N24" t="n">
        <v>0</v>
      </c>
      <c r="O24" t="n">
        <v>0</v>
      </c>
      <c r="P24" t="n">
        <v>0</v>
      </c>
      <c r="Q24" t="n">
        <v>3</v>
      </c>
      <c r="R24" t="n">
        <v>0</v>
      </c>
      <c r="S24" t="n">
        <v>7</v>
      </c>
      <c r="T24" t="n">
        <v>8</v>
      </c>
      <c r="U24" t="n">
        <v>0</v>
      </c>
      <c r="V24" s="2" t="inlineStr">
        <is>
          <t>Blå taggsvamp
Orange taggsvamp
Äggvaxskivling
Plattlummer
Utter
Huggorm
Brudsporre</t>
        </is>
      </c>
      <c r="W24">
        <f>HYPERLINK("https://klasma.github.io/Logging_2523/artfynd/A 30587-2026 artfynd.xlsx", "A 30587-2026")</f>
        <v/>
      </c>
      <c r="X24">
        <f>HYPERLINK("https://klasma.github.io/Logging_2523/kartor/A 30587-2026 karta.png", "A 30587-2026")</f>
        <v/>
      </c>
      <c r="Y24">
        <f>HYPERLINK("https://klasma.github.io/Logging_2523/kartor_geotiff/A 30587-2026 georefererad karta.tif", "A 30587-2026")</f>
        <v/>
      </c>
      <c r="AA24">
        <f>HYPERLINK("https://klasma.github.io/Logging_2523/klagomål/A 30587-2026 FSC-klagomål.docx", "A 30587-2026")</f>
        <v/>
      </c>
      <c r="AB24">
        <f>HYPERLINK("https://klasma.github.io/Logging_2523/klagomålsmail/A 30587-2026 FSC-klagomål mail.docx", "A 30587-2026")</f>
        <v/>
      </c>
      <c r="AC24">
        <f>HYPERLINK("https://klasma.github.io/Logging_2523/tillsyn/A 30587-2026 tillsynsbegäran.docx", "A 30587-2026")</f>
        <v/>
      </c>
      <c r="AD24">
        <f>HYPERLINK("https://klasma.github.io/Logging_2523/tillsynsmail/A 30587-2026 tillsynsbegäran mail.docx", "A 30587-2026")</f>
        <v/>
      </c>
    </row>
    <row r="25" ht="15" customHeight="1">
      <c r="A25" t="inlineStr">
        <is>
          <t>A 37219-2026</t>
        </is>
      </c>
      <c r="B25" t="inlineStr">
        <is>
          <t>avverkningsanmälan</t>
        </is>
      </c>
      <c r="C25" t="inlineStr">
        <is>
          <t>Avverkning för annat ändamål</t>
        </is>
      </c>
      <c r="D25" s="1" t="n">
        <v>46274</v>
      </c>
      <c r="E25" s="1" t="n">
        <v>46307</v>
      </c>
      <c r="F25" t="inlineStr">
        <is>
          <t>NORRBOTTENS LÄN</t>
        </is>
      </c>
      <c r="G25" t="inlineStr">
        <is>
          <t>GÄLLIVARE</t>
        </is>
      </c>
      <c r="H25" t="inlineStr">
        <is>
          <t>Kommuner</t>
        </is>
      </c>
      <c r="I25" t="n">
        <v>2.4</v>
      </c>
      <c r="J25" t="n">
        <v>5</v>
      </c>
      <c r="K25" t="n">
        <v>2</v>
      </c>
      <c r="L25" t="n">
        <v>2</v>
      </c>
      <c r="M25" t="n">
        <v>0</v>
      </c>
      <c r="N25" t="n">
        <v>0</v>
      </c>
      <c r="O25" t="n">
        <v>0</v>
      </c>
      <c r="P25" t="n">
        <v>0</v>
      </c>
      <c r="Q25" t="n">
        <v>2</v>
      </c>
      <c r="R25" t="n">
        <v>0</v>
      </c>
      <c r="S25" t="n">
        <v>7</v>
      </c>
      <c r="T25" t="n">
        <v>11</v>
      </c>
      <c r="U25" t="n">
        <v>0</v>
      </c>
      <c r="V25" s="2" t="inlineStr">
        <is>
          <t>Talltita
Tretåig hackspett
Plattlummer
Ögonpyrola
Hultbräken
Utter
Revlummer</t>
        </is>
      </c>
      <c r="W25">
        <f>HYPERLINK("https://klasma.github.io/Logging_2523/artfynd/A 37219-2026 artfynd.xlsx", "A 37219-2026")</f>
        <v/>
      </c>
      <c r="X25">
        <f>HYPERLINK("https://klasma.github.io/Logging_2523/kartor/A 37219-2026 karta.png", "A 37219-2026")</f>
        <v/>
      </c>
      <c r="Y25">
        <f>HYPERLINK("https://klasma.github.io/Logging_2523/kartor_geotiff/A 37219-2026 georefererad karta.tif", "A 37219-2026")</f>
        <v/>
      </c>
      <c r="AA25">
        <f>HYPERLINK("https://klasma.github.io/Logging_2523/klagomål/A 37219-2026 FSC-klagomål.docx", "A 37219-2026")</f>
        <v/>
      </c>
      <c r="AB25">
        <f>HYPERLINK("https://klasma.github.io/Logging_2523/klagomålsmail/A 37219-2026 FSC-klagomål mail.docx", "A 37219-2026")</f>
        <v/>
      </c>
      <c r="AC25">
        <f>HYPERLINK("https://klasma.github.io/Logging_2523/tillsyn/A 37219-2026 tillsynsbegäran.docx", "A 37219-2026")</f>
        <v/>
      </c>
      <c r="AD25">
        <f>HYPERLINK("https://klasma.github.io/Logging_2523/tillsynsmail/A 37219-2026 tillsynsbegäran mail.docx", "A 37219-2026")</f>
        <v/>
      </c>
      <c r="AE25">
        <f>HYPERLINK("https://klasma.github.io/Logging_2523/fåglar/A 37219-2026 prioriterade fågelarter.docx", "A 37219-2026")</f>
        <v/>
      </c>
    </row>
    <row r="26" ht="15" customHeight="1">
      <c r="A26" t="inlineStr">
        <is>
          <t>A 28449-2026</t>
        </is>
      </c>
      <c r="B26" t="inlineStr">
        <is>
          <t>avverkningsanmälan</t>
        </is>
      </c>
      <c r="C26" t="inlineStr">
        <is>
          <t>Föryngringsavverkning</t>
        </is>
      </c>
      <c r="D26" s="1" t="n">
        <v>46197</v>
      </c>
      <c r="E26" s="1" t="n">
        <v>46307</v>
      </c>
      <c r="F26" t="inlineStr">
        <is>
          <t>NORRBOTTENS LÄN</t>
        </is>
      </c>
      <c r="G26" t="inlineStr">
        <is>
          <t>GÄLLIVARE</t>
        </is>
      </c>
      <c r="H26" t="inlineStr">
        <is>
          <t>Sveaskog</t>
        </is>
      </c>
      <c r="I26" t="n">
        <v>4.5</v>
      </c>
      <c r="J26" t="n">
        <v>1</v>
      </c>
      <c r="K26" t="n">
        <v>2</v>
      </c>
      <c r="L26" t="n">
        <v>4</v>
      </c>
      <c r="M26" t="n">
        <v>0</v>
      </c>
      <c r="N26" t="n">
        <v>0</v>
      </c>
      <c r="O26" t="n">
        <v>0</v>
      </c>
      <c r="P26" t="n">
        <v>0</v>
      </c>
      <c r="Q26" t="n">
        <v>4</v>
      </c>
      <c r="R26" t="n">
        <v>0</v>
      </c>
      <c r="S26" t="n">
        <v>6</v>
      </c>
      <c r="T26" t="n">
        <v>8</v>
      </c>
      <c r="U26" t="n">
        <v>0</v>
      </c>
      <c r="V26" s="2" t="inlineStr">
        <is>
          <t>Blå taggsvamp
Dropptaggsvamp
Orange taggsvamp
Svartvit taggsvamp
Bollvitmossa
Plattlummer</t>
        </is>
      </c>
      <c r="W26">
        <f>HYPERLINK("https://klasma.github.io/Logging_2523/artfynd/A 28449-2026 artfynd.xlsx", "A 28449-2026")</f>
        <v/>
      </c>
      <c r="X26">
        <f>HYPERLINK("https://klasma.github.io/Logging_2523/kartor/A 28449-2026 karta.png", "A 28449-2026")</f>
        <v/>
      </c>
      <c r="Y26">
        <f>HYPERLINK("https://klasma.github.io/Logging_2523/kartor_geotiff/A 28449-2026 georefererad karta.tif", "A 28449-2026")</f>
        <v/>
      </c>
      <c r="AA26">
        <f>HYPERLINK("https://klasma.github.io/Logging_2523/klagomål/A 28449-2026 FSC-klagomål.docx", "A 28449-2026")</f>
        <v/>
      </c>
      <c r="AB26">
        <f>HYPERLINK("https://klasma.github.io/Logging_2523/klagomålsmail/A 28449-2026 FSC-klagomål mail.docx", "A 28449-2026")</f>
        <v/>
      </c>
      <c r="AC26">
        <f>HYPERLINK("https://klasma.github.io/Logging_2523/tillsyn/A 28449-2026 tillsynsbegäran.docx", "A 28449-2026")</f>
        <v/>
      </c>
      <c r="AD26">
        <f>HYPERLINK("https://klasma.github.io/Logging_2523/tillsynsmail/A 28449-2026 tillsynsbegäran mail.docx", "A 28449-2026")</f>
        <v/>
      </c>
    </row>
    <row r="27" ht="15" customHeight="1">
      <c r="A27" t="inlineStr">
        <is>
          <t>A 31427-2026</t>
        </is>
      </c>
      <c r="B27" t="inlineStr">
        <is>
          <t>avverkningsanmälan</t>
        </is>
      </c>
      <c r="C27" t="inlineStr">
        <is>
          <t>Föryngringsavverkning</t>
        </is>
      </c>
      <c r="D27" s="1" t="n">
        <v>46220</v>
      </c>
      <c r="E27" s="1" t="n">
        <v>46307</v>
      </c>
      <c r="F27" t="inlineStr">
        <is>
          <t>NORRBOTTENS LÄN</t>
        </is>
      </c>
      <c r="G27" t="inlineStr">
        <is>
          <t>GÄLLIVARE</t>
        </is>
      </c>
      <c r="H27" t="inlineStr">
        <is>
          <t>Sveaskog</t>
        </is>
      </c>
      <c r="I27" t="n">
        <v>7.4</v>
      </c>
      <c r="J27" t="n">
        <v>2</v>
      </c>
      <c r="K27" t="n">
        <v>0</v>
      </c>
      <c r="L27" t="n">
        <v>4</v>
      </c>
      <c r="M27" t="n">
        <v>2</v>
      </c>
      <c r="N27" t="n">
        <v>0</v>
      </c>
      <c r="O27" t="n">
        <v>0</v>
      </c>
      <c r="P27" t="n">
        <v>0</v>
      </c>
      <c r="Q27" t="n">
        <v>6</v>
      </c>
      <c r="R27" t="n">
        <v>2</v>
      </c>
      <c r="S27" t="n">
        <v>6</v>
      </c>
      <c r="T27" t="n">
        <v>7</v>
      </c>
      <c r="U27" t="n">
        <v>0</v>
      </c>
      <c r="V27" s="2" t="inlineStr">
        <is>
          <t>Doftticka
Knärot
Brunpudrad nållav
Harticka
Lunglav
Tallticka</t>
        </is>
      </c>
      <c r="W27">
        <f>HYPERLINK("https://klasma.github.io/Logging_2523/artfynd/A 31427-2026 artfynd.xlsx", "A 31427-2026")</f>
        <v/>
      </c>
      <c r="X27">
        <f>HYPERLINK("https://klasma.github.io/Logging_2523/kartor/A 31427-2026 karta.png", "A 31427-2026")</f>
        <v/>
      </c>
      <c r="Y27">
        <f>HYPERLINK("https://klasma.github.io/Logging_2523/kartor_geotiff/A 31427-2026 georefererad karta.tif", "A 31427-2026")</f>
        <v/>
      </c>
      <c r="Z27">
        <f>HYPERLINK("https://klasma.github.io/Logging_2523/knärot/A 31427-2026 karta knärot.png", "A 31427-2026")</f>
        <v/>
      </c>
      <c r="AA27">
        <f>HYPERLINK("https://klasma.github.io/Logging_2523/klagomål/A 31427-2026 FSC-klagomål.docx", "A 31427-2026")</f>
        <v/>
      </c>
      <c r="AB27">
        <f>HYPERLINK("https://klasma.github.io/Logging_2523/klagomålsmail/A 31427-2026 FSC-klagomål mail.docx", "A 31427-2026")</f>
        <v/>
      </c>
      <c r="AC27">
        <f>HYPERLINK("https://klasma.github.io/Logging_2523/tillsyn/A 31427-2026 tillsynsbegäran.docx", "A 31427-2026")</f>
        <v/>
      </c>
      <c r="AD27">
        <f>HYPERLINK("https://klasma.github.io/Logging_2523/tillsynsmail/A 31427-2026 tillsynsbegäran mail.docx", "A 31427-2026")</f>
        <v/>
      </c>
    </row>
    <row r="28" ht="15" customHeight="1">
      <c r="A28" t="inlineStr">
        <is>
          <t>A 26739-2026</t>
        </is>
      </c>
      <c r="B28" t="inlineStr">
        <is>
          <t>avverkningsanmälan</t>
        </is>
      </c>
      <c r="C28" t="inlineStr">
        <is>
          <t>Föryngringsavverkning</t>
        </is>
      </c>
      <c r="D28" s="1" t="n">
        <v>46184</v>
      </c>
      <c r="E28" s="1" t="n">
        <v>46307</v>
      </c>
      <c r="F28" t="inlineStr">
        <is>
          <t>NORRBOTTENS LÄN</t>
        </is>
      </c>
      <c r="G28" t="inlineStr">
        <is>
          <t>GÄLLIVARE</t>
        </is>
      </c>
      <c r="H28" t="inlineStr">
        <is>
          <t>Övriga statliga verk och myndigheter</t>
        </is>
      </c>
      <c r="I28" t="n">
        <v>257.4</v>
      </c>
      <c r="J28" t="n">
        <v>1</v>
      </c>
      <c r="K28" t="n">
        <v>0</v>
      </c>
      <c r="L28" t="n">
        <v>5</v>
      </c>
      <c r="M28" t="n">
        <v>1</v>
      </c>
      <c r="N28" t="n">
        <v>0</v>
      </c>
      <c r="O28" t="n">
        <v>0</v>
      </c>
      <c r="P28" t="n">
        <v>0</v>
      </c>
      <c r="Q28" t="n">
        <v>6</v>
      </c>
      <c r="R28" t="n">
        <v>1</v>
      </c>
      <c r="S28" t="n">
        <v>6</v>
      </c>
      <c r="T28" t="n">
        <v>8</v>
      </c>
      <c r="U28" t="n">
        <v>0</v>
      </c>
      <c r="V28" s="2" t="inlineStr">
        <is>
          <t>Gränsticka
Knottrig blåslav
Lavskrika
Månlåsbräken
Rosenticka
Rynkskinn</t>
        </is>
      </c>
      <c r="W28">
        <f>HYPERLINK("https://klasma.github.io/Logging_2523/artfynd/A 26739-2026 artfynd.xlsx", "A 26739-2026")</f>
        <v/>
      </c>
      <c r="X28">
        <f>HYPERLINK("https://klasma.github.io/Logging_2523/kartor/A 26739-2026 karta.png", "A 26739-2026")</f>
        <v/>
      </c>
      <c r="Y28">
        <f>HYPERLINK("https://klasma.github.io/Logging_2523/kartor_geotiff/A 26739-2026 georefererad karta.tif", "A 26739-2026")</f>
        <v/>
      </c>
      <c r="AA28">
        <f>HYPERLINK("https://klasma.github.io/Logging_2523/klagomål/A 26739-2026 FSC-klagomål.docx", "A 26739-2026")</f>
        <v/>
      </c>
      <c r="AB28">
        <f>HYPERLINK("https://klasma.github.io/Logging_2523/klagomålsmail/A 26739-2026 FSC-klagomål mail.docx", "A 26739-2026")</f>
        <v/>
      </c>
      <c r="AC28">
        <f>HYPERLINK("https://klasma.github.io/Logging_2523/tillsyn/A 26739-2026 tillsynsbegäran.docx", "A 26739-2026")</f>
        <v/>
      </c>
      <c r="AD28">
        <f>HYPERLINK("https://klasma.github.io/Logging_2523/tillsynsmail/A 26739-2026 tillsynsbegäran mail.docx", "A 26739-2026")</f>
        <v/>
      </c>
      <c r="AE28">
        <f>HYPERLINK("https://klasma.github.io/Logging_2523/fåglar/A 26739-2026 prioriterade fågelarter.docx", "A 26739-2026")</f>
        <v/>
      </c>
    </row>
    <row r="29" ht="15" customHeight="1">
      <c r="A29" t="inlineStr">
        <is>
          <t>A 41652-2023</t>
        </is>
      </c>
      <c r="B29" t="inlineStr">
        <is>
          <t>avverkningsanmälan</t>
        </is>
      </c>
      <c r="C29" t="inlineStr">
        <is>
          <t>Föryngringsavverkning</t>
        </is>
      </c>
      <c r="D29" s="1" t="n">
        <v>45175</v>
      </c>
      <c r="E29" s="1" t="n">
        <v>46307</v>
      </c>
      <c r="F29" t="inlineStr">
        <is>
          <t>NORRBOTTENS LÄN</t>
        </is>
      </c>
      <c r="G29" t="inlineStr">
        <is>
          <t>GÄLLIVARE</t>
        </is>
      </c>
      <c r="H29" t="inlineStr">
        <is>
          <t>SCA</t>
        </is>
      </c>
      <c r="I29" t="n">
        <v>16.1</v>
      </c>
      <c r="J29" t="n">
        <v>1</v>
      </c>
      <c r="K29" t="n">
        <v>0</v>
      </c>
      <c r="L29" t="n">
        <v>3</v>
      </c>
      <c r="M29" t="n">
        <v>3</v>
      </c>
      <c r="N29" t="n">
        <v>0</v>
      </c>
      <c r="O29" t="n">
        <v>0</v>
      </c>
      <c r="P29" t="n">
        <v>0</v>
      </c>
      <c r="Q29" t="n">
        <v>6</v>
      </c>
      <c r="R29" t="n">
        <v>3</v>
      </c>
      <c r="S29" t="n">
        <v>6</v>
      </c>
      <c r="T29" t="n">
        <v>25</v>
      </c>
      <c r="U29" t="n">
        <v>24</v>
      </c>
      <c r="V29" s="2" t="inlineStr">
        <is>
          <t>Fläckporing
Garnlav
Mörk blåslav
Knottrig blåslav
Kolflarnlav
Tretåig hackspett</t>
        </is>
      </c>
      <c r="W29">
        <f>HYPERLINK("https://klasma.github.io/Logging_2523/artfynd/A 41652-2023 artfynd.xlsx", "A 41652-2023")</f>
        <v/>
      </c>
      <c r="X29">
        <f>HYPERLINK("https://klasma.github.io/Logging_2523/kartor/A 41652-2023 karta.png", "A 41652-2023")</f>
        <v/>
      </c>
      <c r="Y29">
        <f>HYPERLINK("https://klasma.github.io/Logging_2523/kartor_geotiff/A 41652-2023 georefererad karta.tif", "A 41652-2023")</f>
        <v/>
      </c>
      <c r="AA29">
        <f>HYPERLINK("https://klasma.github.io/Logging_2523/klagomål/A 41652-2023 FSC-klagomål.docx", "A 41652-2023")</f>
        <v/>
      </c>
      <c r="AB29">
        <f>HYPERLINK("https://klasma.github.io/Logging_2523/klagomålsmail/A 41652-2023 FSC-klagomål mail.docx", "A 41652-2023")</f>
        <v/>
      </c>
      <c r="AC29">
        <f>HYPERLINK("https://klasma.github.io/Logging_2523/tillsyn/A 41652-2023 tillsynsbegäran.docx", "A 41652-2023")</f>
        <v/>
      </c>
      <c r="AD29">
        <f>HYPERLINK("https://klasma.github.io/Logging_2523/tillsynsmail/A 41652-2023 tillsynsbegäran mail.docx", "A 41652-2023")</f>
        <v/>
      </c>
      <c r="AE29">
        <f>HYPERLINK("https://klasma.github.io/Logging_2523/fåglar/A 41652-2023 prioriterade fågelarter.docx", "A 41652-2023")</f>
        <v/>
      </c>
    </row>
    <row r="30" ht="15" customHeight="1">
      <c r="A30" t="inlineStr">
        <is>
          <t>A 5288-2023</t>
        </is>
      </c>
      <c r="B30" t="inlineStr">
        <is>
          <t>avverkningsanmälan</t>
        </is>
      </c>
      <c r="C30" t="inlineStr">
        <is>
          <t>Föryngringsavverkning</t>
        </is>
      </c>
      <c r="D30" s="1" t="n">
        <v>44959</v>
      </c>
      <c r="E30" s="1" t="n">
        <v>46307</v>
      </c>
      <c r="F30" t="inlineStr">
        <is>
          <t>NORRBOTTENS LÄN</t>
        </is>
      </c>
      <c r="G30" t="inlineStr">
        <is>
          <t>GÄLLIVARE</t>
        </is>
      </c>
      <c r="H30" t="inlineStr">
        <is>
          <t>SCA</t>
        </is>
      </c>
      <c r="I30" t="n">
        <v>12.2</v>
      </c>
      <c r="J30" t="n">
        <v>2</v>
      </c>
      <c r="K30" t="n">
        <v>2</v>
      </c>
      <c r="L30" t="n">
        <v>0</v>
      </c>
      <c r="M30" t="n">
        <v>2</v>
      </c>
      <c r="N30" t="n">
        <v>0</v>
      </c>
      <c r="O30" t="n">
        <v>0</v>
      </c>
      <c r="P30" t="n">
        <v>0</v>
      </c>
      <c r="Q30" t="n">
        <v>2</v>
      </c>
      <c r="R30" t="n">
        <v>2</v>
      </c>
      <c r="S30" t="n">
        <v>5</v>
      </c>
      <c r="T30" t="n">
        <v>5</v>
      </c>
      <c r="U30" t="n">
        <v>3</v>
      </c>
      <c r="V30" s="2" t="inlineStr">
        <is>
          <t>Smultronkantarell
Tallstocksticka
Spindelblomster
Stuplav
Tjäder</t>
        </is>
      </c>
      <c r="W30">
        <f>HYPERLINK("https://klasma.github.io/Logging_2523/artfynd/A 5288-2023 artfynd.xlsx", "A 5288-2023")</f>
        <v/>
      </c>
      <c r="X30">
        <f>HYPERLINK("https://klasma.github.io/Logging_2523/kartor/A 5288-2023 karta.png", "A 5288-2023")</f>
        <v/>
      </c>
      <c r="Y30">
        <f>HYPERLINK("https://klasma.github.io/Logging_2523/kartor_geotiff/A 5288-2023 georefererad karta.tif", "A 5288-2023")</f>
        <v/>
      </c>
      <c r="AA30">
        <f>HYPERLINK("https://klasma.github.io/Logging_2523/klagomål/A 5288-2023 FSC-klagomål.docx", "A 5288-2023")</f>
        <v/>
      </c>
      <c r="AB30">
        <f>HYPERLINK("https://klasma.github.io/Logging_2523/klagomålsmail/A 5288-2023 FSC-klagomål mail.docx", "A 5288-2023")</f>
        <v/>
      </c>
      <c r="AC30">
        <f>HYPERLINK("https://klasma.github.io/Logging_2523/tillsyn/A 5288-2023 tillsynsbegäran.docx", "A 5288-2023")</f>
        <v/>
      </c>
      <c r="AD30">
        <f>HYPERLINK("https://klasma.github.io/Logging_2523/tillsynsmail/A 5288-2023 tillsynsbegäran mail.docx", "A 5288-2023")</f>
        <v/>
      </c>
      <c r="AE30">
        <f>HYPERLINK("https://klasma.github.io/Logging_2523/fåglar/A 5288-2023 prioriterade fågelarter.docx", "A 5288-2023")</f>
        <v/>
      </c>
    </row>
    <row r="31" ht="15" customHeight="1">
      <c r="A31" t="inlineStr">
        <is>
          <t>A 40956-2025</t>
        </is>
      </c>
      <c r="B31" t="inlineStr">
        <is>
          <t>avverkningsanmälan</t>
        </is>
      </c>
      <c r="C31" t="inlineStr">
        <is>
          <t>Föryngringsavverkning</t>
        </is>
      </c>
      <c r="D31" s="1" t="n">
        <v>45897</v>
      </c>
      <c r="E31" s="1" t="n">
        <v>46307</v>
      </c>
      <c r="F31" t="inlineStr">
        <is>
          <t>NORRBOTTENS LÄN</t>
        </is>
      </c>
      <c r="G31" t="inlineStr">
        <is>
          <t>GÄLLIVARE</t>
        </is>
      </c>
      <c r="H31" t="inlineStr">
        <is>
          <t>SCA</t>
        </is>
      </c>
      <c r="I31" t="n">
        <v>0.4</v>
      </c>
      <c r="J31" t="n">
        <v>1</v>
      </c>
      <c r="K31" t="n">
        <v>1</v>
      </c>
      <c r="L31" t="n">
        <v>2</v>
      </c>
      <c r="M31" t="n">
        <v>1</v>
      </c>
      <c r="N31" t="n">
        <v>0</v>
      </c>
      <c r="O31" t="n">
        <v>0</v>
      </c>
      <c r="P31" t="n">
        <v>0</v>
      </c>
      <c r="Q31" t="n">
        <v>3</v>
      </c>
      <c r="R31" t="n">
        <v>1</v>
      </c>
      <c r="S31" t="n">
        <v>5</v>
      </c>
      <c r="T31" t="n">
        <v>5</v>
      </c>
      <c r="U31" t="n">
        <v>2</v>
      </c>
      <c r="V31" s="2" t="inlineStr">
        <is>
          <t>Skrovlig taggsvamp
Motaggsvamp
Orange taggsvamp
Vågbandad barkbock
Revlummer</t>
        </is>
      </c>
      <c r="W31">
        <f>HYPERLINK("https://klasma.github.io/Logging_2523/artfynd/A 40956-2025 artfynd.xlsx", "A 40956-2025")</f>
        <v/>
      </c>
      <c r="X31">
        <f>HYPERLINK("https://klasma.github.io/Logging_2523/kartor/A 40956-2025 karta.png", "A 40956-2025")</f>
        <v/>
      </c>
      <c r="Y31">
        <f>HYPERLINK("https://klasma.github.io/Logging_2523/kartor_geotiff/A 40956-2025 georefererad karta.tif", "A 40956-2025")</f>
        <v/>
      </c>
      <c r="AA31">
        <f>HYPERLINK("https://klasma.github.io/Logging_2523/klagomål/A 40956-2025 FSC-klagomål.docx", "A 40956-2025")</f>
        <v/>
      </c>
      <c r="AB31">
        <f>HYPERLINK("https://klasma.github.io/Logging_2523/klagomålsmail/A 40956-2025 FSC-klagomål mail.docx", "A 40956-2025")</f>
        <v/>
      </c>
      <c r="AC31">
        <f>HYPERLINK("https://klasma.github.io/Logging_2523/tillsyn/A 40956-2025 tillsynsbegäran.docx", "A 40956-2025")</f>
        <v/>
      </c>
      <c r="AD31">
        <f>HYPERLINK("https://klasma.github.io/Logging_2523/tillsynsmail/A 40956-2025 tillsynsbegäran mail.docx", "A 40956-2025")</f>
        <v/>
      </c>
    </row>
    <row r="32" ht="15" customHeight="1">
      <c r="A32" t="inlineStr">
        <is>
          <t>A 28460-2026</t>
        </is>
      </c>
      <c r="B32" t="inlineStr">
        <is>
          <t>avverkningsanmälan</t>
        </is>
      </c>
      <c r="C32" t="inlineStr">
        <is>
          <t>Föryngringsavverkning</t>
        </is>
      </c>
      <c r="D32" s="1" t="n">
        <v>46197</v>
      </c>
      <c r="E32" s="1" t="n">
        <v>46307</v>
      </c>
      <c r="F32" t="inlineStr">
        <is>
          <t>NORRBOTTENS LÄN</t>
        </is>
      </c>
      <c r="G32" t="inlineStr">
        <is>
          <t>GÄLLIVARE</t>
        </is>
      </c>
      <c r="H32" t="inlineStr">
        <is>
          <t>Sveaskog</t>
        </is>
      </c>
      <c r="I32" t="n">
        <v>3.3</v>
      </c>
      <c r="J32" t="n">
        <v>1</v>
      </c>
      <c r="K32" t="n">
        <v>1</v>
      </c>
      <c r="L32" t="n">
        <v>2</v>
      </c>
      <c r="M32" t="n">
        <v>2</v>
      </c>
      <c r="N32" t="n">
        <v>0</v>
      </c>
      <c r="O32" t="n">
        <v>0</v>
      </c>
      <c r="P32" t="n">
        <v>0</v>
      </c>
      <c r="Q32" t="n">
        <v>4</v>
      </c>
      <c r="R32" t="n">
        <v>2</v>
      </c>
      <c r="S32" t="n">
        <v>5</v>
      </c>
      <c r="T32" t="n">
        <v>8</v>
      </c>
      <c r="U32" t="n">
        <v>2</v>
      </c>
      <c r="V32" s="2" t="inlineStr">
        <is>
          <t>Garnlav
Knärot
Röd trolldruva
Skarp dropptaggsvamp
Ögonpyrola</t>
        </is>
      </c>
      <c r="W32">
        <f>HYPERLINK("https://klasma.github.io/Logging_2523/artfynd/A 28460-2026 artfynd.xlsx", "A 28460-2026")</f>
        <v/>
      </c>
      <c r="X32">
        <f>HYPERLINK("https://klasma.github.io/Logging_2523/kartor/A 28460-2026 karta.png", "A 28460-2026")</f>
        <v/>
      </c>
      <c r="Y32">
        <f>HYPERLINK("https://klasma.github.io/Logging_2523/kartor_geotiff/A 28460-2026 georefererad karta.tif", "A 28460-2026")</f>
        <v/>
      </c>
      <c r="Z32">
        <f>HYPERLINK("https://klasma.github.io/Logging_2523/knärot/A 28460-2026 karta knärot.png", "A 28460-2026")</f>
        <v/>
      </c>
      <c r="AA32">
        <f>HYPERLINK("https://klasma.github.io/Logging_2523/klagomål/A 28460-2026 FSC-klagomål.docx", "A 28460-2026")</f>
        <v/>
      </c>
      <c r="AB32">
        <f>HYPERLINK("https://klasma.github.io/Logging_2523/klagomålsmail/A 28460-2026 FSC-klagomål mail.docx", "A 28460-2026")</f>
        <v/>
      </c>
      <c r="AC32">
        <f>HYPERLINK("https://klasma.github.io/Logging_2523/tillsyn/A 28460-2026 tillsynsbegäran.docx", "A 28460-2026")</f>
        <v/>
      </c>
      <c r="AD32">
        <f>HYPERLINK("https://klasma.github.io/Logging_2523/tillsynsmail/A 28460-2026 tillsynsbegäran mail.docx", "A 28460-2026")</f>
        <v/>
      </c>
    </row>
    <row r="33" ht="15" customHeight="1">
      <c r="A33" t="inlineStr">
        <is>
          <t>A 28464-2026</t>
        </is>
      </c>
      <c r="B33" t="inlineStr">
        <is>
          <t>avverkningsanmälan</t>
        </is>
      </c>
      <c r="C33" t="inlineStr">
        <is>
          <t>Föryngringsavverkning</t>
        </is>
      </c>
      <c r="D33" s="1" t="n">
        <v>46197</v>
      </c>
      <c r="E33" s="1" t="n">
        <v>46307</v>
      </c>
      <c r="F33" t="inlineStr">
        <is>
          <t>NORRBOTTENS LÄN</t>
        </is>
      </c>
      <c r="G33" t="inlineStr">
        <is>
          <t>GÄLLIVARE</t>
        </is>
      </c>
      <c r="H33" t="inlineStr">
        <is>
          <t>Sveaskog</t>
        </is>
      </c>
      <c r="I33" t="n">
        <v>7.6</v>
      </c>
      <c r="J33" t="n">
        <v>2</v>
      </c>
      <c r="K33" t="n">
        <v>3</v>
      </c>
      <c r="L33" t="n">
        <v>1</v>
      </c>
      <c r="M33" t="n">
        <v>0</v>
      </c>
      <c r="N33" t="n">
        <v>0</v>
      </c>
      <c r="O33" t="n">
        <v>0</v>
      </c>
      <c r="P33" t="n">
        <v>0</v>
      </c>
      <c r="Q33" t="n">
        <v>1</v>
      </c>
      <c r="R33" t="n">
        <v>0</v>
      </c>
      <c r="S33" t="n">
        <v>5</v>
      </c>
      <c r="T33" t="n">
        <v>8</v>
      </c>
      <c r="U33" t="n">
        <v>2</v>
      </c>
      <c r="V33" s="2" t="inlineStr">
        <is>
          <t>Orange taggsvamp
Plattlummer
Stuplav
Ögonpyrola
Fjällummer</t>
        </is>
      </c>
      <c r="W33">
        <f>HYPERLINK("https://klasma.github.io/Logging_2523/artfynd/A 28464-2026 artfynd.xlsx", "A 28464-2026")</f>
        <v/>
      </c>
      <c r="X33">
        <f>HYPERLINK("https://klasma.github.io/Logging_2523/kartor/A 28464-2026 karta.png", "A 28464-2026")</f>
        <v/>
      </c>
      <c r="Y33">
        <f>HYPERLINK("https://klasma.github.io/Logging_2523/kartor_geotiff/A 28464-2026 georefererad karta.tif", "A 28464-2026")</f>
        <v/>
      </c>
      <c r="AA33">
        <f>HYPERLINK("https://klasma.github.io/Logging_2523/klagomål/A 28464-2026 FSC-klagomål.docx", "A 28464-2026")</f>
        <v/>
      </c>
      <c r="AB33">
        <f>HYPERLINK("https://klasma.github.io/Logging_2523/klagomålsmail/A 28464-2026 FSC-klagomål mail.docx", "A 28464-2026")</f>
        <v/>
      </c>
      <c r="AC33">
        <f>HYPERLINK("https://klasma.github.io/Logging_2523/tillsyn/A 28464-2026 tillsynsbegäran.docx", "A 28464-2026")</f>
        <v/>
      </c>
      <c r="AD33">
        <f>HYPERLINK("https://klasma.github.io/Logging_2523/tillsynsmail/A 28464-2026 tillsynsbegäran mail.docx", "A 28464-2026")</f>
        <v/>
      </c>
    </row>
    <row r="34" ht="15" customHeight="1">
      <c r="A34" t="inlineStr">
        <is>
          <t>A 31005-2026</t>
        </is>
      </c>
      <c r="B34" t="inlineStr">
        <is>
          <t>avverkningsanmälan</t>
        </is>
      </c>
      <c r="C34" t="inlineStr">
        <is>
          <t>Föryngringsavverkning</t>
        </is>
      </c>
      <c r="D34" s="1" t="n">
        <v>46213</v>
      </c>
      <c r="E34" s="1" t="n">
        <v>46307</v>
      </c>
      <c r="F34" t="inlineStr">
        <is>
          <t>NORRBOTTENS LÄN</t>
        </is>
      </c>
      <c r="G34" t="inlineStr">
        <is>
          <t>GÄLLIVARE</t>
        </is>
      </c>
      <c r="H34" t="inlineStr">
        <is>
          <t>Sveaskog</t>
        </is>
      </c>
      <c r="I34" t="n">
        <v>53.3</v>
      </c>
      <c r="J34" t="n">
        <v>1</v>
      </c>
      <c r="K34" t="n">
        <v>1</v>
      </c>
      <c r="L34" t="n">
        <v>3</v>
      </c>
      <c r="M34" t="n">
        <v>1</v>
      </c>
      <c r="N34" t="n">
        <v>0</v>
      </c>
      <c r="O34" t="n">
        <v>0</v>
      </c>
      <c r="P34" t="n">
        <v>0</v>
      </c>
      <c r="Q34" t="n">
        <v>4</v>
      </c>
      <c r="R34" t="n">
        <v>1</v>
      </c>
      <c r="S34" t="n">
        <v>5</v>
      </c>
      <c r="T34" t="n">
        <v>8</v>
      </c>
      <c r="U34" t="n">
        <v>0</v>
      </c>
      <c r="V34" s="2" t="inlineStr">
        <is>
          <t>Ostticka
Lunglav
Rosenticka
Stjärntagging
Spindelblomster</t>
        </is>
      </c>
      <c r="W34">
        <f>HYPERLINK("https://klasma.github.io/Logging_2523/artfynd/A 31005-2026 artfynd.xlsx", "A 31005-2026")</f>
        <v/>
      </c>
      <c r="X34">
        <f>HYPERLINK("https://klasma.github.io/Logging_2523/kartor/A 31005-2026 karta.png", "A 31005-2026")</f>
        <v/>
      </c>
      <c r="Y34">
        <f>HYPERLINK("https://klasma.github.io/Logging_2523/kartor_geotiff/A 31005-2026 georefererad karta.tif", "A 31005-2026")</f>
        <v/>
      </c>
      <c r="AA34">
        <f>HYPERLINK("https://klasma.github.io/Logging_2523/klagomål/A 31005-2026 FSC-klagomål.docx", "A 31005-2026")</f>
        <v/>
      </c>
      <c r="AB34">
        <f>HYPERLINK("https://klasma.github.io/Logging_2523/klagomålsmail/A 31005-2026 FSC-klagomål mail.docx", "A 31005-2026")</f>
        <v/>
      </c>
      <c r="AC34">
        <f>HYPERLINK("https://klasma.github.io/Logging_2523/tillsyn/A 31005-2026 tillsynsbegäran.docx", "A 31005-2026")</f>
        <v/>
      </c>
      <c r="AD34">
        <f>HYPERLINK("https://klasma.github.io/Logging_2523/tillsynsmail/A 31005-2026 tillsynsbegäran mail.docx", "A 31005-2026")</f>
        <v/>
      </c>
    </row>
    <row r="35" ht="15" customHeight="1">
      <c r="A35" t="inlineStr">
        <is>
          <t>A 24185-2025</t>
        </is>
      </c>
      <c r="B35" t="inlineStr">
        <is>
          <t>avverkningsanmälan</t>
        </is>
      </c>
      <c r="C35" t="inlineStr">
        <is>
          <t>Föryngringsavverkning</t>
        </is>
      </c>
      <c r="D35" s="1" t="n">
        <v>45796</v>
      </c>
      <c r="E35" s="1" t="n">
        <v>46307</v>
      </c>
      <c r="F35" t="inlineStr">
        <is>
          <t>NORRBOTTENS LÄN</t>
        </is>
      </c>
      <c r="G35" t="inlineStr">
        <is>
          <t>GÄLLIVARE</t>
        </is>
      </c>
      <c r="H35" t="inlineStr">
        <is>
          <t>Allmännings- och besparingsskogar</t>
        </is>
      </c>
      <c r="I35" t="n">
        <v>10.6</v>
      </c>
      <c r="J35" t="n">
        <v>1</v>
      </c>
      <c r="K35" t="n">
        <v>2</v>
      </c>
      <c r="L35" t="n">
        <v>0</v>
      </c>
      <c r="M35" t="n">
        <v>1</v>
      </c>
      <c r="N35" t="n">
        <v>0</v>
      </c>
      <c r="O35" t="n">
        <v>0</v>
      </c>
      <c r="P35" t="n">
        <v>0</v>
      </c>
      <c r="Q35" t="n">
        <v>1</v>
      </c>
      <c r="R35" t="n">
        <v>1</v>
      </c>
      <c r="S35" t="n">
        <v>4</v>
      </c>
      <c r="T35" t="n">
        <v>7</v>
      </c>
      <c r="U35" t="n">
        <v>0</v>
      </c>
      <c r="V35" s="2" t="inlineStr">
        <is>
          <t>Garnlav
Grönpyrola
Nästlav
Revlummer</t>
        </is>
      </c>
      <c r="W35">
        <f>HYPERLINK("https://klasma.github.io/Logging_2523/artfynd/A 24185-2025 artfynd.xlsx", "A 24185-2025")</f>
        <v/>
      </c>
      <c r="X35">
        <f>HYPERLINK("https://klasma.github.io/Logging_2523/kartor/A 24185-2025 karta.png", "A 24185-2025")</f>
        <v/>
      </c>
      <c r="Y35">
        <f>HYPERLINK("https://klasma.github.io/Logging_2523/kartor_geotiff/A 24185-2025 georefererad karta.tif", "A 24185-2025")</f>
        <v/>
      </c>
      <c r="AA35">
        <f>HYPERLINK("https://klasma.github.io/Logging_2523/klagomål/A 24185-2025 FSC-klagomål.docx", "A 24185-2025")</f>
        <v/>
      </c>
      <c r="AB35">
        <f>HYPERLINK("https://klasma.github.io/Logging_2523/klagomålsmail/A 24185-2025 FSC-klagomål mail.docx", "A 24185-2025")</f>
        <v/>
      </c>
      <c r="AC35">
        <f>HYPERLINK("https://klasma.github.io/Logging_2523/tillsyn/A 24185-2025 tillsynsbegäran.docx", "A 24185-2025")</f>
        <v/>
      </c>
      <c r="AD35">
        <f>HYPERLINK("https://klasma.github.io/Logging_2523/tillsynsmail/A 24185-2025 tillsynsbegäran mail.docx", "A 24185-2025")</f>
        <v/>
      </c>
    </row>
    <row r="36" ht="15" customHeight="1">
      <c r="A36" t="inlineStr">
        <is>
          <t>A 25467-2026</t>
        </is>
      </c>
      <c r="B36" t="inlineStr">
        <is>
          <t>avverkningsanmälan</t>
        </is>
      </c>
      <c r="C36" t="inlineStr">
        <is>
          <t>Föryngringsavverkning</t>
        </is>
      </c>
      <c r="D36" s="1" t="n">
        <v>46177</v>
      </c>
      <c r="E36" s="1" t="n">
        <v>46307</v>
      </c>
      <c r="F36" t="inlineStr">
        <is>
          <t>NORRBOTTENS LÄN</t>
        </is>
      </c>
      <c r="G36" t="inlineStr">
        <is>
          <t>GÄLLIVARE</t>
        </is>
      </c>
      <c r="I36" t="n">
        <v>30.9</v>
      </c>
      <c r="J36" t="n">
        <v>2</v>
      </c>
      <c r="K36" t="n">
        <v>2</v>
      </c>
      <c r="L36" t="n">
        <v>1</v>
      </c>
      <c r="M36" t="n">
        <v>0</v>
      </c>
      <c r="N36" t="n">
        <v>0</v>
      </c>
      <c r="O36" t="n">
        <v>0</v>
      </c>
      <c r="P36" t="n">
        <v>0</v>
      </c>
      <c r="Q36" t="n">
        <v>1</v>
      </c>
      <c r="R36" t="n">
        <v>0</v>
      </c>
      <c r="S36" t="n">
        <v>4</v>
      </c>
      <c r="T36" t="n">
        <v>5</v>
      </c>
      <c r="U36" t="n">
        <v>0</v>
      </c>
      <c r="V36" s="2" t="inlineStr">
        <is>
          <t>Gammelgransskål
Källpraktmossa
Lappranunkel
Revlummer</t>
        </is>
      </c>
      <c r="W36">
        <f>HYPERLINK("https://klasma.github.io/Logging_2523/artfynd/A 25467-2026 artfynd.xlsx", "A 25467-2026")</f>
        <v/>
      </c>
      <c r="X36">
        <f>HYPERLINK("https://klasma.github.io/Logging_2523/kartor/A 25467-2026 karta.png", "A 25467-2026")</f>
        <v/>
      </c>
      <c r="Y36">
        <f>HYPERLINK("https://klasma.github.io/Logging_2523/kartor_geotiff/A 25467-2026 georefererad karta.tif", "A 25467-2026")</f>
        <v/>
      </c>
      <c r="AA36">
        <f>HYPERLINK("https://klasma.github.io/Logging_2523/klagomål/A 25467-2026 FSC-klagomål.docx", "A 25467-2026")</f>
        <v/>
      </c>
      <c r="AB36">
        <f>HYPERLINK("https://klasma.github.io/Logging_2523/klagomålsmail/A 25467-2026 FSC-klagomål mail.docx", "A 25467-2026")</f>
        <v/>
      </c>
      <c r="AC36">
        <f>HYPERLINK("https://klasma.github.io/Logging_2523/tillsyn/A 25467-2026 tillsynsbegäran.docx", "A 25467-2026")</f>
        <v/>
      </c>
      <c r="AD36">
        <f>HYPERLINK("https://klasma.github.io/Logging_2523/tillsynsmail/A 25467-2026 tillsynsbegäran mail.docx", "A 25467-2026")</f>
        <v/>
      </c>
    </row>
    <row r="37" ht="15" customHeight="1">
      <c r="A37" t="inlineStr">
        <is>
          <t>A 28451-2026</t>
        </is>
      </c>
      <c r="B37" t="inlineStr">
        <is>
          <t>avverkningsanmälan</t>
        </is>
      </c>
      <c r="C37" t="inlineStr">
        <is>
          <t>Föryngringsavverkning</t>
        </is>
      </c>
      <c r="D37" s="1" t="n">
        <v>46197</v>
      </c>
      <c r="E37" s="1" t="n">
        <v>46307</v>
      </c>
      <c r="F37" t="inlineStr">
        <is>
          <t>NORRBOTTENS LÄN</t>
        </is>
      </c>
      <c r="G37" t="inlineStr">
        <is>
          <t>GÄLLIVARE</t>
        </is>
      </c>
      <c r="H37" t="inlineStr">
        <is>
          <t>Sveaskog</t>
        </is>
      </c>
      <c r="I37" t="n">
        <v>6.2</v>
      </c>
      <c r="J37" t="n">
        <v>1</v>
      </c>
      <c r="K37" t="n">
        <v>2</v>
      </c>
      <c r="L37" t="n">
        <v>1</v>
      </c>
      <c r="M37" t="n">
        <v>1</v>
      </c>
      <c r="N37" t="n">
        <v>0</v>
      </c>
      <c r="O37" t="n">
        <v>0</v>
      </c>
      <c r="P37" t="n">
        <v>0</v>
      </c>
      <c r="Q37" t="n">
        <v>2</v>
      </c>
      <c r="R37" t="n">
        <v>1</v>
      </c>
      <c r="S37" t="n">
        <v>4</v>
      </c>
      <c r="T37" t="n">
        <v>6</v>
      </c>
      <c r="U37" t="n">
        <v>2</v>
      </c>
      <c r="V37" s="2" t="inlineStr">
        <is>
          <t>Garnlav
Röd trolldruva
Plattlummer
Ögonpyrola</t>
        </is>
      </c>
      <c r="W37">
        <f>HYPERLINK("https://klasma.github.io/Logging_2523/artfynd/A 28451-2026 artfynd.xlsx", "A 28451-2026")</f>
        <v/>
      </c>
      <c r="X37">
        <f>HYPERLINK("https://klasma.github.io/Logging_2523/kartor/A 28451-2026 karta.png", "A 28451-2026")</f>
        <v/>
      </c>
      <c r="Y37">
        <f>HYPERLINK("https://klasma.github.io/Logging_2523/kartor_geotiff/A 28451-2026 georefererad karta.tif", "A 28451-2026")</f>
        <v/>
      </c>
      <c r="Z37">
        <f>HYPERLINK("https://klasma.github.io/Logging_2523/knärot/A 28451-2026 karta knärot.png", "A 28451-2026")</f>
        <v/>
      </c>
      <c r="AA37">
        <f>HYPERLINK("https://klasma.github.io/Logging_2523/klagomål/A 28451-2026 FSC-klagomål.docx", "A 28451-2026")</f>
        <v/>
      </c>
      <c r="AB37">
        <f>HYPERLINK("https://klasma.github.io/Logging_2523/klagomålsmail/A 28451-2026 FSC-klagomål mail.docx", "A 28451-2026")</f>
        <v/>
      </c>
      <c r="AC37">
        <f>HYPERLINK("https://klasma.github.io/Logging_2523/tillsyn/A 28451-2026 tillsynsbegäran.docx", "A 28451-2026")</f>
        <v/>
      </c>
      <c r="AD37">
        <f>HYPERLINK("https://klasma.github.io/Logging_2523/tillsynsmail/A 28451-2026 tillsynsbegäran mail.docx", "A 28451-2026")</f>
        <v/>
      </c>
    </row>
    <row r="38" ht="15" customHeight="1">
      <c r="A38" t="inlineStr">
        <is>
          <t>A 30933-2026</t>
        </is>
      </c>
      <c r="B38" t="inlineStr">
        <is>
          <t>avverkningsanmälan</t>
        </is>
      </c>
      <c r="C38" t="inlineStr">
        <is>
          <t>Föryngringsavverkning</t>
        </is>
      </c>
      <c r="D38" s="1" t="n">
        <v>46213</v>
      </c>
      <c r="E38" s="1" t="n">
        <v>46307</v>
      </c>
      <c r="F38" t="inlineStr">
        <is>
          <t>NORRBOTTENS LÄN</t>
        </is>
      </c>
      <c r="G38" t="inlineStr">
        <is>
          <t>GÄLLIVARE</t>
        </is>
      </c>
      <c r="H38" t="inlineStr">
        <is>
          <t>Sveaskog</t>
        </is>
      </c>
      <c r="I38" t="n">
        <v>27.3</v>
      </c>
      <c r="J38" t="n">
        <v>1</v>
      </c>
      <c r="K38" t="n">
        <v>1</v>
      </c>
      <c r="L38" t="n">
        <v>2</v>
      </c>
      <c r="M38" t="n">
        <v>1</v>
      </c>
      <c r="N38" t="n">
        <v>0</v>
      </c>
      <c r="O38" t="n">
        <v>0</v>
      </c>
      <c r="P38" t="n">
        <v>0</v>
      </c>
      <c r="Q38" t="n">
        <v>3</v>
      </c>
      <c r="R38" t="n">
        <v>1</v>
      </c>
      <c r="S38" t="n">
        <v>4</v>
      </c>
      <c r="T38" t="n">
        <v>5</v>
      </c>
      <c r="U38" t="n">
        <v>1</v>
      </c>
      <c r="V38" s="2" t="inlineStr">
        <is>
          <t>Ostticka
Lunglav
Stjärntagging
Spindelblomster</t>
        </is>
      </c>
      <c r="W38">
        <f>HYPERLINK("https://klasma.github.io/Logging_2523/artfynd/A 30933-2026 artfynd.xlsx", "A 30933-2026")</f>
        <v/>
      </c>
      <c r="X38">
        <f>HYPERLINK("https://klasma.github.io/Logging_2523/kartor/A 30933-2026 karta.png", "A 30933-2026")</f>
        <v/>
      </c>
      <c r="Y38">
        <f>HYPERLINK("https://klasma.github.io/Logging_2523/kartor_geotiff/A 30933-2026 georefererad karta.tif", "A 30933-2026")</f>
        <v/>
      </c>
      <c r="AA38">
        <f>HYPERLINK("https://klasma.github.io/Logging_2523/klagomål/A 30933-2026 FSC-klagomål.docx", "A 30933-2026")</f>
        <v/>
      </c>
      <c r="AB38">
        <f>HYPERLINK("https://klasma.github.io/Logging_2523/klagomålsmail/A 30933-2026 FSC-klagomål mail.docx", "A 30933-2026")</f>
        <v/>
      </c>
      <c r="AC38">
        <f>HYPERLINK("https://klasma.github.io/Logging_2523/tillsyn/A 30933-2026 tillsynsbegäran.docx", "A 30933-2026")</f>
        <v/>
      </c>
      <c r="AD38">
        <f>HYPERLINK("https://klasma.github.io/Logging_2523/tillsynsmail/A 30933-2026 tillsynsbegäran mail.docx", "A 30933-2026")</f>
        <v/>
      </c>
    </row>
    <row r="39" ht="15" customHeight="1">
      <c r="A39" t="inlineStr">
        <is>
          <t>A 36014-2026</t>
        </is>
      </c>
      <c r="B39" t="inlineStr">
        <is>
          <t>avverkningsanmälan</t>
        </is>
      </c>
      <c r="C39" t="inlineStr">
        <is>
          <t>Föryngringsavverkning</t>
        </is>
      </c>
      <c r="D39" s="1" t="n">
        <v>46266</v>
      </c>
      <c r="E39" s="1" t="n">
        <v>46307</v>
      </c>
      <c r="F39" t="inlineStr">
        <is>
          <t>NORRBOTTENS LÄN</t>
        </is>
      </c>
      <c r="G39" t="inlineStr">
        <is>
          <t>GÄLLIVARE</t>
        </is>
      </c>
      <c r="H39" t="inlineStr">
        <is>
          <t>Allmännings- och besparingsskogar</t>
        </is>
      </c>
      <c r="I39" t="n">
        <v>18.9</v>
      </c>
      <c r="J39" t="n">
        <v>0</v>
      </c>
      <c r="K39" t="n">
        <v>0</v>
      </c>
      <c r="L39" t="n">
        <v>3</v>
      </c>
      <c r="M39" t="n">
        <v>1</v>
      </c>
      <c r="N39" t="n">
        <v>0</v>
      </c>
      <c r="O39" t="n">
        <v>0</v>
      </c>
      <c r="P39" t="n">
        <v>0</v>
      </c>
      <c r="Q39" t="n">
        <v>4</v>
      </c>
      <c r="R39" t="n">
        <v>1</v>
      </c>
      <c r="S39" t="n">
        <v>4</v>
      </c>
      <c r="T39" t="n">
        <v>4</v>
      </c>
      <c r="U39" t="n">
        <v>0</v>
      </c>
      <c r="V39" s="2" t="inlineStr">
        <is>
          <t>Garnlav
Gammelgransskål
Ullticka
Violmussling</t>
        </is>
      </c>
      <c r="W39">
        <f>HYPERLINK("https://klasma.github.io/Logging_2523/artfynd/A 36014-2026 artfynd.xlsx", "A 36014-2026")</f>
        <v/>
      </c>
      <c r="X39">
        <f>HYPERLINK("https://klasma.github.io/Logging_2523/kartor/A 36014-2026 karta.png", "A 36014-2026")</f>
        <v/>
      </c>
      <c r="Y39">
        <f>HYPERLINK("https://klasma.github.io/Logging_2523/kartor_geotiff/A 36014-2026 georefererad karta.tif", "A 36014-2026")</f>
        <v/>
      </c>
      <c r="AA39">
        <f>HYPERLINK("https://klasma.github.io/Logging_2523/klagomål/A 36014-2026 FSC-klagomål.docx", "A 36014-2026")</f>
        <v/>
      </c>
      <c r="AB39">
        <f>HYPERLINK("https://klasma.github.io/Logging_2523/klagomålsmail/A 36014-2026 FSC-klagomål mail.docx", "A 36014-2026")</f>
        <v/>
      </c>
      <c r="AC39">
        <f>HYPERLINK("https://klasma.github.io/Logging_2523/tillsyn/A 36014-2026 tillsynsbegäran.docx", "A 36014-2026")</f>
        <v/>
      </c>
      <c r="AD39">
        <f>HYPERLINK("https://klasma.github.io/Logging_2523/tillsynsmail/A 36014-2026 tillsynsbegäran mail.docx", "A 36014-2026")</f>
        <v/>
      </c>
    </row>
    <row r="40" ht="15" customHeight="1">
      <c r="A40" t="inlineStr">
        <is>
          <t>A 50729-2022</t>
        </is>
      </c>
      <c r="B40" t="inlineStr">
        <is>
          <t>avverkningsanmälan</t>
        </is>
      </c>
      <c r="C40" t="inlineStr">
        <is>
          <t>Föryngringsavverkning</t>
        </is>
      </c>
      <c r="D40" s="1" t="n">
        <v>44862</v>
      </c>
      <c r="E40" s="1" t="n">
        <v>46307</v>
      </c>
      <c r="F40" t="inlineStr">
        <is>
          <t>NORRBOTTENS LÄN</t>
        </is>
      </c>
      <c r="G40" t="inlineStr">
        <is>
          <t>GÄLLIVARE</t>
        </is>
      </c>
      <c r="H40" t="inlineStr">
        <is>
          <t>SCA</t>
        </is>
      </c>
      <c r="I40" t="n">
        <v>19.8</v>
      </c>
      <c r="J40" t="n">
        <v>1</v>
      </c>
      <c r="K40" t="n">
        <v>1</v>
      </c>
      <c r="L40" t="n">
        <v>2</v>
      </c>
      <c r="M40" t="n">
        <v>0</v>
      </c>
      <c r="N40" t="n">
        <v>0</v>
      </c>
      <c r="O40" t="n">
        <v>0</v>
      </c>
      <c r="P40" t="n">
        <v>0</v>
      </c>
      <c r="Q40" t="n">
        <v>2</v>
      </c>
      <c r="R40" t="n">
        <v>0</v>
      </c>
      <c r="S40" t="n">
        <v>3</v>
      </c>
      <c r="T40" t="n">
        <v>3</v>
      </c>
      <c r="U40" t="n">
        <v>3</v>
      </c>
      <c r="V40" s="2" t="inlineStr">
        <is>
          <t>Knottrig blåslav
Vedskivlav
Spindelblomster</t>
        </is>
      </c>
      <c r="W40">
        <f>HYPERLINK("https://klasma.github.io/Logging_2523/artfynd/A 50729-2022 artfynd.xlsx", "A 50729-2022")</f>
        <v/>
      </c>
      <c r="X40">
        <f>HYPERLINK("https://klasma.github.io/Logging_2523/kartor/A 50729-2022 karta.png", "A 50729-2022")</f>
        <v/>
      </c>
      <c r="Y40">
        <f>HYPERLINK("https://klasma.github.io/Logging_2523/kartor_geotiff/A 50729-2022 georefererad karta.tif", "A 50729-2022")</f>
        <v/>
      </c>
      <c r="AA40">
        <f>HYPERLINK("https://klasma.github.io/Logging_2523/klagomål/A 50729-2022 FSC-klagomål.docx", "A 50729-2022")</f>
        <v/>
      </c>
      <c r="AB40">
        <f>HYPERLINK("https://klasma.github.io/Logging_2523/klagomålsmail/A 50729-2022 FSC-klagomål mail.docx", "A 50729-2022")</f>
        <v/>
      </c>
      <c r="AC40">
        <f>HYPERLINK("https://klasma.github.io/Logging_2523/tillsyn/A 50729-2022 tillsynsbegäran.docx", "A 50729-2022")</f>
        <v/>
      </c>
      <c r="AD40">
        <f>HYPERLINK("https://klasma.github.io/Logging_2523/tillsynsmail/A 50729-2022 tillsynsbegäran mail.docx", "A 50729-2022")</f>
        <v/>
      </c>
    </row>
    <row r="41" ht="15" customHeight="1">
      <c r="A41" t="inlineStr">
        <is>
          <t>A 15151-2025</t>
        </is>
      </c>
      <c r="B41" t="inlineStr">
        <is>
          <t>avverkningsanmälan</t>
        </is>
      </c>
      <c r="C41" t="inlineStr">
        <is>
          <t>Avverkning för annat ändamål</t>
        </is>
      </c>
      <c r="D41" s="1" t="n">
        <v>45744</v>
      </c>
      <c r="E41" s="1" t="n">
        <v>46307</v>
      </c>
      <c r="F41" t="inlineStr">
        <is>
          <t>NORRBOTTENS LÄN</t>
        </is>
      </c>
      <c r="G41" t="inlineStr">
        <is>
          <t>GÄLLIVARE</t>
        </is>
      </c>
      <c r="H41" t="inlineStr">
        <is>
          <t>Sveaskog</t>
        </is>
      </c>
      <c r="I41" t="n">
        <v>0.9</v>
      </c>
      <c r="J41" t="n">
        <v>1</v>
      </c>
      <c r="K41" t="n">
        <v>0</v>
      </c>
      <c r="L41" t="n">
        <v>2</v>
      </c>
      <c r="M41" t="n">
        <v>1</v>
      </c>
      <c r="N41" t="n">
        <v>0</v>
      </c>
      <c r="O41" t="n">
        <v>0</v>
      </c>
      <c r="P41" t="n">
        <v>0</v>
      </c>
      <c r="Q41" t="n">
        <v>3</v>
      </c>
      <c r="R41" t="n">
        <v>1</v>
      </c>
      <c r="S41" t="n">
        <v>3</v>
      </c>
      <c r="T41" t="n">
        <v>3</v>
      </c>
      <c r="U41" t="n">
        <v>0</v>
      </c>
      <c r="V41" s="2" t="inlineStr">
        <is>
          <t>Mospindling
Skarp dropptaggsvamp
Talltita</t>
        </is>
      </c>
      <c r="W41">
        <f>HYPERLINK("https://klasma.github.io/Logging_2523/artfynd/A 15151-2025 artfynd.xlsx", "A 15151-2025")</f>
        <v/>
      </c>
      <c r="X41">
        <f>HYPERLINK("https://klasma.github.io/Logging_2523/kartor/A 15151-2025 karta.png", "A 15151-2025")</f>
        <v/>
      </c>
      <c r="Y41">
        <f>HYPERLINK("https://klasma.github.io/Logging_2523/kartor_geotiff/A 15151-2025 georefererad karta.tif", "A 15151-2025")</f>
        <v/>
      </c>
      <c r="AA41">
        <f>HYPERLINK("https://klasma.github.io/Logging_2523/klagomål/A 15151-2025 FSC-klagomål.docx", "A 15151-2025")</f>
        <v/>
      </c>
      <c r="AB41">
        <f>HYPERLINK("https://klasma.github.io/Logging_2523/klagomålsmail/A 15151-2025 FSC-klagomål mail.docx", "A 15151-2025")</f>
        <v/>
      </c>
      <c r="AC41">
        <f>HYPERLINK("https://klasma.github.io/Logging_2523/tillsyn/A 15151-2025 tillsynsbegäran.docx", "A 15151-2025")</f>
        <v/>
      </c>
      <c r="AD41">
        <f>HYPERLINK("https://klasma.github.io/Logging_2523/tillsynsmail/A 15151-2025 tillsynsbegäran mail.docx", "A 15151-2025")</f>
        <v/>
      </c>
      <c r="AE41">
        <f>HYPERLINK("https://klasma.github.io/Logging_2523/fåglar/A 15151-2025 prioriterade fågelarter.docx", "A 15151-2025")</f>
        <v/>
      </c>
    </row>
    <row r="42" ht="15" customHeight="1">
      <c r="A42" t="inlineStr">
        <is>
          <t>A 36981-2023</t>
        </is>
      </c>
      <c r="B42" t="inlineStr">
        <is>
          <t>avverkningsanmälan</t>
        </is>
      </c>
      <c r="C42" t="inlineStr">
        <is>
          <t>Föryngringsavverkning</t>
        </is>
      </c>
      <c r="D42" s="1" t="n">
        <v>45154</v>
      </c>
      <c r="E42" s="1" t="n">
        <v>46307</v>
      </c>
      <c r="F42" t="inlineStr">
        <is>
          <t>NORRBOTTENS LÄN</t>
        </is>
      </c>
      <c r="G42" t="inlineStr">
        <is>
          <t>GÄLLIVARE</t>
        </is>
      </c>
      <c r="H42" t="inlineStr">
        <is>
          <t>SCA</t>
        </is>
      </c>
      <c r="I42" t="n">
        <v>18.9</v>
      </c>
      <c r="J42" t="n">
        <v>3</v>
      </c>
      <c r="K42" t="n">
        <v>2</v>
      </c>
      <c r="L42" t="n">
        <v>0</v>
      </c>
      <c r="M42" t="n">
        <v>0</v>
      </c>
      <c r="N42" t="n">
        <v>0</v>
      </c>
      <c r="O42" t="n">
        <v>0</v>
      </c>
      <c r="P42" t="n">
        <v>0</v>
      </c>
      <c r="Q42" t="n">
        <v>0</v>
      </c>
      <c r="R42" t="n">
        <v>0</v>
      </c>
      <c r="S42" t="n">
        <v>3</v>
      </c>
      <c r="T42" t="n">
        <v>6</v>
      </c>
      <c r="U42" t="n">
        <v>6</v>
      </c>
      <c r="V42" s="2" t="inlineStr">
        <is>
          <t>Plattlummer
Spindelblomster
Revlummer</t>
        </is>
      </c>
      <c r="W42">
        <f>HYPERLINK("https://klasma.github.io/Logging_2523/artfynd/A 36981-2023 artfynd.xlsx", "A 36981-2023")</f>
        <v/>
      </c>
      <c r="X42">
        <f>HYPERLINK("https://klasma.github.io/Logging_2523/kartor/A 36981-2023 karta.png", "A 36981-2023")</f>
        <v/>
      </c>
      <c r="Y42">
        <f>HYPERLINK("https://klasma.github.io/Logging_2523/kartor_geotiff/A 36981-2023 georefererad karta.tif", "A 36981-2023")</f>
        <v/>
      </c>
      <c r="AA42">
        <f>HYPERLINK("https://klasma.github.io/Logging_2523/klagomål/A 36981-2023 FSC-klagomål.docx", "A 36981-2023")</f>
        <v/>
      </c>
      <c r="AB42">
        <f>HYPERLINK("https://klasma.github.io/Logging_2523/klagomålsmail/A 36981-2023 FSC-klagomål mail.docx", "A 36981-2023")</f>
        <v/>
      </c>
      <c r="AC42">
        <f>HYPERLINK("https://klasma.github.io/Logging_2523/tillsyn/A 36981-2023 tillsynsbegäran.docx", "A 36981-2023")</f>
        <v/>
      </c>
      <c r="AD42">
        <f>HYPERLINK("https://klasma.github.io/Logging_2523/tillsynsmail/A 36981-2023 tillsynsbegäran mail.docx", "A 36981-2023")</f>
        <v/>
      </c>
    </row>
    <row r="43" ht="15" customHeight="1">
      <c r="A43" t="inlineStr">
        <is>
          <t>A 23578-2025</t>
        </is>
      </c>
      <c r="B43" t="inlineStr">
        <is>
          <t>avverkningsanmälan</t>
        </is>
      </c>
      <c r="C43" t="inlineStr">
        <is>
          <t>Föryngringsavverkning</t>
        </is>
      </c>
      <c r="D43" s="1" t="n">
        <v>45792</v>
      </c>
      <c r="E43" s="1" t="n">
        <v>46307</v>
      </c>
      <c r="F43" t="inlineStr">
        <is>
          <t>NORRBOTTENS LÄN</t>
        </is>
      </c>
      <c r="G43" t="inlineStr">
        <is>
          <t>GÄLLIVARE</t>
        </is>
      </c>
      <c r="H43" t="inlineStr">
        <is>
          <t>Allmännings- och besparingsskogar</t>
        </is>
      </c>
      <c r="I43" t="n">
        <v>51.6</v>
      </c>
      <c r="J43" t="n">
        <v>1</v>
      </c>
      <c r="K43" t="n">
        <v>0</v>
      </c>
      <c r="L43" t="n">
        <v>2</v>
      </c>
      <c r="M43" t="n">
        <v>1</v>
      </c>
      <c r="N43" t="n">
        <v>0</v>
      </c>
      <c r="O43" t="n">
        <v>0</v>
      </c>
      <c r="P43" t="n">
        <v>0</v>
      </c>
      <c r="Q43" t="n">
        <v>3</v>
      </c>
      <c r="R43" t="n">
        <v>1</v>
      </c>
      <c r="S43" t="n">
        <v>3</v>
      </c>
      <c r="T43" t="n">
        <v>3</v>
      </c>
      <c r="U43" t="n">
        <v>0</v>
      </c>
      <c r="V43" s="2" t="inlineStr">
        <is>
          <t>Garnlav
Talltita
Vedflamlav</t>
        </is>
      </c>
      <c r="W43">
        <f>HYPERLINK("https://klasma.github.io/Logging_2523/artfynd/A 23578-2025 artfynd.xlsx", "A 23578-2025")</f>
        <v/>
      </c>
      <c r="X43">
        <f>HYPERLINK("https://klasma.github.io/Logging_2523/kartor/A 23578-2025 karta.png", "A 23578-2025")</f>
        <v/>
      </c>
      <c r="Y43">
        <f>HYPERLINK("https://klasma.github.io/Logging_2523/kartor_geotiff/A 23578-2025 georefererad karta.tif", "A 23578-2025")</f>
        <v/>
      </c>
      <c r="AA43">
        <f>HYPERLINK("https://klasma.github.io/Logging_2523/klagomål/A 23578-2025 FSC-klagomål.docx", "A 23578-2025")</f>
        <v/>
      </c>
      <c r="AB43">
        <f>HYPERLINK("https://klasma.github.io/Logging_2523/klagomålsmail/A 23578-2025 FSC-klagomål mail.docx", "A 23578-2025")</f>
        <v/>
      </c>
      <c r="AC43">
        <f>HYPERLINK("https://klasma.github.io/Logging_2523/tillsyn/A 23578-2025 tillsynsbegäran.docx", "A 23578-2025")</f>
        <v/>
      </c>
      <c r="AD43">
        <f>HYPERLINK("https://klasma.github.io/Logging_2523/tillsynsmail/A 23578-2025 tillsynsbegäran mail.docx", "A 23578-2025")</f>
        <v/>
      </c>
      <c r="AE43">
        <f>HYPERLINK("https://klasma.github.io/Logging_2523/fåglar/A 23578-2025 prioriterade fågelarter.docx", "A 23578-2025")</f>
        <v/>
      </c>
    </row>
    <row r="44" ht="15" customHeight="1">
      <c r="A44" t="inlineStr">
        <is>
          <t>A 14482-2023</t>
        </is>
      </c>
      <c r="B44" t="inlineStr">
        <is>
          <t>avverkningsanmälan</t>
        </is>
      </c>
      <c r="C44" t="inlineStr">
        <is>
          <t>Föryngringsavverkning</t>
        </is>
      </c>
      <c r="D44" s="1" t="n">
        <v>45012</v>
      </c>
      <c r="E44" s="1" t="n">
        <v>46307</v>
      </c>
      <c r="F44" t="inlineStr">
        <is>
          <t>NORRBOTTENS LÄN</t>
        </is>
      </c>
      <c r="G44" t="inlineStr">
        <is>
          <t>GÄLLIVARE</t>
        </is>
      </c>
      <c r="I44" t="n">
        <v>7.4</v>
      </c>
      <c r="J44" t="n">
        <v>0</v>
      </c>
      <c r="K44" t="n">
        <v>0</v>
      </c>
      <c r="L44" t="n">
        <v>1</v>
      </c>
      <c r="M44" t="n">
        <v>2</v>
      </c>
      <c r="N44" t="n">
        <v>0</v>
      </c>
      <c r="O44" t="n">
        <v>0</v>
      </c>
      <c r="P44" t="n">
        <v>0</v>
      </c>
      <c r="Q44" t="n">
        <v>3</v>
      </c>
      <c r="R44" t="n">
        <v>2</v>
      </c>
      <c r="S44" t="n">
        <v>3</v>
      </c>
      <c r="T44" t="n">
        <v>3</v>
      </c>
      <c r="U44" t="n">
        <v>0</v>
      </c>
      <c r="V44" s="2" t="inlineStr">
        <is>
          <t>Goliatmusseron
Tallgråticka
Blå taggsvamp</t>
        </is>
      </c>
      <c r="W44">
        <f>HYPERLINK("https://klasma.github.io/Logging_2523/artfynd/A 14482-2023 artfynd.xlsx", "A 14482-2023")</f>
        <v/>
      </c>
      <c r="X44">
        <f>HYPERLINK("https://klasma.github.io/Logging_2523/kartor/A 14482-2023 karta.png", "A 14482-2023")</f>
        <v/>
      </c>
      <c r="Y44">
        <f>HYPERLINK("https://klasma.github.io/Logging_2523/kartor_geotiff/A 14482-2023 georefererad karta.tif", "A 14482-2023")</f>
        <v/>
      </c>
      <c r="AA44">
        <f>HYPERLINK("https://klasma.github.io/Logging_2523/klagomål/A 14482-2023 FSC-klagomål.docx", "A 14482-2023")</f>
        <v/>
      </c>
      <c r="AB44">
        <f>HYPERLINK("https://klasma.github.io/Logging_2523/klagomålsmail/A 14482-2023 FSC-klagomål mail.docx", "A 14482-2023")</f>
        <v/>
      </c>
      <c r="AC44">
        <f>HYPERLINK("https://klasma.github.io/Logging_2523/tillsyn/A 14482-2023 tillsynsbegäran.docx", "A 14482-2023")</f>
        <v/>
      </c>
      <c r="AD44">
        <f>HYPERLINK("https://klasma.github.io/Logging_2523/tillsynsmail/A 14482-2023 tillsynsbegäran mail.docx", "A 14482-2023")</f>
        <v/>
      </c>
    </row>
    <row r="45" ht="15" customHeight="1">
      <c r="A45" t="inlineStr">
        <is>
          <t>A 36479-2025</t>
        </is>
      </c>
      <c r="B45" t="inlineStr">
        <is>
          <t>avverkningsanmälan</t>
        </is>
      </c>
      <c r="C45" t="inlineStr">
        <is>
          <t>Föryngringsavverkning</t>
        </is>
      </c>
      <c r="D45" s="1" t="n">
        <v>45869</v>
      </c>
      <c r="E45" s="1" t="n">
        <v>46307</v>
      </c>
      <c r="F45" t="inlineStr">
        <is>
          <t>NORRBOTTENS LÄN</t>
        </is>
      </c>
      <c r="G45" t="inlineStr">
        <is>
          <t>GÄLLIVARE</t>
        </is>
      </c>
      <c r="H45" t="inlineStr">
        <is>
          <t>Sveaskog</t>
        </is>
      </c>
      <c r="I45" t="n">
        <v>2.1</v>
      </c>
      <c r="J45" t="n">
        <v>2</v>
      </c>
      <c r="K45" t="n">
        <v>1</v>
      </c>
      <c r="L45" t="n">
        <v>0</v>
      </c>
      <c r="M45" t="n">
        <v>2</v>
      </c>
      <c r="N45" t="n">
        <v>0</v>
      </c>
      <c r="O45" t="n">
        <v>0</v>
      </c>
      <c r="P45" t="n">
        <v>0</v>
      </c>
      <c r="Q45" t="n">
        <v>2</v>
      </c>
      <c r="R45" t="n">
        <v>2</v>
      </c>
      <c r="S45" t="n">
        <v>3</v>
      </c>
      <c r="T45" t="n">
        <v>3</v>
      </c>
      <c r="U45" t="n">
        <v>1</v>
      </c>
      <c r="V45" s="2" t="inlineStr">
        <is>
          <t>Doftticka
Knärot
Stuplav</t>
        </is>
      </c>
      <c r="W45">
        <f>HYPERLINK("https://klasma.github.io/Logging_2523/artfynd/A 36479-2025 artfynd.xlsx", "A 36479-2025")</f>
        <v/>
      </c>
      <c r="X45">
        <f>HYPERLINK("https://klasma.github.io/Logging_2523/kartor/A 36479-2025 karta.png", "A 36479-2025")</f>
        <v/>
      </c>
      <c r="Y45">
        <f>HYPERLINK("https://klasma.github.io/Logging_2523/kartor_geotiff/A 36479-2025 georefererad karta.tif", "A 36479-2025")</f>
        <v/>
      </c>
      <c r="Z45">
        <f>HYPERLINK("https://klasma.github.io/Logging_2523/knärot/A 36479-2025 karta knärot.png", "A 36479-2025")</f>
        <v/>
      </c>
      <c r="AA45">
        <f>HYPERLINK("https://klasma.github.io/Logging_2523/klagomål/A 36479-2025 FSC-klagomål.docx", "A 36479-2025")</f>
        <v/>
      </c>
      <c r="AB45">
        <f>HYPERLINK("https://klasma.github.io/Logging_2523/klagomålsmail/A 36479-2025 FSC-klagomål mail.docx", "A 36479-2025")</f>
        <v/>
      </c>
      <c r="AC45">
        <f>HYPERLINK("https://klasma.github.io/Logging_2523/tillsyn/A 36479-2025 tillsynsbegäran.docx", "A 36479-2025")</f>
        <v/>
      </c>
      <c r="AD45">
        <f>HYPERLINK("https://klasma.github.io/Logging_2523/tillsynsmail/A 36479-2025 tillsynsbegäran mail.docx", "A 36479-2025")</f>
        <v/>
      </c>
    </row>
    <row r="46" ht="15" customHeight="1">
      <c r="A46" t="inlineStr">
        <is>
          <t>A 57369-2025</t>
        </is>
      </c>
      <c r="B46" t="inlineStr">
        <is>
          <t>avverkningsanmälan</t>
        </is>
      </c>
      <c r="C46" t="inlineStr">
        <is>
          <t>Föryngringsavverkning</t>
        </is>
      </c>
      <c r="D46" s="1" t="n">
        <v>45980</v>
      </c>
      <c r="E46" s="1" t="n">
        <v>46307</v>
      </c>
      <c r="F46" t="inlineStr">
        <is>
          <t>NORRBOTTENS LÄN</t>
        </is>
      </c>
      <c r="G46" t="inlineStr">
        <is>
          <t>GÄLLIVARE</t>
        </is>
      </c>
      <c r="I46" t="n">
        <v>2.7</v>
      </c>
      <c r="J46" t="n">
        <v>3</v>
      </c>
      <c r="K46" t="n">
        <v>0</v>
      </c>
      <c r="L46" t="n">
        <v>1</v>
      </c>
      <c r="M46" t="n">
        <v>0</v>
      </c>
      <c r="N46" t="n">
        <v>0</v>
      </c>
      <c r="O46" t="n">
        <v>0</v>
      </c>
      <c r="P46" t="n">
        <v>0</v>
      </c>
      <c r="Q46" t="n">
        <v>1</v>
      </c>
      <c r="R46" t="n">
        <v>0</v>
      </c>
      <c r="S46" t="n">
        <v>3</v>
      </c>
      <c r="T46" t="n">
        <v>3</v>
      </c>
      <c r="U46" t="n">
        <v>0</v>
      </c>
      <c r="V46" s="2" t="inlineStr">
        <is>
          <t>Lavskrika
Spillkråka
Tjäder</t>
        </is>
      </c>
      <c r="W46">
        <f>HYPERLINK("https://klasma.github.io/Logging_2523/artfynd/A 57369-2025 artfynd.xlsx", "A 57369-2025")</f>
        <v/>
      </c>
      <c r="X46">
        <f>HYPERLINK("https://klasma.github.io/Logging_2523/kartor/A 57369-2025 karta.png", "A 57369-2025")</f>
        <v/>
      </c>
      <c r="Y46">
        <f>HYPERLINK("https://klasma.github.io/Logging_2523/kartor_geotiff/A 57369-2025 georefererad karta.tif", "A 57369-2025")</f>
        <v/>
      </c>
      <c r="AA46">
        <f>HYPERLINK("https://klasma.github.io/Logging_2523/klagomål/A 57369-2025 FSC-klagomål.docx", "A 57369-2025")</f>
        <v/>
      </c>
      <c r="AB46">
        <f>HYPERLINK("https://klasma.github.io/Logging_2523/klagomålsmail/A 57369-2025 FSC-klagomål mail.docx", "A 57369-2025")</f>
        <v/>
      </c>
      <c r="AC46">
        <f>HYPERLINK("https://klasma.github.io/Logging_2523/tillsyn/A 57369-2025 tillsynsbegäran.docx", "A 57369-2025")</f>
        <v/>
      </c>
      <c r="AD46">
        <f>HYPERLINK("https://klasma.github.io/Logging_2523/tillsynsmail/A 57369-2025 tillsynsbegäran mail.docx", "A 57369-2025")</f>
        <v/>
      </c>
      <c r="AE46">
        <f>HYPERLINK("https://klasma.github.io/Logging_2523/fåglar/A 57369-2025 prioriterade fågelarter.docx", "A 57369-2025")</f>
        <v/>
      </c>
    </row>
    <row r="47" ht="15" customHeight="1">
      <c r="A47" t="inlineStr">
        <is>
          <t>A 26435-2024</t>
        </is>
      </c>
      <c r="B47" t="inlineStr">
        <is>
          <t>avverkningsanmälan</t>
        </is>
      </c>
      <c r="C47" t="inlineStr">
        <is>
          <t>Föryngringsavverkning</t>
        </is>
      </c>
      <c r="D47" s="1" t="n">
        <v>45469</v>
      </c>
      <c r="E47" s="1" t="n">
        <v>46307</v>
      </c>
      <c r="F47" t="inlineStr">
        <is>
          <t>NORRBOTTENS LÄN</t>
        </is>
      </c>
      <c r="G47" t="inlineStr">
        <is>
          <t>GÄLLIVARE</t>
        </is>
      </c>
      <c r="I47" t="n">
        <v>31.9</v>
      </c>
      <c r="J47" t="n">
        <v>3</v>
      </c>
      <c r="K47" t="n">
        <v>1</v>
      </c>
      <c r="L47" t="n">
        <v>1</v>
      </c>
      <c r="M47" t="n">
        <v>0</v>
      </c>
      <c r="N47" t="n">
        <v>0</v>
      </c>
      <c r="O47" t="n">
        <v>0</v>
      </c>
      <c r="P47" t="n">
        <v>0</v>
      </c>
      <c r="Q47" t="n">
        <v>1</v>
      </c>
      <c r="R47" t="n">
        <v>0</v>
      </c>
      <c r="S47" t="n">
        <v>3</v>
      </c>
      <c r="T47" t="n">
        <v>4</v>
      </c>
      <c r="U47" t="n">
        <v>4</v>
      </c>
      <c r="V47" s="2" t="inlineStr">
        <is>
          <t>Lavskrika
Plattlummer
Revlummer</t>
        </is>
      </c>
      <c r="W47">
        <f>HYPERLINK("https://klasma.github.io/Logging_2523/artfynd/A 26435-2024 artfynd.xlsx", "A 26435-2024")</f>
        <v/>
      </c>
      <c r="X47">
        <f>HYPERLINK("https://klasma.github.io/Logging_2523/kartor/A 26435-2024 karta.png", "A 26435-2024")</f>
        <v/>
      </c>
      <c r="Y47">
        <f>HYPERLINK("https://klasma.github.io/Logging_2523/kartor_geotiff/A 26435-2024 georefererad karta.tif", "A 26435-2024")</f>
        <v/>
      </c>
      <c r="AA47">
        <f>HYPERLINK("https://klasma.github.io/Logging_2523/klagomål/A 26435-2024 FSC-klagomål.docx", "A 26435-2024")</f>
        <v/>
      </c>
      <c r="AB47">
        <f>HYPERLINK("https://klasma.github.io/Logging_2523/klagomålsmail/A 26435-2024 FSC-klagomål mail.docx", "A 26435-2024")</f>
        <v/>
      </c>
      <c r="AC47">
        <f>HYPERLINK("https://klasma.github.io/Logging_2523/tillsyn/A 26435-2024 tillsynsbegäran.docx", "A 26435-2024")</f>
        <v/>
      </c>
      <c r="AD47">
        <f>HYPERLINK("https://klasma.github.io/Logging_2523/tillsynsmail/A 26435-2024 tillsynsbegäran mail.docx", "A 26435-2024")</f>
        <v/>
      </c>
      <c r="AE47">
        <f>HYPERLINK("https://klasma.github.io/Logging_2523/fåglar/A 26435-2024 prioriterade fågelarter.docx", "A 26435-2024")</f>
        <v/>
      </c>
    </row>
    <row r="48" ht="15" customHeight="1">
      <c r="A48" t="inlineStr">
        <is>
          <t>A 29837-2026</t>
        </is>
      </c>
      <c r="B48" t="inlineStr">
        <is>
          <t>avverkningsanmälan</t>
        </is>
      </c>
      <c r="C48" t="inlineStr">
        <is>
          <t>Föryngringsavverkning</t>
        </is>
      </c>
      <c r="D48" s="1" t="n">
        <v>46205</v>
      </c>
      <c r="E48" s="1" t="n">
        <v>46307</v>
      </c>
      <c r="F48" t="inlineStr">
        <is>
          <t>NORRBOTTENS LÄN</t>
        </is>
      </c>
      <c r="G48" t="inlineStr">
        <is>
          <t>GÄLLIVARE</t>
        </is>
      </c>
      <c r="H48" t="inlineStr">
        <is>
          <t>Sveaskog</t>
        </is>
      </c>
      <c r="I48" t="n">
        <v>3.3</v>
      </c>
      <c r="J48" t="n">
        <v>0</v>
      </c>
      <c r="K48" t="n">
        <v>1</v>
      </c>
      <c r="L48" t="n">
        <v>1</v>
      </c>
      <c r="M48" t="n">
        <v>1</v>
      </c>
      <c r="N48" t="n">
        <v>0</v>
      </c>
      <c r="O48" t="n">
        <v>0</v>
      </c>
      <c r="P48" t="n">
        <v>0</v>
      </c>
      <c r="Q48" t="n">
        <v>2</v>
      </c>
      <c r="R48" t="n">
        <v>1</v>
      </c>
      <c r="S48" t="n">
        <v>3</v>
      </c>
      <c r="T48" t="n">
        <v>3</v>
      </c>
      <c r="U48" t="n">
        <v>0</v>
      </c>
      <c r="V48" s="2" t="inlineStr">
        <is>
          <t>Garnlav
Violmussling
Stuplav</t>
        </is>
      </c>
      <c r="W48">
        <f>HYPERLINK("https://klasma.github.io/Logging_2523/artfynd/A 29837-2026 artfynd.xlsx", "A 29837-2026")</f>
        <v/>
      </c>
      <c r="X48">
        <f>HYPERLINK("https://klasma.github.io/Logging_2523/kartor/A 29837-2026 karta.png", "A 29837-2026")</f>
        <v/>
      </c>
      <c r="Y48">
        <f>HYPERLINK("https://klasma.github.io/Logging_2523/kartor_geotiff/A 29837-2026 georefererad karta.tif", "A 29837-2026")</f>
        <v/>
      </c>
      <c r="AA48">
        <f>HYPERLINK("https://klasma.github.io/Logging_2523/klagomål/A 29837-2026 FSC-klagomål.docx", "A 29837-2026")</f>
        <v/>
      </c>
      <c r="AB48">
        <f>HYPERLINK("https://klasma.github.io/Logging_2523/klagomålsmail/A 29837-2026 FSC-klagomål mail.docx", "A 29837-2026")</f>
        <v/>
      </c>
      <c r="AC48">
        <f>HYPERLINK("https://klasma.github.io/Logging_2523/tillsyn/A 29837-2026 tillsynsbegäran.docx", "A 29837-2026")</f>
        <v/>
      </c>
      <c r="AD48">
        <f>HYPERLINK("https://klasma.github.io/Logging_2523/tillsynsmail/A 29837-2026 tillsynsbegäran mail.docx", "A 29837-2026")</f>
        <v/>
      </c>
    </row>
    <row r="49" ht="15" customHeight="1">
      <c r="A49" t="inlineStr">
        <is>
          <t>A 10666-2026</t>
        </is>
      </c>
      <c r="B49" t="inlineStr">
        <is>
          <t>avverkningsanmälan</t>
        </is>
      </c>
      <c r="C49" t="inlineStr">
        <is>
          <t>Föryngringsavverkning</t>
        </is>
      </c>
      <c r="D49" s="1" t="n">
        <v>46078</v>
      </c>
      <c r="E49" s="1" t="n">
        <v>46307</v>
      </c>
      <c r="F49" t="inlineStr">
        <is>
          <t>NORRBOTTENS LÄN</t>
        </is>
      </c>
      <c r="G49" t="inlineStr">
        <is>
          <t>GÄLLIVARE</t>
        </is>
      </c>
      <c r="I49" t="n">
        <v>74.09999999999999</v>
      </c>
      <c r="J49" t="n">
        <v>1</v>
      </c>
      <c r="K49" t="n">
        <v>3</v>
      </c>
      <c r="L49" t="n">
        <v>0</v>
      </c>
      <c r="M49" t="n">
        <v>0</v>
      </c>
      <c r="N49" t="n">
        <v>0</v>
      </c>
      <c r="O49" t="n">
        <v>0</v>
      </c>
      <c r="P49" t="n">
        <v>0</v>
      </c>
      <c r="Q49" t="n">
        <v>0</v>
      </c>
      <c r="R49" t="n">
        <v>0</v>
      </c>
      <c r="S49" t="n">
        <v>3</v>
      </c>
      <c r="T49" t="n">
        <v>6</v>
      </c>
      <c r="U49" t="n">
        <v>0</v>
      </c>
      <c r="V49" s="2" t="inlineStr">
        <is>
          <t>Spindelblomster
Stuplav
Ögonpyrola</t>
        </is>
      </c>
      <c r="W49">
        <f>HYPERLINK("https://klasma.github.io/Logging_2523/artfynd/A 10666-2026 artfynd.xlsx", "A 10666-2026")</f>
        <v/>
      </c>
      <c r="X49">
        <f>HYPERLINK("https://klasma.github.io/Logging_2523/kartor/A 10666-2026 karta.png", "A 10666-2026")</f>
        <v/>
      </c>
      <c r="Y49">
        <f>HYPERLINK("https://klasma.github.io/Logging_2523/kartor_geotiff/A 10666-2026 georefererad karta.tif", "A 10666-2026")</f>
        <v/>
      </c>
      <c r="AA49">
        <f>HYPERLINK("https://klasma.github.io/Logging_2523/klagomål/A 10666-2026 FSC-klagomål.docx", "A 10666-2026")</f>
        <v/>
      </c>
      <c r="AB49">
        <f>HYPERLINK("https://klasma.github.io/Logging_2523/klagomålsmail/A 10666-2026 FSC-klagomål mail.docx", "A 10666-2026")</f>
        <v/>
      </c>
      <c r="AC49">
        <f>HYPERLINK("https://klasma.github.io/Logging_2523/tillsyn/A 10666-2026 tillsynsbegäran.docx", "A 10666-2026")</f>
        <v/>
      </c>
      <c r="AD49">
        <f>HYPERLINK("https://klasma.github.io/Logging_2523/tillsynsmail/A 10666-2026 tillsynsbegäran mail.docx", "A 10666-2026")</f>
        <v/>
      </c>
    </row>
    <row r="50" ht="15" customHeight="1">
      <c r="A50" t="inlineStr">
        <is>
          <t>A 33889-2026</t>
        </is>
      </c>
      <c r="B50" t="inlineStr">
        <is>
          <t>avverkningsanmälan</t>
        </is>
      </c>
      <c r="C50" t="inlineStr">
        <is>
          <t>Föryngringsavverkning</t>
        </is>
      </c>
      <c r="D50" s="1" t="n">
        <v>46251</v>
      </c>
      <c r="E50" s="1" t="n">
        <v>46307</v>
      </c>
      <c r="F50" t="inlineStr">
        <is>
          <t>NORRBOTTENS LÄN</t>
        </is>
      </c>
      <c r="G50" t="inlineStr">
        <is>
          <t>GÄLLIVARE</t>
        </is>
      </c>
      <c r="H50" t="inlineStr">
        <is>
          <t>Sveaskog</t>
        </is>
      </c>
      <c r="I50" t="n">
        <v>7.2</v>
      </c>
      <c r="J50" t="n">
        <v>3</v>
      </c>
      <c r="K50" t="n">
        <v>0</v>
      </c>
      <c r="L50" t="n">
        <v>1</v>
      </c>
      <c r="M50" t="n">
        <v>0</v>
      </c>
      <c r="N50" t="n">
        <v>0</v>
      </c>
      <c r="O50" t="n">
        <v>0</v>
      </c>
      <c r="P50" t="n">
        <v>0</v>
      </c>
      <c r="Q50" t="n">
        <v>1</v>
      </c>
      <c r="R50" t="n">
        <v>0</v>
      </c>
      <c r="S50" t="n">
        <v>3</v>
      </c>
      <c r="T50" t="n">
        <v>4</v>
      </c>
      <c r="U50" t="n">
        <v>0</v>
      </c>
      <c r="V50" s="2" t="inlineStr">
        <is>
          <t>Lavskrika
Spillkråka
Grönsiska</t>
        </is>
      </c>
      <c r="W50">
        <f>HYPERLINK("https://klasma.github.io/Logging_2523/artfynd/A 33889-2026 artfynd.xlsx", "A 33889-2026")</f>
        <v/>
      </c>
      <c r="X50">
        <f>HYPERLINK("https://klasma.github.io/Logging_2523/kartor/A 33889-2026 karta.png", "A 33889-2026")</f>
        <v/>
      </c>
      <c r="Y50">
        <f>HYPERLINK("https://klasma.github.io/Logging_2523/kartor_geotiff/A 33889-2026 georefererad karta.tif", "A 33889-2026")</f>
        <v/>
      </c>
      <c r="AA50">
        <f>HYPERLINK("https://klasma.github.io/Logging_2523/klagomål/A 33889-2026 FSC-klagomål.docx", "A 33889-2026")</f>
        <v/>
      </c>
      <c r="AB50">
        <f>HYPERLINK("https://klasma.github.io/Logging_2523/klagomålsmail/A 33889-2026 FSC-klagomål mail.docx", "A 33889-2026")</f>
        <v/>
      </c>
      <c r="AC50">
        <f>HYPERLINK("https://klasma.github.io/Logging_2523/tillsyn/A 33889-2026 tillsynsbegäran.docx", "A 33889-2026")</f>
        <v/>
      </c>
      <c r="AD50">
        <f>HYPERLINK("https://klasma.github.io/Logging_2523/tillsynsmail/A 33889-2026 tillsynsbegäran mail.docx", "A 33889-2026")</f>
        <v/>
      </c>
      <c r="AE50">
        <f>HYPERLINK("https://klasma.github.io/Logging_2523/fåglar/A 33889-2026 prioriterade fågelarter.docx", "A 33889-2026")</f>
        <v/>
      </c>
    </row>
    <row r="51" ht="15" customHeight="1">
      <c r="A51" t="inlineStr">
        <is>
          <t>A 32830-2026</t>
        </is>
      </c>
      <c r="B51" t="inlineStr">
        <is>
          <t>avverkningsanmälan</t>
        </is>
      </c>
      <c r="C51" t="inlineStr">
        <is>
          <t>Föryngringsavverkning</t>
        </is>
      </c>
      <c r="D51" s="1" t="n">
        <v>46243</v>
      </c>
      <c r="E51" s="1" t="n">
        <v>46307</v>
      </c>
      <c r="F51" t="inlineStr">
        <is>
          <t>NORRBOTTENS LÄN</t>
        </is>
      </c>
      <c r="G51" t="inlineStr">
        <is>
          <t>GÄLLIVARE</t>
        </is>
      </c>
      <c r="H51" t="inlineStr">
        <is>
          <t>SCA</t>
        </is>
      </c>
      <c r="I51" t="n">
        <v>15</v>
      </c>
      <c r="J51" t="n">
        <v>0</v>
      </c>
      <c r="K51" t="n">
        <v>0</v>
      </c>
      <c r="L51" t="n">
        <v>2</v>
      </c>
      <c r="M51" t="n">
        <v>1</v>
      </c>
      <c r="N51" t="n">
        <v>0</v>
      </c>
      <c r="O51" t="n">
        <v>0</v>
      </c>
      <c r="P51" t="n">
        <v>0</v>
      </c>
      <c r="Q51" t="n">
        <v>3</v>
      </c>
      <c r="R51" t="n">
        <v>1</v>
      </c>
      <c r="S51" t="n">
        <v>3</v>
      </c>
      <c r="T51" t="n">
        <v>13</v>
      </c>
      <c r="U51" t="n">
        <v>0</v>
      </c>
      <c r="V51" s="2" t="inlineStr">
        <is>
          <t>Garnlav
Knottrig blåslav
Ullticka</t>
        </is>
      </c>
      <c r="W51">
        <f>HYPERLINK("https://klasma.github.io/Logging_2523/artfynd/A 32830-2026 artfynd.xlsx", "A 32830-2026")</f>
        <v/>
      </c>
      <c r="X51">
        <f>HYPERLINK("https://klasma.github.io/Logging_2523/kartor/A 32830-2026 karta.png", "A 32830-2026")</f>
        <v/>
      </c>
      <c r="Y51">
        <f>HYPERLINK("https://klasma.github.io/Logging_2523/kartor_geotiff/A 32830-2026 georefererad karta.tif", "A 32830-2026")</f>
        <v/>
      </c>
      <c r="AA51">
        <f>HYPERLINK("https://klasma.github.io/Logging_2523/klagomål/A 32830-2026 FSC-klagomål.docx", "A 32830-2026")</f>
        <v/>
      </c>
      <c r="AB51">
        <f>HYPERLINK("https://klasma.github.io/Logging_2523/klagomålsmail/A 32830-2026 FSC-klagomål mail.docx", "A 32830-2026")</f>
        <v/>
      </c>
      <c r="AC51">
        <f>HYPERLINK("https://klasma.github.io/Logging_2523/tillsyn/A 32830-2026 tillsynsbegäran.docx", "A 32830-2026")</f>
        <v/>
      </c>
      <c r="AD51">
        <f>HYPERLINK("https://klasma.github.io/Logging_2523/tillsynsmail/A 32830-2026 tillsynsbegäran mail.docx", "A 32830-2026")</f>
        <v/>
      </c>
    </row>
    <row r="52" ht="15" customHeight="1">
      <c r="A52" t="inlineStr">
        <is>
          <t>A 36289-2022</t>
        </is>
      </c>
      <c r="B52" t="inlineStr">
        <is>
          <t>avverkningsanmälan</t>
        </is>
      </c>
      <c r="C52" t="inlineStr">
        <is>
          <t>Föryngringsavverkning</t>
        </is>
      </c>
      <c r="D52" s="1" t="n">
        <v>44803</v>
      </c>
      <c r="E52" s="1" t="n">
        <v>46307</v>
      </c>
      <c r="F52" t="inlineStr">
        <is>
          <t>NORRBOTTENS LÄN</t>
        </is>
      </c>
      <c r="G52" t="inlineStr">
        <is>
          <t>GÄLLIVARE</t>
        </is>
      </c>
      <c r="I52" t="n">
        <v>9.6</v>
      </c>
      <c r="J52" t="n">
        <v>2</v>
      </c>
      <c r="K52" t="n">
        <v>1</v>
      </c>
      <c r="L52" t="n">
        <v>0</v>
      </c>
      <c r="M52" t="n">
        <v>0</v>
      </c>
      <c r="N52" t="n">
        <v>0</v>
      </c>
      <c r="O52" t="n">
        <v>0</v>
      </c>
      <c r="P52" t="n">
        <v>0</v>
      </c>
      <c r="Q52" t="n">
        <v>0</v>
      </c>
      <c r="R52" t="n">
        <v>0</v>
      </c>
      <c r="S52" t="n">
        <v>2</v>
      </c>
      <c r="T52" t="n">
        <v>3</v>
      </c>
      <c r="U52" t="n">
        <v>3</v>
      </c>
      <c r="V52" s="2" t="inlineStr">
        <is>
          <t>Spindelblomster
Revlummer</t>
        </is>
      </c>
      <c r="W52">
        <f>HYPERLINK("https://klasma.github.io/Logging_2523/artfynd/A 36289-2022 artfynd.xlsx", "A 36289-2022")</f>
        <v/>
      </c>
      <c r="X52">
        <f>HYPERLINK("https://klasma.github.io/Logging_2523/kartor/A 36289-2022 karta.png", "A 36289-2022")</f>
        <v/>
      </c>
      <c r="Y52">
        <f>HYPERLINK("https://klasma.github.io/Logging_2523/kartor_geotiff/A 36289-2022 georefererad karta.tif", "A 36289-2022")</f>
        <v/>
      </c>
      <c r="AA52">
        <f>HYPERLINK("https://klasma.github.io/Logging_2523/klagomål/A 36289-2022 FSC-klagomål.docx", "A 36289-2022")</f>
        <v/>
      </c>
      <c r="AB52">
        <f>HYPERLINK("https://klasma.github.io/Logging_2523/klagomålsmail/A 36289-2022 FSC-klagomål mail.docx", "A 36289-2022")</f>
        <v/>
      </c>
      <c r="AC52">
        <f>HYPERLINK("https://klasma.github.io/Logging_2523/tillsyn/A 36289-2022 tillsynsbegäran.docx", "A 36289-2022")</f>
        <v/>
      </c>
      <c r="AD52">
        <f>HYPERLINK("https://klasma.github.io/Logging_2523/tillsynsmail/A 36289-2022 tillsynsbegäran mail.docx", "A 36289-2022")</f>
        <v/>
      </c>
    </row>
    <row r="53" ht="15" customHeight="1">
      <c r="A53" t="inlineStr">
        <is>
          <t>A 28046-2024</t>
        </is>
      </c>
      <c r="B53" t="inlineStr">
        <is>
          <t>avverkningsanmälan</t>
        </is>
      </c>
      <c r="C53" t="inlineStr">
        <is>
          <t>Föryngringsavverkning</t>
        </is>
      </c>
      <c r="D53" s="1" t="n">
        <v>45476</v>
      </c>
      <c r="E53" s="1" t="n">
        <v>46307</v>
      </c>
      <c r="F53" t="inlineStr">
        <is>
          <t>NORRBOTTENS LÄN</t>
        </is>
      </c>
      <c r="G53" t="inlineStr">
        <is>
          <t>GÄLLIVARE</t>
        </is>
      </c>
      <c r="H53" t="inlineStr">
        <is>
          <t>Sveaskog</t>
        </is>
      </c>
      <c r="I53" t="n">
        <v>2.3</v>
      </c>
      <c r="J53" t="n">
        <v>1</v>
      </c>
      <c r="K53" t="n">
        <v>0</v>
      </c>
      <c r="L53" t="n">
        <v>1</v>
      </c>
      <c r="M53" t="n">
        <v>1</v>
      </c>
      <c r="N53" t="n">
        <v>0</v>
      </c>
      <c r="O53" t="n">
        <v>0</v>
      </c>
      <c r="P53" t="n">
        <v>0</v>
      </c>
      <c r="Q53" t="n">
        <v>2</v>
      </c>
      <c r="R53" t="n">
        <v>1</v>
      </c>
      <c r="S53" t="n">
        <v>2</v>
      </c>
      <c r="T53" t="n">
        <v>4</v>
      </c>
      <c r="U53" t="n">
        <v>4</v>
      </c>
      <c r="V53" s="2" t="inlineStr">
        <is>
          <t>Doftticka
Lunglav</t>
        </is>
      </c>
      <c r="W53">
        <f>HYPERLINK("https://klasma.github.io/Logging_2523/artfynd/A 28046-2024 artfynd.xlsx", "A 28046-2024")</f>
        <v/>
      </c>
      <c r="X53">
        <f>HYPERLINK("https://klasma.github.io/Logging_2523/kartor/A 28046-2024 karta.png", "A 28046-2024")</f>
        <v/>
      </c>
      <c r="Y53">
        <f>HYPERLINK("https://klasma.github.io/Logging_2523/kartor_geotiff/A 28046-2024 georefererad karta.tif", "A 28046-2024")</f>
        <v/>
      </c>
      <c r="AA53">
        <f>HYPERLINK("https://klasma.github.io/Logging_2523/klagomål/A 28046-2024 FSC-klagomål.docx", "A 28046-2024")</f>
        <v/>
      </c>
      <c r="AB53">
        <f>HYPERLINK("https://klasma.github.io/Logging_2523/klagomålsmail/A 28046-2024 FSC-klagomål mail.docx", "A 28046-2024")</f>
        <v/>
      </c>
      <c r="AC53">
        <f>HYPERLINK("https://klasma.github.io/Logging_2523/tillsyn/A 28046-2024 tillsynsbegäran.docx", "A 28046-2024")</f>
        <v/>
      </c>
      <c r="AD53">
        <f>HYPERLINK("https://klasma.github.io/Logging_2523/tillsynsmail/A 28046-2024 tillsynsbegäran mail.docx", "A 28046-2024")</f>
        <v/>
      </c>
    </row>
    <row r="54" ht="15" customHeight="1">
      <c r="A54" t="inlineStr">
        <is>
          <t>A 41134-2025</t>
        </is>
      </c>
      <c r="B54" t="inlineStr">
        <is>
          <t>avverkningsanmälan</t>
        </is>
      </c>
      <c r="C54" t="inlineStr">
        <is>
          <t>Avverkning för att bevara och utveckla /försöksver</t>
        </is>
      </c>
      <c r="D54" s="1" t="n">
        <v>45898</v>
      </c>
      <c r="E54" s="1" t="n">
        <v>46307</v>
      </c>
      <c r="F54" t="inlineStr">
        <is>
          <t>NORRBOTTENS LÄN</t>
        </is>
      </c>
      <c r="G54" t="inlineStr">
        <is>
          <t>GÄLLIVARE</t>
        </is>
      </c>
      <c r="H54" t="inlineStr">
        <is>
          <t>Sveaskog</t>
        </is>
      </c>
      <c r="I54" t="n">
        <v>1.6</v>
      </c>
      <c r="J54" t="n">
        <v>1</v>
      </c>
      <c r="K54" t="n">
        <v>1</v>
      </c>
      <c r="L54" t="n">
        <v>0</v>
      </c>
      <c r="M54" t="n">
        <v>1</v>
      </c>
      <c r="N54" t="n">
        <v>0</v>
      </c>
      <c r="O54" t="n">
        <v>0</v>
      </c>
      <c r="P54" t="n">
        <v>0</v>
      </c>
      <c r="Q54" t="n">
        <v>1</v>
      </c>
      <c r="R54" t="n">
        <v>1</v>
      </c>
      <c r="S54" t="n">
        <v>2</v>
      </c>
      <c r="T54" t="n">
        <v>8</v>
      </c>
      <c r="U54" t="n">
        <v>0</v>
      </c>
      <c r="V54" s="2" t="inlineStr">
        <is>
          <t>Doftticka
Bårdlav</t>
        </is>
      </c>
      <c r="W54">
        <f>HYPERLINK("https://klasma.github.io/Logging_2523/artfynd/A 41134-2025 artfynd.xlsx", "A 41134-2025")</f>
        <v/>
      </c>
      <c r="X54">
        <f>HYPERLINK("https://klasma.github.io/Logging_2523/kartor/A 41134-2025 karta.png", "A 41134-2025")</f>
        <v/>
      </c>
      <c r="Y54">
        <f>HYPERLINK("https://klasma.github.io/Logging_2523/kartor_geotiff/A 41134-2025 georefererad karta.tif", "A 41134-2025")</f>
        <v/>
      </c>
      <c r="AA54">
        <f>HYPERLINK("https://klasma.github.io/Logging_2523/klagomål/A 41134-2025 FSC-klagomål.docx", "A 41134-2025")</f>
        <v/>
      </c>
      <c r="AB54">
        <f>HYPERLINK("https://klasma.github.io/Logging_2523/klagomålsmail/A 41134-2025 FSC-klagomål mail.docx", "A 41134-2025")</f>
        <v/>
      </c>
      <c r="AC54">
        <f>HYPERLINK("https://klasma.github.io/Logging_2523/tillsyn/A 41134-2025 tillsynsbegäran.docx", "A 41134-2025")</f>
        <v/>
      </c>
      <c r="AD54">
        <f>HYPERLINK("https://klasma.github.io/Logging_2523/tillsynsmail/A 41134-2025 tillsynsbegäran mail.docx", "A 41134-2025")</f>
        <v/>
      </c>
    </row>
    <row r="55" ht="15" customHeight="1">
      <c r="A55" t="inlineStr">
        <is>
          <t>A 55755-2024</t>
        </is>
      </c>
      <c r="B55" t="inlineStr">
        <is>
          <t>avverkningsanmälan</t>
        </is>
      </c>
      <c r="C55" t="inlineStr">
        <is>
          <t>Föryngringsavverkning</t>
        </is>
      </c>
      <c r="D55" s="1" t="n">
        <v>45623</v>
      </c>
      <c r="E55" s="1" t="n">
        <v>46307</v>
      </c>
      <c r="F55" t="inlineStr">
        <is>
          <t>NORRBOTTENS LÄN</t>
        </is>
      </c>
      <c r="G55" t="inlineStr">
        <is>
          <t>GÄLLIVARE</t>
        </is>
      </c>
      <c r="I55" t="n">
        <v>7.6</v>
      </c>
      <c r="J55" t="n">
        <v>2</v>
      </c>
      <c r="K55" t="n">
        <v>0</v>
      </c>
      <c r="L55" t="n">
        <v>0</v>
      </c>
      <c r="M55" t="n">
        <v>0</v>
      </c>
      <c r="N55" t="n">
        <v>0</v>
      </c>
      <c r="O55" t="n">
        <v>0</v>
      </c>
      <c r="P55" t="n">
        <v>0</v>
      </c>
      <c r="Q55" t="n">
        <v>0</v>
      </c>
      <c r="R55" t="n">
        <v>0</v>
      </c>
      <c r="S55" t="n">
        <v>2</v>
      </c>
      <c r="T55" t="n">
        <v>2</v>
      </c>
      <c r="U55" t="n">
        <v>2</v>
      </c>
      <c r="V55" s="2" t="inlineStr">
        <is>
          <t>Utter
Revlummer</t>
        </is>
      </c>
      <c r="W55">
        <f>HYPERLINK("https://klasma.github.io/Logging_2523/artfynd/A 55755-2024 artfynd.xlsx", "A 55755-2024")</f>
        <v/>
      </c>
      <c r="X55">
        <f>HYPERLINK("https://klasma.github.io/Logging_2523/kartor/A 55755-2024 karta.png", "A 55755-2024")</f>
        <v/>
      </c>
      <c r="Y55">
        <f>HYPERLINK("https://klasma.github.io/Logging_2523/kartor_geotiff/A 55755-2024 georefererad karta.tif", "A 55755-2024")</f>
        <v/>
      </c>
      <c r="AA55">
        <f>HYPERLINK("https://klasma.github.io/Logging_2523/klagomål/A 55755-2024 FSC-klagomål.docx", "A 55755-2024")</f>
        <v/>
      </c>
      <c r="AB55">
        <f>HYPERLINK("https://klasma.github.io/Logging_2523/klagomålsmail/A 55755-2024 FSC-klagomål mail.docx", "A 55755-2024")</f>
        <v/>
      </c>
      <c r="AC55">
        <f>HYPERLINK("https://klasma.github.io/Logging_2523/tillsyn/A 55755-2024 tillsynsbegäran.docx", "A 55755-2024")</f>
        <v/>
      </c>
      <c r="AD55">
        <f>HYPERLINK("https://klasma.github.io/Logging_2523/tillsynsmail/A 55755-2024 tillsynsbegäran mail.docx", "A 55755-2024")</f>
        <v/>
      </c>
    </row>
    <row r="56" ht="15" customHeight="1">
      <c r="A56" t="inlineStr">
        <is>
          <t>A 5793-2025</t>
        </is>
      </c>
      <c r="B56" t="inlineStr">
        <is>
          <t>avverkningsanmälan</t>
        </is>
      </c>
      <c r="C56" t="inlineStr">
        <is>
          <t>Föryngringsavverkning</t>
        </is>
      </c>
      <c r="D56" s="1" t="n">
        <v>45694</v>
      </c>
      <c r="E56" s="1" t="n">
        <v>46307</v>
      </c>
      <c r="F56" t="inlineStr">
        <is>
          <t>NORRBOTTENS LÄN</t>
        </is>
      </c>
      <c r="G56" t="inlineStr">
        <is>
          <t>GÄLLIVARE</t>
        </is>
      </c>
      <c r="H56" t="inlineStr">
        <is>
          <t>SCA</t>
        </is>
      </c>
      <c r="I56" t="n">
        <v>2.4</v>
      </c>
      <c r="J56" t="n">
        <v>0</v>
      </c>
      <c r="K56" t="n">
        <v>0</v>
      </c>
      <c r="L56" t="n">
        <v>1</v>
      </c>
      <c r="M56" t="n">
        <v>1</v>
      </c>
      <c r="N56" t="n">
        <v>0</v>
      </c>
      <c r="O56" t="n">
        <v>0</v>
      </c>
      <c r="P56" t="n">
        <v>0</v>
      </c>
      <c r="Q56" t="n">
        <v>2</v>
      </c>
      <c r="R56" t="n">
        <v>1</v>
      </c>
      <c r="S56" t="n">
        <v>2</v>
      </c>
      <c r="T56" t="n">
        <v>3</v>
      </c>
      <c r="U56" t="n">
        <v>0</v>
      </c>
      <c r="V56" s="2" t="inlineStr">
        <is>
          <t>Garnlav
Gammelgransskål</t>
        </is>
      </c>
      <c r="W56">
        <f>HYPERLINK("https://klasma.github.io/Logging_2523/artfynd/A 5793-2025 artfynd.xlsx", "A 5793-2025")</f>
        <v/>
      </c>
      <c r="X56">
        <f>HYPERLINK("https://klasma.github.io/Logging_2523/kartor/A 5793-2025 karta.png", "A 5793-2025")</f>
        <v/>
      </c>
      <c r="Y56">
        <f>HYPERLINK("https://klasma.github.io/Logging_2523/kartor_geotiff/A 5793-2025 georefererad karta.tif", "A 5793-2025")</f>
        <v/>
      </c>
      <c r="AA56">
        <f>HYPERLINK("https://klasma.github.io/Logging_2523/klagomål/A 5793-2025 FSC-klagomål.docx", "A 5793-2025")</f>
        <v/>
      </c>
      <c r="AB56">
        <f>HYPERLINK("https://klasma.github.io/Logging_2523/klagomålsmail/A 5793-2025 FSC-klagomål mail.docx", "A 5793-2025")</f>
        <v/>
      </c>
      <c r="AC56">
        <f>HYPERLINK("https://klasma.github.io/Logging_2523/tillsyn/A 5793-2025 tillsynsbegäran.docx", "A 5793-2025")</f>
        <v/>
      </c>
      <c r="AD56">
        <f>HYPERLINK("https://klasma.github.io/Logging_2523/tillsynsmail/A 5793-2025 tillsynsbegäran mail.docx", "A 5793-2025")</f>
        <v/>
      </c>
    </row>
    <row r="57" ht="15" customHeight="1">
      <c r="A57" t="inlineStr">
        <is>
          <t>A 41650-2023</t>
        </is>
      </c>
      <c r="B57" t="inlineStr">
        <is>
          <t>avverkningsanmälan</t>
        </is>
      </c>
      <c r="C57" t="inlineStr">
        <is>
          <t>Föryngringsavverkning</t>
        </is>
      </c>
      <c r="D57" s="1" t="n">
        <v>45175</v>
      </c>
      <c r="E57" s="1" t="n">
        <v>46307</v>
      </c>
      <c r="F57" t="inlineStr">
        <is>
          <t>NORRBOTTENS LÄN</t>
        </is>
      </c>
      <c r="G57" t="inlineStr">
        <is>
          <t>GÄLLIVARE</t>
        </is>
      </c>
      <c r="H57" t="inlineStr">
        <is>
          <t>SCA</t>
        </is>
      </c>
      <c r="I57" t="n">
        <v>16.1</v>
      </c>
      <c r="J57" t="n">
        <v>0</v>
      </c>
      <c r="K57" t="n">
        <v>0</v>
      </c>
      <c r="L57" t="n">
        <v>1</v>
      </c>
      <c r="M57" t="n">
        <v>1</v>
      </c>
      <c r="N57" t="n">
        <v>0</v>
      </c>
      <c r="O57" t="n">
        <v>0</v>
      </c>
      <c r="P57" t="n">
        <v>0</v>
      </c>
      <c r="Q57" t="n">
        <v>2</v>
      </c>
      <c r="R57" t="n">
        <v>1</v>
      </c>
      <c r="S57" t="n">
        <v>2</v>
      </c>
      <c r="T57" t="n">
        <v>2</v>
      </c>
      <c r="U57" t="n">
        <v>0</v>
      </c>
      <c r="V57" s="2" t="inlineStr">
        <is>
          <t>Gräddporing
Vaddporing</t>
        </is>
      </c>
      <c r="W57">
        <f>HYPERLINK("https://klasma.github.io/Logging_2523/artfynd/A 41650-2023 artfynd.xlsx", "A 41650-2023")</f>
        <v/>
      </c>
      <c r="X57">
        <f>HYPERLINK("https://klasma.github.io/Logging_2523/kartor/A 41650-2023 karta.png", "A 41650-2023")</f>
        <v/>
      </c>
      <c r="Y57">
        <f>HYPERLINK("https://klasma.github.io/Logging_2523/kartor_geotiff/A 41650-2023 georefererad karta.tif", "A 41650-2023")</f>
        <v/>
      </c>
      <c r="AA57">
        <f>HYPERLINK("https://klasma.github.io/Logging_2523/klagomål/A 41650-2023 FSC-klagomål.docx", "A 41650-2023")</f>
        <v/>
      </c>
      <c r="AB57">
        <f>HYPERLINK("https://klasma.github.io/Logging_2523/klagomålsmail/A 41650-2023 FSC-klagomål mail.docx", "A 41650-2023")</f>
        <v/>
      </c>
      <c r="AC57">
        <f>HYPERLINK("https://klasma.github.io/Logging_2523/tillsyn/A 41650-2023 tillsynsbegäran.docx", "A 41650-2023")</f>
        <v/>
      </c>
      <c r="AD57">
        <f>HYPERLINK("https://klasma.github.io/Logging_2523/tillsynsmail/A 41650-2023 tillsynsbegäran mail.docx", "A 41650-2023")</f>
        <v/>
      </c>
    </row>
    <row r="58" ht="15" customHeight="1">
      <c r="A58" t="inlineStr">
        <is>
          <t>A 5728-2025</t>
        </is>
      </c>
      <c r="B58" t="inlineStr">
        <is>
          <t>avverkningsanmälan</t>
        </is>
      </c>
      <c r="C58" t="inlineStr">
        <is>
          <t>Föryngringsavverkning</t>
        </is>
      </c>
      <c r="D58" s="1" t="n">
        <v>45694</v>
      </c>
      <c r="E58" s="1" t="n">
        <v>46307</v>
      </c>
      <c r="F58" t="inlineStr">
        <is>
          <t>NORRBOTTENS LÄN</t>
        </is>
      </c>
      <c r="G58" t="inlineStr">
        <is>
          <t>GÄLLIVARE</t>
        </is>
      </c>
      <c r="H58" t="inlineStr">
        <is>
          <t>SCA</t>
        </is>
      </c>
      <c r="I58" t="n">
        <v>13.1</v>
      </c>
      <c r="J58" t="n">
        <v>0</v>
      </c>
      <c r="K58" t="n">
        <v>0</v>
      </c>
      <c r="L58" t="n">
        <v>1</v>
      </c>
      <c r="M58" t="n">
        <v>1</v>
      </c>
      <c r="N58" t="n">
        <v>0</v>
      </c>
      <c r="O58" t="n">
        <v>0</v>
      </c>
      <c r="P58" t="n">
        <v>0</v>
      </c>
      <c r="Q58" t="n">
        <v>2</v>
      </c>
      <c r="R58" t="n">
        <v>1</v>
      </c>
      <c r="S58" t="n">
        <v>2</v>
      </c>
      <c r="T58" t="n">
        <v>6</v>
      </c>
      <c r="U58" t="n">
        <v>0</v>
      </c>
      <c r="V58" s="2" t="inlineStr">
        <is>
          <t>Garnlav
Rosenticka</t>
        </is>
      </c>
      <c r="W58">
        <f>HYPERLINK("https://klasma.github.io/Logging_2523/artfynd/A 5728-2025 artfynd.xlsx", "A 5728-2025")</f>
        <v/>
      </c>
      <c r="X58">
        <f>HYPERLINK("https://klasma.github.io/Logging_2523/kartor/A 5728-2025 karta.png", "A 5728-2025")</f>
        <v/>
      </c>
      <c r="Y58">
        <f>HYPERLINK("https://klasma.github.io/Logging_2523/kartor_geotiff/A 5728-2025 georefererad karta.tif", "A 5728-2025")</f>
        <v/>
      </c>
      <c r="AA58">
        <f>HYPERLINK("https://klasma.github.io/Logging_2523/klagomål/A 5728-2025 FSC-klagomål.docx", "A 5728-2025")</f>
        <v/>
      </c>
      <c r="AB58">
        <f>HYPERLINK("https://klasma.github.io/Logging_2523/klagomålsmail/A 5728-2025 FSC-klagomål mail.docx", "A 5728-2025")</f>
        <v/>
      </c>
      <c r="AC58">
        <f>HYPERLINK("https://klasma.github.io/Logging_2523/tillsyn/A 5728-2025 tillsynsbegäran.docx", "A 5728-2025")</f>
        <v/>
      </c>
      <c r="AD58">
        <f>HYPERLINK("https://klasma.github.io/Logging_2523/tillsynsmail/A 5728-2025 tillsynsbegäran mail.docx", "A 5728-2025")</f>
        <v/>
      </c>
    </row>
    <row r="59" ht="15" customHeight="1">
      <c r="A59" t="inlineStr">
        <is>
          <t>A 5776-2025</t>
        </is>
      </c>
      <c r="B59" t="inlineStr">
        <is>
          <t>avverkningsanmälan</t>
        </is>
      </c>
      <c r="C59" t="inlineStr">
        <is>
          <t>Föryngringsavverkning</t>
        </is>
      </c>
      <c r="D59" s="1" t="n">
        <v>45694</v>
      </c>
      <c r="E59" s="1" t="n">
        <v>46307</v>
      </c>
      <c r="F59" t="inlineStr">
        <is>
          <t>NORRBOTTENS LÄN</t>
        </is>
      </c>
      <c r="G59" t="inlineStr">
        <is>
          <t>GÄLLIVARE</t>
        </is>
      </c>
      <c r="H59" t="inlineStr">
        <is>
          <t>SCA</t>
        </is>
      </c>
      <c r="I59" t="n">
        <v>14.5</v>
      </c>
      <c r="J59" t="n">
        <v>1</v>
      </c>
      <c r="K59" t="n">
        <v>0</v>
      </c>
      <c r="L59" t="n">
        <v>1</v>
      </c>
      <c r="M59" t="n">
        <v>1</v>
      </c>
      <c r="N59" t="n">
        <v>0</v>
      </c>
      <c r="O59" t="n">
        <v>0</v>
      </c>
      <c r="P59" t="n">
        <v>0</v>
      </c>
      <c r="Q59" t="n">
        <v>2</v>
      </c>
      <c r="R59" t="n">
        <v>1</v>
      </c>
      <c r="S59" t="n">
        <v>2</v>
      </c>
      <c r="T59" t="n">
        <v>4</v>
      </c>
      <c r="U59" t="n">
        <v>0</v>
      </c>
      <c r="V59" s="2" t="inlineStr">
        <is>
          <t>Garnlav
Lavskrika</t>
        </is>
      </c>
      <c r="W59">
        <f>HYPERLINK("https://klasma.github.io/Logging_2523/artfynd/A 5776-2025 artfynd.xlsx", "A 5776-2025")</f>
        <v/>
      </c>
      <c r="X59">
        <f>HYPERLINK("https://klasma.github.io/Logging_2523/kartor/A 5776-2025 karta.png", "A 5776-2025")</f>
        <v/>
      </c>
      <c r="Y59">
        <f>HYPERLINK("https://klasma.github.io/Logging_2523/kartor_geotiff/A 5776-2025 georefererad karta.tif", "A 5776-2025")</f>
        <v/>
      </c>
      <c r="AA59">
        <f>HYPERLINK("https://klasma.github.io/Logging_2523/klagomål/A 5776-2025 FSC-klagomål.docx", "A 5776-2025")</f>
        <v/>
      </c>
      <c r="AB59">
        <f>HYPERLINK("https://klasma.github.io/Logging_2523/klagomålsmail/A 5776-2025 FSC-klagomål mail.docx", "A 5776-2025")</f>
        <v/>
      </c>
      <c r="AC59">
        <f>HYPERLINK("https://klasma.github.io/Logging_2523/tillsyn/A 5776-2025 tillsynsbegäran.docx", "A 5776-2025")</f>
        <v/>
      </c>
      <c r="AD59">
        <f>HYPERLINK("https://klasma.github.io/Logging_2523/tillsynsmail/A 5776-2025 tillsynsbegäran mail.docx", "A 5776-2025")</f>
        <v/>
      </c>
      <c r="AE59">
        <f>HYPERLINK("https://klasma.github.io/Logging_2523/fåglar/A 5776-2025 prioriterade fågelarter.docx", "A 5776-2025")</f>
        <v/>
      </c>
    </row>
    <row r="60" ht="15" customHeight="1">
      <c r="A60" t="inlineStr">
        <is>
          <t>A 46856-2023</t>
        </is>
      </c>
      <c r="B60" t="inlineStr">
        <is>
          <t>avverkningsanmälan</t>
        </is>
      </c>
      <c r="C60" t="inlineStr">
        <is>
          <t>Föryngringsavverkning</t>
        </is>
      </c>
      <c r="D60" s="1" t="n">
        <v>45199</v>
      </c>
      <c r="E60" s="1" t="n">
        <v>46307</v>
      </c>
      <c r="F60" t="inlineStr">
        <is>
          <t>NORRBOTTENS LÄN</t>
        </is>
      </c>
      <c r="G60" t="inlineStr">
        <is>
          <t>GÄLLIVARE</t>
        </is>
      </c>
      <c r="H60" t="inlineStr">
        <is>
          <t>SCA</t>
        </is>
      </c>
      <c r="I60" t="n">
        <v>15.2</v>
      </c>
      <c r="J60" t="n">
        <v>1</v>
      </c>
      <c r="K60" t="n">
        <v>0</v>
      </c>
      <c r="L60" t="n">
        <v>1</v>
      </c>
      <c r="M60" t="n">
        <v>1</v>
      </c>
      <c r="N60" t="n">
        <v>0</v>
      </c>
      <c r="O60" t="n">
        <v>0</v>
      </c>
      <c r="P60" t="n">
        <v>0</v>
      </c>
      <c r="Q60" t="n">
        <v>2</v>
      </c>
      <c r="R60" t="n">
        <v>1</v>
      </c>
      <c r="S60" t="n">
        <v>2</v>
      </c>
      <c r="T60" t="n">
        <v>9</v>
      </c>
      <c r="U60" t="n">
        <v>9</v>
      </c>
      <c r="V60" s="2" t="inlineStr">
        <is>
          <t>Garnlav
Tretåig hackspett</t>
        </is>
      </c>
      <c r="W60">
        <f>HYPERLINK("https://klasma.github.io/Logging_2523/artfynd/A 46856-2023 artfynd.xlsx", "A 46856-2023")</f>
        <v/>
      </c>
      <c r="X60">
        <f>HYPERLINK("https://klasma.github.io/Logging_2523/kartor/A 46856-2023 karta.png", "A 46856-2023")</f>
        <v/>
      </c>
      <c r="Y60">
        <f>HYPERLINK("https://klasma.github.io/Logging_2523/kartor_geotiff/A 46856-2023 georefererad karta.tif", "A 46856-2023")</f>
        <v/>
      </c>
      <c r="AA60">
        <f>HYPERLINK("https://klasma.github.io/Logging_2523/klagomål/A 46856-2023 FSC-klagomål.docx", "A 46856-2023")</f>
        <v/>
      </c>
      <c r="AB60">
        <f>HYPERLINK("https://klasma.github.io/Logging_2523/klagomålsmail/A 46856-2023 FSC-klagomål mail.docx", "A 46856-2023")</f>
        <v/>
      </c>
      <c r="AC60">
        <f>HYPERLINK("https://klasma.github.io/Logging_2523/tillsyn/A 46856-2023 tillsynsbegäran.docx", "A 46856-2023")</f>
        <v/>
      </c>
      <c r="AD60">
        <f>HYPERLINK("https://klasma.github.io/Logging_2523/tillsynsmail/A 46856-2023 tillsynsbegäran mail.docx", "A 46856-2023")</f>
        <v/>
      </c>
      <c r="AE60">
        <f>HYPERLINK("https://klasma.github.io/Logging_2523/fåglar/A 46856-2023 prioriterade fågelarter.docx", "A 46856-2023")</f>
        <v/>
      </c>
    </row>
    <row r="61" ht="15" customHeight="1">
      <c r="A61" t="inlineStr">
        <is>
          <t>A 18408-2026</t>
        </is>
      </c>
      <c r="B61" t="inlineStr">
        <is>
          <t>avverkningsanmälan</t>
        </is>
      </c>
      <c r="C61" t="inlineStr">
        <is>
          <t>Föryngringsavverkning</t>
        </is>
      </c>
      <c r="D61" s="1" t="n">
        <v>46126</v>
      </c>
      <c r="E61" s="1" t="n">
        <v>46307</v>
      </c>
      <c r="F61" t="inlineStr">
        <is>
          <t>NORRBOTTENS LÄN</t>
        </is>
      </c>
      <c r="G61" t="inlineStr">
        <is>
          <t>GÄLLIVARE</t>
        </is>
      </c>
      <c r="H61" t="inlineStr">
        <is>
          <t>SCA</t>
        </is>
      </c>
      <c r="I61" t="n">
        <v>2</v>
      </c>
      <c r="J61" t="n">
        <v>2</v>
      </c>
      <c r="K61" t="n">
        <v>0</v>
      </c>
      <c r="L61" t="n">
        <v>2</v>
      </c>
      <c r="M61" t="n">
        <v>0</v>
      </c>
      <c r="N61" t="n">
        <v>0</v>
      </c>
      <c r="O61" t="n">
        <v>0</v>
      </c>
      <c r="P61" t="n">
        <v>0</v>
      </c>
      <c r="Q61" t="n">
        <v>2</v>
      </c>
      <c r="R61" t="n">
        <v>0</v>
      </c>
      <c r="S61" t="n">
        <v>2</v>
      </c>
      <c r="T61" t="n">
        <v>2</v>
      </c>
      <c r="U61" t="n">
        <v>0</v>
      </c>
      <c r="V61" s="2" t="inlineStr">
        <is>
          <t>Duvhök
Kungsörn</t>
        </is>
      </c>
      <c r="W61">
        <f>HYPERLINK("https://klasma.github.io/Logging_2523/artfynd/A 18408-2026 artfynd.xlsx", "A 18408-2026")</f>
        <v/>
      </c>
      <c r="X61">
        <f>HYPERLINK("https://klasma.github.io/Logging_2523/kartor/A 18408-2026 karta.png", "A 18408-2026")</f>
        <v/>
      </c>
      <c r="Y61">
        <f>HYPERLINK("https://klasma.github.io/Logging_2523/kartor_geotiff/A 18408-2026 georefererad karta.tif", "A 18408-2026")</f>
        <v/>
      </c>
      <c r="AA61">
        <f>HYPERLINK("https://klasma.github.io/Logging_2523/klagomål/A 18408-2026 FSC-klagomål.docx", "A 18408-2026")</f>
        <v/>
      </c>
      <c r="AB61">
        <f>HYPERLINK("https://klasma.github.io/Logging_2523/klagomålsmail/A 18408-2026 FSC-klagomål mail.docx", "A 18408-2026")</f>
        <v/>
      </c>
      <c r="AC61">
        <f>HYPERLINK("https://klasma.github.io/Logging_2523/tillsyn/A 18408-2026 tillsynsbegäran.docx", "A 18408-2026")</f>
        <v/>
      </c>
      <c r="AD61">
        <f>HYPERLINK("https://klasma.github.io/Logging_2523/tillsynsmail/A 18408-2026 tillsynsbegäran mail.docx", "A 18408-2026")</f>
        <v/>
      </c>
      <c r="AE61">
        <f>HYPERLINK("https://klasma.github.io/Logging_2523/fåglar/A 18408-2026 prioriterade fågelarter.docx", "A 18408-2026")</f>
        <v/>
      </c>
    </row>
    <row r="62" ht="15" customHeight="1">
      <c r="A62" t="inlineStr">
        <is>
          <t>A 30930-2026</t>
        </is>
      </c>
      <c r="B62" t="inlineStr">
        <is>
          <t>avverkningsanmälan</t>
        </is>
      </c>
      <c r="C62" t="inlineStr">
        <is>
          <t>Föryngringsavverkning</t>
        </is>
      </c>
      <c r="D62" s="1" t="n">
        <v>46213</v>
      </c>
      <c r="E62" s="1" t="n">
        <v>46307</v>
      </c>
      <c r="F62" t="inlineStr">
        <is>
          <t>NORRBOTTENS LÄN</t>
        </is>
      </c>
      <c r="G62" t="inlineStr">
        <is>
          <t>GÄLLIVARE</t>
        </is>
      </c>
      <c r="H62" t="inlineStr">
        <is>
          <t>Sveaskog</t>
        </is>
      </c>
      <c r="I62" t="n">
        <v>28.7</v>
      </c>
      <c r="J62" t="n">
        <v>0</v>
      </c>
      <c r="K62" t="n">
        <v>0</v>
      </c>
      <c r="L62" t="n">
        <v>1</v>
      </c>
      <c r="M62" t="n">
        <v>1</v>
      </c>
      <c r="N62" t="n">
        <v>0</v>
      </c>
      <c r="O62" t="n">
        <v>0</v>
      </c>
      <c r="P62" t="n">
        <v>0</v>
      </c>
      <c r="Q62" t="n">
        <v>2</v>
      </c>
      <c r="R62" t="n">
        <v>1</v>
      </c>
      <c r="S62" t="n">
        <v>2</v>
      </c>
      <c r="T62" t="n">
        <v>3</v>
      </c>
      <c r="U62" t="n">
        <v>0</v>
      </c>
      <c r="V62" s="2" t="inlineStr">
        <is>
          <t>Garnlav
Lunglav</t>
        </is>
      </c>
      <c r="W62">
        <f>HYPERLINK("https://klasma.github.io/Logging_2523/artfynd/A 30930-2026 artfynd.xlsx", "A 30930-2026")</f>
        <v/>
      </c>
      <c r="X62">
        <f>HYPERLINK("https://klasma.github.io/Logging_2523/kartor/A 30930-2026 karta.png", "A 30930-2026")</f>
        <v/>
      </c>
      <c r="Y62">
        <f>HYPERLINK("https://klasma.github.io/Logging_2523/kartor_geotiff/A 30930-2026 georefererad karta.tif", "A 30930-2026")</f>
        <v/>
      </c>
      <c r="AA62">
        <f>HYPERLINK("https://klasma.github.io/Logging_2523/klagomål/A 30930-2026 FSC-klagomål.docx", "A 30930-2026")</f>
        <v/>
      </c>
      <c r="AB62">
        <f>HYPERLINK("https://klasma.github.io/Logging_2523/klagomålsmail/A 30930-2026 FSC-klagomål mail.docx", "A 30930-2026")</f>
        <v/>
      </c>
      <c r="AC62">
        <f>HYPERLINK("https://klasma.github.io/Logging_2523/tillsyn/A 30930-2026 tillsynsbegäran.docx", "A 30930-2026")</f>
        <v/>
      </c>
      <c r="AD62">
        <f>HYPERLINK("https://klasma.github.io/Logging_2523/tillsynsmail/A 30930-2026 tillsynsbegäran mail.docx", "A 30930-2026")</f>
        <v/>
      </c>
    </row>
    <row r="63" ht="15" customHeight="1">
      <c r="A63" t="inlineStr">
        <is>
          <t>A 36015-2026</t>
        </is>
      </c>
      <c r="B63" t="inlineStr">
        <is>
          <t>avverkningsanmälan</t>
        </is>
      </c>
      <c r="C63" t="inlineStr">
        <is>
          <t>Föryngringsavverkning</t>
        </is>
      </c>
      <c r="D63" s="1" t="n">
        <v>46266</v>
      </c>
      <c r="E63" s="1" t="n">
        <v>46307</v>
      </c>
      <c r="F63" t="inlineStr">
        <is>
          <t>NORRBOTTENS LÄN</t>
        </is>
      </c>
      <c r="G63" t="inlineStr">
        <is>
          <t>GÄLLIVARE</t>
        </is>
      </c>
      <c r="H63" t="inlineStr">
        <is>
          <t>Allmännings- och besparingsskogar</t>
        </is>
      </c>
      <c r="I63" t="n">
        <v>11.9</v>
      </c>
      <c r="J63" t="n">
        <v>0</v>
      </c>
      <c r="K63" t="n">
        <v>0</v>
      </c>
      <c r="L63" t="n">
        <v>1</v>
      </c>
      <c r="M63" t="n">
        <v>1</v>
      </c>
      <c r="N63" t="n">
        <v>0</v>
      </c>
      <c r="O63" t="n">
        <v>0</v>
      </c>
      <c r="P63" t="n">
        <v>0</v>
      </c>
      <c r="Q63" t="n">
        <v>2</v>
      </c>
      <c r="R63" t="n">
        <v>1</v>
      </c>
      <c r="S63" t="n">
        <v>2</v>
      </c>
      <c r="T63" t="n">
        <v>2</v>
      </c>
      <c r="U63" t="n">
        <v>0</v>
      </c>
      <c r="V63" s="2" t="inlineStr">
        <is>
          <t>Ostticka
Rosenticka</t>
        </is>
      </c>
      <c r="W63">
        <f>HYPERLINK("https://klasma.github.io/Logging_2523/artfynd/A 36015-2026 artfynd.xlsx", "A 36015-2026")</f>
        <v/>
      </c>
      <c r="X63">
        <f>HYPERLINK("https://klasma.github.io/Logging_2523/kartor/A 36015-2026 karta.png", "A 36015-2026")</f>
        <v/>
      </c>
      <c r="Y63">
        <f>HYPERLINK("https://klasma.github.io/Logging_2523/kartor_geotiff/A 36015-2026 georefererad karta.tif", "A 36015-2026")</f>
        <v/>
      </c>
      <c r="AA63">
        <f>HYPERLINK("https://klasma.github.io/Logging_2523/klagomål/A 36015-2026 FSC-klagomål.docx", "A 36015-2026")</f>
        <v/>
      </c>
      <c r="AB63">
        <f>HYPERLINK("https://klasma.github.io/Logging_2523/klagomålsmail/A 36015-2026 FSC-klagomål mail.docx", "A 36015-2026")</f>
        <v/>
      </c>
      <c r="AC63">
        <f>HYPERLINK("https://klasma.github.io/Logging_2523/tillsyn/A 36015-2026 tillsynsbegäran.docx", "A 36015-2026")</f>
        <v/>
      </c>
      <c r="AD63">
        <f>HYPERLINK("https://klasma.github.io/Logging_2523/tillsynsmail/A 36015-2026 tillsynsbegäran mail.docx", "A 36015-2026")</f>
        <v/>
      </c>
    </row>
    <row r="64" ht="15" customHeight="1">
      <c r="A64" t="inlineStr">
        <is>
          <t>A 31421-2026</t>
        </is>
      </c>
      <c r="B64" t="inlineStr">
        <is>
          <t>avverkningsanmälan</t>
        </is>
      </c>
      <c r="C64" t="inlineStr">
        <is>
          <t>Föryngringsavverkning</t>
        </is>
      </c>
      <c r="D64" s="1" t="n">
        <v>46220</v>
      </c>
      <c r="E64" s="1" t="n">
        <v>46307</v>
      </c>
      <c r="F64" t="inlineStr">
        <is>
          <t>NORRBOTTENS LÄN</t>
        </is>
      </c>
      <c r="G64" t="inlineStr">
        <is>
          <t>GÄLLIVARE</t>
        </is>
      </c>
      <c r="H64" t="inlineStr">
        <is>
          <t>Sveaskog</t>
        </is>
      </c>
      <c r="I64" t="n">
        <v>7.7</v>
      </c>
      <c r="J64" t="n">
        <v>1</v>
      </c>
      <c r="K64" t="n">
        <v>0</v>
      </c>
      <c r="L64" t="n">
        <v>1</v>
      </c>
      <c r="M64" t="n">
        <v>1</v>
      </c>
      <c r="N64" t="n">
        <v>0</v>
      </c>
      <c r="O64" t="n">
        <v>0</v>
      </c>
      <c r="P64" t="n">
        <v>0</v>
      </c>
      <c r="Q64" t="n">
        <v>2</v>
      </c>
      <c r="R64" t="n">
        <v>1</v>
      </c>
      <c r="S64" t="n">
        <v>2</v>
      </c>
      <c r="T64" t="n">
        <v>3</v>
      </c>
      <c r="U64" t="n">
        <v>0</v>
      </c>
      <c r="V64" s="2" t="inlineStr">
        <is>
          <t>Doftticka
Lunglav</t>
        </is>
      </c>
      <c r="W64">
        <f>HYPERLINK("https://klasma.github.io/Logging_2523/artfynd/A 31421-2026 artfynd.xlsx", "A 31421-2026")</f>
        <v/>
      </c>
      <c r="X64">
        <f>HYPERLINK("https://klasma.github.io/Logging_2523/kartor/A 31421-2026 karta.png", "A 31421-2026")</f>
        <v/>
      </c>
      <c r="Y64">
        <f>HYPERLINK("https://klasma.github.io/Logging_2523/kartor_geotiff/A 31421-2026 georefererad karta.tif", "A 31421-2026")</f>
        <v/>
      </c>
      <c r="AA64">
        <f>HYPERLINK("https://klasma.github.io/Logging_2523/klagomål/A 31421-2026 FSC-klagomål.docx", "A 31421-2026")</f>
        <v/>
      </c>
      <c r="AB64">
        <f>HYPERLINK("https://klasma.github.io/Logging_2523/klagomålsmail/A 31421-2026 FSC-klagomål mail.docx", "A 31421-2026")</f>
        <v/>
      </c>
      <c r="AC64">
        <f>HYPERLINK("https://klasma.github.io/Logging_2523/tillsyn/A 31421-2026 tillsynsbegäran.docx", "A 31421-2026")</f>
        <v/>
      </c>
      <c r="AD64">
        <f>HYPERLINK("https://klasma.github.io/Logging_2523/tillsynsmail/A 31421-2026 tillsynsbegäran mail.docx", "A 31421-2026")</f>
        <v/>
      </c>
    </row>
    <row r="65" ht="15" customHeight="1">
      <c r="A65" t="inlineStr">
        <is>
          <t>A 31424-2026</t>
        </is>
      </c>
      <c r="B65" t="inlineStr">
        <is>
          <t>avverkningsanmälan</t>
        </is>
      </c>
      <c r="C65" t="inlineStr">
        <is>
          <t>Föryngringsavverkning</t>
        </is>
      </c>
      <c r="D65" s="1" t="n">
        <v>46220</v>
      </c>
      <c r="E65" s="1" t="n">
        <v>46307</v>
      </c>
      <c r="F65" t="inlineStr">
        <is>
          <t>NORRBOTTENS LÄN</t>
        </is>
      </c>
      <c r="G65" t="inlineStr">
        <is>
          <t>GÄLLIVARE</t>
        </is>
      </c>
      <c r="H65" t="inlineStr">
        <is>
          <t>Sveaskog</t>
        </is>
      </c>
      <c r="I65" t="n">
        <v>12.4</v>
      </c>
      <c r="J65" t="n">
        <v>0</v>
      </c>
      <c r="K65" t="n">
        <v>1</v>
      </c>
      <c r="L65" t="n">
        <v>0</v>
      </c>
      <c r="M65" t="n">
        <v>1</v>
      </c>
      <c r="N65" t="n">
        <v>0</v>
      </c>
      <c r="O65" t="n">
        <v>0</v>
      </c>
      <c r="P65" t="n">
        <v>0</v>
      </c>
      <c r="Q65" t="n">
        <v>1</v>
      </c>
      <c r="R65" t="n">
        <v>1</v>
      </c>
      <c r="S65" t="n">
        <v>2</v>
      </c>
      <c r="T65" t="n">
        <v>2</v>
      </c>
      <c r="U65" t="n">
        <v>0</v>
      </c>
      <c r="V65" s="2" t="inlineStr">
        <is>
          <t>Garnlav
Bårdlav</t>
        </is>
      </c>
      <c r="W65">
        <f>HYPERLINK("https://klasma.github.io/Logging_2523/artfynd/A 31424-2026 artfynd.xlsx", "A 31424-2026")</f>
        <v/>
      </c>
      <c r="X65">
        <f>HYPERLINK("https://klasma.github.io/Logging_2523/kartor/A 31424-2026 karta.png", "A 31424-2026")</f>
        <v/>
      </c>
      <c r="Y65">
        <f>HYPERLINK("https://klasma.github.io/Logging_2523/kartor_geotiff/A 31424-2026 georefererad karta.tif", "A 31424-2026")</f>
        <v/>
      </c>
      <c r="AA65">
        <f>HYPERLINK("https://klasma.github.io/Logging_2523/klagomål/A 31424-2026 FSC-klagomål.docx", "A 31424-2026")</f>
        <v/>
      </c>
      <c r="AB65">
        <f>HYPERLINK("https://klasma.github.io/Logging_2523/klagomålsmail/A 31424-2026 FSC-klagomål mail.docx", "A 31424-2026")</f>
        <v/>
      </c>
      <c r="AC65">
        <f>HYPERLINK("https://klasma.github.io/Logging_2523/tillsyn/A 31424-2026 tillsynsbegäran.docx", "A 31424-2026")</f>
        <v/>
      </c>
      <c r="AD65">
        <f>HYPERLINK("https://klasma.github.io/Logging_2523/tillsynsmail/A 31424-2026 tillsynsbegäran mail.docx", "A 31424-2026")</f>
        <v/>
      </c>
    </row>
    <row r="66" ht="15" customHeight="1">
      <c r="A66" t="inlineStr">
        <is>
          <t>A 35968-2026</t>
        </is>
      </c>
      <c r="B66" t="inlineStr">
        <is>
          <t>avverkningsanmälan</t>
        </is>
      </c>
      <c r="C66" t="inlineStr">
        <is>
          <t>Föryngringsavverkning</t>
        </is>
      </c>
      <c r="D66" s="1" t="n">
        <v>46266</v>
      </c>
      <c r="E66" s="1" t="n">
        <v>46307</v>
      </c>
      <c r="F66" t="inlineStr">
        <is>
          <t>NORRBOTTENS LÄN</t>
        </is>
      </c>
      <c r="G66" t="inlineStr">
        <is>
          <t>GÄLLIVARE</t>
        </is>
      </c>
      <c r="H66" t="inlineStr">
        <is>
          <t>SCA</t>
        </is>
      </c>
      <c r="I66" t="n">
        <v>6.3</v>
      </c>
      <c r="J66" t="n">
        <v>0</v>
      </c>
      <c r="K66" t="n">
        <v>0</v>
      </c>
      <c r="L66" t="n">
        <v>2</v>
      </c>
      <c r="M66" t="n">
        <v>0</v>
      </c>
      <c r="N66" t="n">
        <v>0</v>
      </c>
      <c r="O66" t="n">
        <v>0</v>
      </c>
      <c r="P66" t="n">
        <v>0</v>
      </c>
      <c r="Q66" t="n">
        <v>2</v>
      </c>
      <c r="R66" t="n">
        <v>0</v>
      </c>
      <c r="S66" t="n">
        <v>2</v>
      </c>
      <c r="T66" t="n">
        <v>2</v>
      </c>
      <c r="U66" t="n">
        <v>0</v>
      </c>
      <c r="V66" s="2" t="inlineStr">
        <is>
          <t>Blå taggsvamp
Dropptaggsvamp</t>
        </is>
      </c>
      <c r="W66">
        <f>HYPERLINK("https://klasma.github.io/Logging_2523/artfynd/A 35968-2026 artfynd.xlsx", "A 35968-2026")</f>
        <v/>
      </c>
      <c r="X66">
        <f>HYPERLINK("https://klasma.github.io/Logging_2523/kartor/A 35968-2026 karta.png", "A 35968-2026")</f>
        <v/>
      </c>
      <c r="Y66">
        <f>HYPERLINK("https://klasma.github.io/Logging_2523/kartor_geotiff/A 35968-2026 georefererad karta.tif", "A 35968-2026")</f>
        <v/>
      </c>
      <c r="AA66">
        <f>HYPERLINK("https://klasma.github.io/Logging_2523/klagomål/A 35968-2026 FSC-klagomål.docx", "A 35968-2026")</f>
        <v/>
      </c>
      <c r="AB66">
        <f>HYPERLINK("https://klasma.github.io/Logging_2523/klagomålsmail/A 35968-2026 FSC-klagomål mail.docx", "A 35968-2026")</f>
        <v/>
      </c>
      <c r="AC66">
        <f>HYPERLINK("https://klasma.github.io/Logging_2523/tillsyn/A 35968-2026 tillsynsbegäran.docx", "A 35968-2026")</f>
        <v/>
      </c>
      <c r="AD66">
        <f>HYPERLINK("https://klasma.github.io/Logging_2523/tillsynsmail/A 35968-2026 tillsynsbegäran mail.docx", "A 35968-2026")</f>
        <v/>
      </c>
    </row>
    <row r="67" ht="15" customHeight="1">
      <c r="A67" t="inlineStr">
        <is>
          <t>A 35674-2026</t>
        </is>
      </c>
      <c r="B67" t="inlineStr">
        <is>
          <t>avverkningsanmälan</t>
        </is>
      </c>
      <c r="C67" t="inlineStr">
        <is>
          <t>Föryngringsavverkning</t>
        </is>
      </c>
      <c r="D67" s="1" t="n">
        <v>46265</v>
      </c>
      <c r="E67" s="1" t="n">
        <v>46307</v>
      </c>
      <c r="F67" t="inlineStr">
        <is>
          <t>NORRBOTTENS LÄN</t>
        </is>
      </c>
      <c r="G67" t="inlineStr">
        <is>
          <t>GÄLLIVARE</t>
        </is>
      </c>
      <c r="I67" t="n">
        <v>1</v>
      </c>
      <c r="J67" t="n">
        <v>1</v>
      </c>
      <c r="K67" t="n">
        <v>0</v>
      </c>
      <c r="L67" t="n">
        <v>1</v>
      </c>
      <c r="M67" t="n">
        <v>0</v>
      </c>
      <c r="N67" t="n">
        <v>0</v>
      </c>
      <c r="O67" t="n">
        <v>0</v>
      </c>
      <c r="P67" t="n">
        <v>0</v>
      </c>
      <c r="Q67" t="n">
        <v>1</v>
      </c>
      <c r="R67" t="n">
        <v>0</v>
      </c>
      <c r="S67" t="n">
        <v>2</v>
      </c>
      <c r="T67" t="n">
        <v>2</v>
      </c>
      <c r="U67" t="n">
        <v>2</v>
      </c>
      <c r="V67" s="2" t="inlineStr">
        <is>
          <t>Veckticka
Revlummer</t>
        </is>
      </c>
      <c r="W67">
        <f>HYPERLINK("https://klasma.github.io/Logging_2523/artfynd/A 35674-2026 artfynd.xlsx", "A 35674-2026")</f>
        <v/>
      </c>
      <c r="X67">
        <f>HYPERLINK("https://klasma.github.io/Logging_2523/kartor/A 35674-2026 karta.png", "A 35674-2026")</f>
        <v/>
      </c>
      <c r="Y67">
        <f>HYPERLINK("https://klasma.github.io/Logging_2523/kartor_geotiff/A 35674-2026 georefererad karta.tif", "A 35674-2026")</f>
        <v/>
      </c>
      <c r="AA67">
        <f>HYPERLINK("https://klasma.github.io/Logging_2523/klagomål/A 35674-2026 FSC-klagomål.docx", "A 35674-2026")</f>
        <v/>
      </c>
      <c r="AB67">
        <f>HYPERLINK("https://klasma.github.io/Logging_2523/klagomålsmail/A 35674-2026 FSC-klagomål mail.docx", "A 35674-2026")</f>
        <v/>
      </c>
      <c r="AC67">
        <f>HYPERLINK("https://klasma.github.io/Logging_2523/tillsyn/A 35674-2026 tillsynsbegäran.docx", "A 35674-2026")</f>
        <v/>
      </c>
      <c r="AD67">
        <f>HYPERLINK("https://klasma.github.io/Logging_2523/tillsynsmail/A 35674-2026 tillsynsbegäran mail.docx", "A 35674-2026")</f>
        <v/>
      </c>
    </row>
    <row r="68" ht="15" customHeight="1">
      <c r="A68" t="inlineStr">
        <is>
          <t>A 33734-2026</t>
        </is>
      </c>
      <c r="B68" t="inlineStr">
        <is>
          <t>avverkningsanmälan</t>
        </is>
      </c>
      <c r="C68" t="inlineStr">
        <is>
          <t>Föryngringsavverkning</t>
        </is>
      </c>
      <c r="D68" s="1" t="n">
        <v>46251</v>
      </c>
      <c r="E68" s="1" t="n">
        <v>46307</v>
      </c>
      <c r="F68" t="inlineStr">
        <is>
          <t>NORRBOTTENS LÄN</t>
        </is>
      </c>
      <c r="G68" t="inlineStr">
        <is>
          <t>GÄLLIVARE</t>
        </is>
      </c>
      <c r="H68" t="inlineStr">
        <is>
          <t>SCA</t>
        </is>
      </c>
      <c r="I68" t="n">
        <v>2.3</v>
      </c>
      <c r="J68" t="n">
        <v>0</v>
      </c>
      <c r="K68" t="n">
        <v>0</v>
      </c>
      <c r="L68" t="n">
        <v>1</v>
      </c>
      <c r="M68" t="n">
        <v>1</v>
      </c>
      <c r="N68" t="n">
        <v>0</v>
      </c>
      <c r="O68" t="n">
        <v>0</v>
      </c>
      <c r="P68" t="n">
        <v>0</v>
      </c>
      <c r="Q68" t="n">
        <v>2</v>
      </c>
      <c r="R68" t="n">
        <v>1</v>
      </c>
      <c r="S68" t="n">
        <v>2</v>
      </c>
      <c r="T68" t="n">
        <v>2</v>
      </c>
      <c r="U68" t="n">
        <v>0</v>
      </c>
      <c r="V68" s="2" t="inlineStr">
        <is>
          <t>Garnlav
Knottrig blåslav</t>
        </is>
      </c>
      <c r="W68">
        <f>HYPERLINK("https://klasma.github.io/Logging_2523/artfynd/A 33734-2026 artfynd.xlsx", "A 33734-2026")</f>
        <v/>
      </c>
      <c r="X68">
        <f>HYPERLINK("https://klasma.github.io/Logging_2523/kartor/A 33734-2026 karta.png", "A 33734-2026")</f>
        <v/>
      </c>
      <c r="Y68">
        <f>HYPERLINK("https://klasma.github.io/Logging_2523/kartor_geotiff/A 33734-2026 georefererad karta.tif", "A 33734-2026")</f>
        <v/>
      </c>
      <c r="AA68">
        <f>HYPERLINK("https://klasma.github.io/Logging_2523/klagomål/A 33734-2026 FSC-klagomål.docx", "A 33734-2026")</f>
        <v/>
      </c>
      <c r="AB68">
        <f>HYPERLINK("https://klasma.github.io/Logging_2523/klagomålsmail/A 33734-2026 FSC-klagomål mail.docx", "A 33734-2026")</f>
        <v/>
      </c>
      <c r="AC68">
        <f>HYPERLINK("https://klasma.github.io/Logging_2523/tillsyn/A 33734-2026 tillsynsbegäran.docx", "A 33734-2026")</f>
        <v/>
      </c>
      <c r="AD68">
        <f>HYPERLINK("https://klasma.github.io/Logging_2523/tillsynsmail/A 33734-2026 tillsynsbegäran mail.docx", "A 33734-2026")</f>
        <v/>
      </c>
    </row>
    <row r="69" ht="15" customHeight="1">
      <c r="A69" t="inlineStr">
        <is>
          <t>A 33029-2026</t>
        </is>
      </c>
      <c r="B69" t="inlineStr">
        <is>
          <t>avverkningsanmälan</t>
        </is>
      </c>
      <c r="C69" t="inlineStr">
        <is>
          <t>Föryngringsavverkning</t>
        </is>
      </c>
      <c r="D69" s="1" t="n">
        <v>46244</v>
      </c>
      <c r="E69" s="1" t="n">
        <v>46307</v>
      </c>
      <c r="F69" t="inlineStr">
        <is>
          <t>NORRBOTTENS LÄN</t>
        </is>
      </c>
      <c r="G69" t="inlineStr">
        <is>
          <t>GÄLLIVARE</t>
        </is>
      </c>
      <c r="H69" t="inlineStr">
        <is>
          <t>SCA</t>
        </is>
      </c>
      <c r="I69" t="n">
        <v>6.8</v>
      </c>
      <c r="J69" t="n">
        <v>0</v>
      </c>
      <c r="K69" t="n">
        <v>0</v>
      </c>
      <c r="L69" t="n">
        <v>1</v>
      </c>
      <c r="M69" t="n">
        <v>1</v>
      </c>
      <c r="N69" t="n">
        <v>0</v>
      </c>
      <c r="O69" t="n">
        <v>0</v>
      </c>
      <c r="P69" t="n">
        <v>0</v>
      </c>
      <c r="Q69" t="n">
        <v>2</v>
      </c>
      <c r="R69" t="n">
        <v>1</v>
      </c>
      <c r="S69" t="n">
        <v>2</v>
      </c>
      <c r="T69" t="n">
        <v>2</v>
      </c>
      <c r="U69" t="n">
        <v>0</v>
      </c>
      <c r="V69" s="2" t="inlineStr">
        <is>
          <t>Garnlav
Knottrig blåslav</t>
        </is>
      </c>
      <c r="W69">
        <f>HYPERLINK("https://klasma.github.io/Logging_2523/artfynd/A 33029-2026 artfynd.xlsx", "A 33029-2026")</f>
        <v/>
      </c>
      <c r="X69">
        <f>HYPERLINK("https://klasma.github.io/Logging_2523/kartor/A 33029-2026 karta.png", "A 33029-2026")</f>
        <v/>
      </c>
      <c r="Y69">
        <f>HYPERLINK("https://klasma.github.io/Logging_2523/kartor_geotiff/A 33029-2026 georefererad karta.tif", "A 33029-2026")</f>
        <v/>
      </c>
      <c r="AA69">
        <f>HYPERLINK("https://klasma.github.io/Logging_2523/klagomål/A 33029-2026 FSC-klagomål.docx", "A 33029-2026")</f>
        <v/>
      </c>
      <c r="AB69">
        <f>HYPERLINK("https://klasma.github.io/Logging_2523/klagomålsmail/A 33029-2026 FSC-klagomål mail.docx", "A 33029-2026")</f>
        <v/>
      </c>
      <c r="AC69">
        <f>HYPERLINK("https://klasma.github.io/Logging_2523/tillsyn/A 33029-2026 tillsynsbegäran.docx", "A 33029-2026")</f>
        <v/>
      </c>
      <c r="AD69">
        <f>HYPERLINK("https://klasma.github.io/Logging_2523/tillsynsmail/A 33029-2026 tillsynsbegäran mail.docx", "A 33029-2026")</f>
        <v/>
      </c>
    </row>
    <row r="70" ht="15" customHeight="1">
      <c r="A70" t="inlineStr">
        <is>
          <t>A 41511-2026</t>
        </is>
      </c>
      <c r="B70" t="inlineStr">
        <is>
          <t>avverkningsanmälan</t>
        </is>
      </c>
      <c r="C70" t="inlineStr">
        <is>
          <t>Föryngringsavverkning</t>
        </is>
      </c>
      <c r="D70" s="1" t="n">
        <v>46301</v>
      </c>
      <c r="E70" s="1" t="n">
        <v>46307</v>
      </c>
      <c r="F70" t="inlineStr">
        <is>
          <t>NORRBOTTENS LÄN</t>
        </is>
      </c>
      <c r="G70" t="inlineStr">
        <is>
          <t>GÄLLIVARE</t>
        </is>
      </c>
      <c r="H70" t="inlineStr">
        <is>
          <t>SCA</t>
        </is>
      </c>
      <c r="I70" t="n">
        <v>0.7</v>
      </c>
      <c r="J70" t="n">
        <v>0</v>
      </c>
      <c r="K70" t="n">
        <v>0</v>
      </c>
      <c r="L70" t="n">
        <v>1</v>
      </c>
      <c r="M70" t="n">
        <v>1</v>
      </c>
      <c r="N70" t="n">
        <v>0</v>
      </c>
      <c r="O70" t="n">
        <v>0</v>
      </c>
      <c r="P70" t="n">
        <v>0</v>
      </c>
      <c r="Q70" t="n">
        <v>2</v>
      </c>
      <c r="R70" t="n">
        <v>1</v>
      </c>
      <c r="S70" t="n">
        <v>2</v>
      </c>
      <c r="T70" t="n">
        <v>2</v>
      </c>
      <c r="U70" t="n">
        <v>0</v>
      </c>
      <c r="V70" s="2" t="inlineStr">
        <is>
          <t>Garnlav
Knottrig blåslav</t>
        </is>
      </c>
      <c r="W70">
        <f>HYPERLINK("https://klasma.github.io/Logging_2523/artfynd/A 41511-2026 artfynd.xlsx", "A 41511-2026")</f>
        <v/>
      </c>
      <c r="X70">
        <f>HYPERLINK("https://klasma.github.io/Logging_2523/kartor/A 41511-2026 karta.png", "A 41511-2026")</f>
        <v/>
      </c>
      <c r="Y70">
        <f>HYPERLINK("https://klasma.github.io/Logging_2523/kartor_geotiff/A 41511-2026 georefererad karta.tif", "A 41511-2026")</f>
        <v/>
      </c>
      <c r="AA70">
        <f>HYPERLINK("https://klasma.github.io/Logging_2523/klagomål/A 41511-2026 FSC-klagomål.docx", "A 41511-2026")</f>
        <v/>
      </c>
      <c r="AB70">
        <f>HYPERLINK("https://klasma.github.io/Logging_2523/klagomålsmail/A 41511-2026 FSC-klagomål mail.docx", "A 41511-2026")</f>
        <v/>
      </c>
      <c r="AC70">
        <f>HYPERLINK("https://klasma.github.io/Logging_2523/tillsyn/A 41511-2026 tillsynsbegäran.docx", "A 41511-2026")</f>
        <v/>
      </c>
      <c r="AD70">
        <f>HYPERLINK("https://klasma.github.io/Logging_2523/tillsynsmail/A 41511-2026 tillsynsbegäran mail.docx", "A 41511-2026")</f>
        <v/>
      </c>
    </row>
    <row r="71" ht="15" customHeight="1">
      <c r="A71" t="inlineStr">
        <is>
          <t>A 2237-2023</t>
        </is>
      </c>
      <c r="B71" t="inlineStr">
        <is>
          <t>avverkningsanmälan</t>
        </is>
      </c>
      <c r="C71" t="inlineStr">
        <is>
          <t>Föryngringsavverkning</t>
        </is>
      </c>
      <c r="D71" s="1" t="n">
        <v>44942</v>
      </c>
      <c r="E71" s="1" t="n">
        <v>46307</v>
      </c>
      <c r="F71" t="inlineStr">
        <is>
          <t>NORRBOTTENS LÄN</t>
        </is>
      </c>
      <c r="G71" t="inlineStr">
        <is>
          <t>GÄLLIVARE</t>
        </is>
      </c>
      <c r="I71" t="n">
        <v>7</v>
      </c>
      <c r="J71" t="n">
        <v>1</v>
      </c>
      <c r="K71" t="n">
        <v>0</v>
      </c>
      <c r="L71" t="n">
        <v>0</v>
      </c>
      <c r="M71" t="n">
        <v>0</v>
      </c>
      <c r="N71" t="n">
        <v>0</v>
      </c>
      <c r="O71" t="n">
        <v>0</v>
      </c>
      <c r="P71" t="n">
        <v>0</v>
      </c>
      <c r="Q71" t="n">
        <v>0</v>
      </c>
      <c r="R71" t="n">
        <v>0</v>
      </c>
      <c r="S71" t="n">
        <v>1</v>
      </c>
      <c r="T71" t="n">
        <v>1</v>
      </c>
      <c r="U71" t="n">
        <v>1</v>
      </c>
      <c r="V71" s="2" t="inlineStr">
        <is>
          <t>Revlummer</t>
        </is>
      </c>
      <c r="W71">
        <f>HYPERLINK("https://klasma.github.io/Logging_2523/artfynd/A 2237-2023 artfynd.xlsx", "A 2237-2023")</f>
        <v/>
      </c>
      <c r="X71">
        <f>HYPERLINK("https://klasma.github.io/Logging_2523/kartor/A 2237-2023 karta.png", "A 2237-2023")</f>
        <v/>
      </c>
      <c r="Y71">
        <f>HYPERLINK("https://klasma.github.io/Logging_2523/kartor_geotiff/A 2237-2023 georefererad karta.tif", "A 2237-2023")</f>
        <v/>
      </c>
      <c r="AA71">
        <f>HYPERLINK("https://klasma.github.io/Logging_2523/klagomål/A 2237-2023 FSC-klagomål.docx", "A 2237-2023")</f>
        <v/>
      </c>
      <c r="AB71">
        <f>HYPERLINK("https://klasma.github.io/Logging_2523/klagomålsmail/A 2237-2023 FSC-klagomål mail.docx", "A 2237-2023")</f>
        <v/>
      </c>
      <c r="AC71">
        <f>HYPERLINK("https://klasma.github.io/Logging_2523/tillsyn/A 2237-2023 tillsynsbegäran.docx", "A 2237-2023")</f>
        <v/>
      </c>
      <c r="AD71">
        <f>HYPERLINK("https://klasma.github.io/Logging_2523/tillsynsmail/A 2237-2023 tillsynsbegäran mail.docx", "A 2237-2023")</f>
        <v/>
      </c>
    </row>
    <row r="72" ht="15" customHeight="1">
      <c r="A72" t="inlineStr">
        <is>
          <t>A 4891-2025</t>
        </is>
      </c>
      <c r="B72" t="inlineStr">
        <is>
          <t>avverkningsanmälan</t>
        </is>
      </c>
      <c r="C72" t="inlineStr">
        <is>
          <t>Föryngringsavverkning</t>
        </is>
      </c>
      <c r="D72" s="1" t="n">
        <v>45688</v>
      </c>
      <c r="E72" s="1" t="n">
        <v>46307</v>
      </c>
      <c r="F72" t="inlineStr">
        <is>
          <t>NORRBOTTENS LÄN</t>
        </is>
      </c>
      <c r="G72" t="inlineStr">
        <is>
          <t>GÄLLIVARE</t>
        </is>
      </c>
      <c r="H72" t="inlineStr">
        <is>
          <t>SCA</t>
        </is>
      </c>
      <c r="I72" t="n">
        <v>1.3</v>
      </c>
      <c r="J72" t="n">
        <v>0</v>
      </c>
      <c r="K72" t="n">
        <v>0</v>
      </c>
      <c r="L72" t="n">
        <v>1</v>
      </c>
      <c r="M72" t="n">
        <v>0</v>
      </c>
      <c r="N72" t="n">
        <v>0</v>
      </c>
      <c r="O72" t="n">
        <v>0</v>
      </c>
      <c r="P72" t="n">
        <v>0</v>
      </c>
      <c r="Q72" t="n">
        <v>1</v>
      </c>
      <c r="R72" t="n">
        <v>0</v>
      </c>
      <c r="S72" t="n">
        <v>1</v>
      </c>
      <c r="T72" t="n">
        <v>1</v>
      </c>
      <c r="U72" t="n">
        <v>1</v>
      </c>
      <c r="V72" s="2" t="inlineStr">
        <is>
          <t>Tallticka</t>
        </is>
      </c>
      <c r="W72">
        <f>HYPERLINK("https://klasma.github.io/Logging_2523/artfynd/A 4891-2025 artfynd.xlsx", "A 4891-2025")</f>
        <v/>
      </c>
      <c r="X72">
        <f>HYPERLINK("https://klasma.github.io/Logging_2523/kartor/A 4891-2025 karta.png", "A 4891-2025")</f>
        <v/>
      </c>
      <c r="Y72">
        <f>HYPERLINK("https://klasma.github.io/Logging_2523/kartor_geotiff/A 4891-2025 georefererad karta.tif", "A 4891-2025")</f>
        <v/>
      </c>
      <c r="AA72">
        <f>HYPERLINK("https://klasma.github.io/Logging_2523/klagomål/A 4891-2025 FSC-klagomål.docx", "A 4891-2025")</f>
        <v/>
      </c>
      <c r="AB72">
        <f>HYPERLINK("https://klasma.github.io/Logging_2523/klagomålsmail/A 4891-2025 FSC-klagomål mail.docx", "A 4891-2025")</f>
        <v/>
      </c>
      <c r="AC72">
        <f>HYPERLINK("https://klasma.github.io/Logging_2523/tillsyn/A 4891-2025 tillsynsbegäran.docx", "A 4891-2025")</f>
        <v/>
      </c>
      <c r="AD72">
        <f>HYPERLINK("https://klasma.github.io/Logging_2523/tillsynsmail/A 4891-2025 tillsynsbegäran mail.docx", "A 4891-2025")</f>
        <v/>
      </c>
    </row>
    <row r="73" ht="15" customHeight="1">
      <c r="A73" t="inlineStr">
        <is>
          <t>A 39968-2025</t>
        </is>
      </c>
      <c r="B73" t="inlineStr">
        <is>
          <t>avverkningsanmälan</t>
        </is>
      </c>
      <c r="C73" t="inlineStr">
        <is>
          <t>Föryngringsavverkning</t>
        </is>
      </c>
      <c r="D73" s="1" t="n">
        <v>45892</v>
      </c>
      <c r="E73" s="1" t="n">
        <v>46307</v>
      </c>
      <c r="F73" t="inlineStr">
        <is>
          <t>NORRBOTTENS LÄN</t>
        </is>
      </c>
      <c r="G73" t="inlineStr">
        <is>
          <t>GÄLLIVARE</t>
        </is>
      </c>
      <c r="H73" t="inlineStr">
        <is>
          <t>SCA</t>
        </is>
      </c>
      <c r="I73" t="n">
        <v>3.4</v>
      </c>
      <c r="J73" t="n">
        <v>0</v>
      </c>
      <c r="K73" t="n">
        <v>0</v>
      </c>
      <c r="L73" t="n">
        <v>1</v>
      </c>
      <c r="M73" t="n">
        <v>0</v>
      </c>
      <c r="N73" t="n">
        <v>0</v>
      </c>
      <c r="O73" t="n">
        <v>0</v>
      </c>
      <c r="P73" t="n">
        <v>0</v>
      </c>
      <c r="Q73" t="n">
        <v>1</v>
      </c>
      <c r="R73" t="n">
        <v>0</v>
      </c>
      <c r="S73" t="n">
        <v>1</v>
      </c>
      <c r="T73" t="n">
        <v>1</v>
      </c>
      <c r="U73" t="n">
        <v>1</v>
      </c>
      <c r="V73" s="2" t="inlineStr">
        <is>
          <t>Violmussling</t>
        </is>
      </c>
      <c r="W73">
        <f>HYPERLINK("https://klasma.github.io/Logging_2523/artfynd/A 39968-2025 artfynd.xlsx", "A 39968-2025")</f>
        <v/>
      </c>
      <c r="X73">
        <f>HYPERLINK("https://klasma.github.io/Logging_2523/kartor/A 39968-2025 karta.png", "A 39968-2025")</f>
        <v/>
      </c>
      <c r="Y73">
        <f>HYPERLINK("https://klasma.github.io/Logging_2523/kartor_geotiff/A 39968-2025 georefererad karta.tif", "A 39968-2025")</f>
        <v/>
      </c>
      <c r="AA73">
        <f>HYPERLINK("https://klasma.github.io/Logging_2523/klagomål/A 39968-2025 FSC-klagomål.docx", "A 39968-2025")</f>
        <v/>
      </c>
      <c r="AB73">
        <f>HYPERLINK("https://klasma.github.io/Logging_2523/klagomålsmail/A 39968-2025 FSC-klagomål mail.docx", "A 39968-2025")</f>
        <v/>
      </c>
      <c r="AC73">
        <f>HYPERLINK("https://klasma.github.io/Logging_2523/tillsyn/A 39968-2025 tillsynsbegäran.docx", "A 39968-2025")</f>
        <v/>
      </c>
      <c r="AD73">
        <f>HYPERLINK("https://klasma.github.io/Logging_2523/tillsynsmail/A 39968-2025 tillsynsbegäran mail.docx", "A 39968-2025")</f>
        <v/>
      </c>
    </row>
    <row r="74" ht="15" customHeight="1">
      <c r="A74" t="inlineStr">
        <is>
          <t>A 18043-2024</t>
        </is>
      </c>
      <c r="B74" t="inlineStr">
        <is>
          <t>avverkningsanmälan</t>
        </is>
      </c>
      <c r="C74" t="inlineStr">
        <is>
          <t>Föryngringsavverkning</t>
        </is>
      </c>
      <c r="D74" s="1" t="n">
        <v>45420</v>
      </c>
      <c r="E74" s="1" t="n">
        <v>46307</v>
      </c>
      <c r="F74" t="inlineStr">
        <is>
          <t>NORRBOTTENS LÄN</t>
        </is>
      </c>
      <c r="G74" t="inlineStr">
        <is>
          <t>GÄLLIVARE</t>
        </is>
      </c>
      <c r="I74" t="n">
        <v>35.5</v>
      </c>
      <c r="J74" t="n">
        <v>0</v>
      </c>
      <c r="K74" t="n">
        <v>0</v>
      </c>
      <c r="L74" t="n">
        <v>0</v>
      </c>
      <c r="M74" t="n">
        <v>1</v>
      </c>
      <c r="N74" t="n">
        <v>0</v>
      </c>
      <c r="O74" t="n">
        <v>0</v>
      </c>
      <c r="P74" t="n">
        <v>0</v>
      </c>
      <c r="Q74" t="n">
        <v>1</v>
      </c>
      <c r="R74" t="n">
        <v>1</v>
      </c>
      <c r="S74" t="n">
        <v>1</v>
      </c>
      <c r="T74" t="n">
        <v>1</v>
      </c>
      <c r="U74" t="n">
        <v>1</v>
      </c>
      <c r="V74" s="2" t="inlineStr">
        <is>
          <t>Garnlav</t>
        </is>
      </c>
      <c r="W74">
        <f>HYPERLINK("https://klasma.github.io/Logging_2523/artfynd/A 18043-2024 artfynd.xlsx", "A 18043-2024")</f>
        <v/>
      </c>
      <c r="X74">
        <f>HYPERLINK("https://klasma.github.io/Logging_2523/kartor/A 18043-2024 karta.png", "A 18043-2024")</f>
        <v/>
      </c>
      <c r="Y74">
        <f>HYPERLINK("https://klasma.github.io/Logging_2523/kartor_geotiff/A 18043-2024 georefererad karta.tif", "A 18043-2024")</f>
        <v/>
      </c>
      <c r="AA74">
        <f>HYPERLINK("https://klasma.github.io/Logging_2523/klagomål/A 18043-2024 FSC-klagomål.docx", "A 18043-2024")</f>
        <v/>
      </c>
      <c r="AB74">
        <f>HYPERLINK("https://klasma.github.io/Logging_2523/klagomålsmail/A 18043-2024 FSC-klagomål mail.docx", "A 18043-2024")</f>
        <v/>
      </c>
      <c r="AC74">
        <f>HYPERLINK("https://klasma.github.io/Logging_2523/tillsyn/A 18043-2024 tillsynsbegäran.docx", "A 18043-2024")</f>
        <v/>
      </c>
      <c r="AD74">
        <f>HYPERLINK("https://klasma.github.io/Logging_2523/tillsynsmail/A 18043-2024 tillsynsbegäran mail.docx", "A 18043-2024")</f>
        <v/>
      </c>
    </row>
    <row r="75" ht="15" customHeight="1">
      <c r="A75" t="inlineStr">
        <is>
          <t>A 16857-2025</t>
        </is>
      </c>
      <c r="B75" t="inlineStr">
        <is>
          <t>avverkningsanmälan</t>
        </is>
      </c>
      <c r="C75" t="inlineStr">
        <is>
          <t>Avverkning för annat ändamål</t>
        </is>
      </c>
      <c r="D75" s="1" t="n">
        <v>45751</v>
      </c>
      <c r="E75" s="1" t="n">
        <v>46307</v>
      </c>
      <c r="F75" t="inlineStr">
        <is>
          <t>NORRBOTTENS LÄN</t>
        </is>
      </c>
      <c r="G75" t="inlineStr">
        <is>
          <t>GÄLLIVARE</t>
        </is>
      </c>
      <c r="I75" t="n">
        <v>1.7</v>
      </c>
      <c r="J75" t="n">
        <v>0</v>
      </c>
      <c r="K75" t="n">
        <v>1</v>
      </c>
      <c r="L75" t="n">
        <v>0</v>
      </c>
      <c r="M75" t="n">
        <v>0</v>
      </c>
      <c r="N75" t="n">
        <v>0</v>
      </c>
      <c r="O75" t="n">
        <v>0</v>
      </c>
      <c r="P75" t="n">
        <v>0</v>
      </c>
      <c r="Q75" t="n">
        <v>0</v>
      </c>
      <c r="R75" t="n">
        <v>0</v>
      </c>
      <c r="S75" t="n">
        <v>1</v>
      </c>
      <c r="T75" t="n">
        <v>1</v>
      </c>
      <c r="U75" t="n">
        <v>1</v>
      </c>
      <c r="V75" s="2" t="inlineStr">
        <is>
          <t>Nästlav</t>
        </is>
      </c>
      <c r="W75">
        <f>HYPERLINK("https://klasma.github.io/Logging_2523/artfynd/A 16857-2025 artfynd.xlsx", "A 16857-2025")</f>
        <v/>
      </c>
      <c r="X75">
        <f>HYPERLINK("https://klasma.github.io/Logging_2523/kartor/A 16857-2025 karta.png", "A 16857-2025")</f>
        <v/>
      </c>
      <c r="Y75">
        <f>HYPERLINK("https://klasma.github.io/Logging_2523/kartor_geotiff/A 16857-2025 georefererad karta.tif", "A 16857-2025")</f>
        <v/>
      </c>
      <c r="AA75">
        <f>HYPERLINK("https://klasma.github.io/Logging_2523/klagomål/A 16857-2025 FSC-klagomål.docx", "A 16857-2025")</f>
        <v/>
      </c>
      <c r="AB75">
        <f>HYPERLINK("https://klasma.github.io/Logging_2523/klagomålsmail/A 16857-2025 FSC-klagomål mail.docx", "A 16857-2025")</f>
        <v/>
      </c>
      <c r="AC75">
        <f>HYPERLINK("https://klasma.github.io/Logging_2523/tillsyn/A 16857-2025 tillsynsbegäran.docx", "A 16857-2025")</f>
        <v/>
      </c>
      <c r="AD75">
        <f>HYPERLINK("https://klasma.github.io/Logging_2523/tillsynsmail/A 16857-2025 tillsynsbegäran mail.docx", "A 16857-2025")</f>
        <v/>
      </c>
    </row>
    <row r="76" ht="15" customHeight="1">
      <c r="A76" t="inlineStr">
        <is>
          <t>A 21159-2023</t>
        </is>
      </c>
      <c r="B76" t="inlineStr">
        <is>
          <t>avverkningsanmälan</t>
        </is>
      </c>
      <c r="C76" t="inlineStr">
        <is>
          <t>Föryngringsavverkning</t>
        </is>
      </c>
      <c r="D76" s="1" t="n">
        <v>45062</v>
      </c>
      <c r="E76" s="1" t="n">
        <v>46307</v>
      </c>
      <c r="F76" t="inlineStr">
        <is>
          <t>NORRBOTTENS LÄN</t>
        </is>
      </c>
      <c r="G76" t="inlineStr">
        <is>
          <t>GÄLLIVARE</t>
        </is>
      </c>
      <c r="H76" t="inlineStr">
        <is>
          <t>Sveaskog</t>
        </is>
      </c>
      <c r="I76" t="n">
        <v>111</v>
      </c>
      <c r="J76" t="n">
        <v>1</v>
      </c>
      <c r="K76" t="n">
        <v>0</v>
      </c>
      <c r="L76" t="n">
        <v>0</v>
      </c>
      <c r="M76" t="n">
        <v>0</v>
      </c>
      <c r="N76" t="n">
        <v>0</v>
      </c>
      <c r="O76" t="n">
        <v>0</v>
      </c>
      <c r="P76" t="n">
        <v>0</v>
      </c>
      <c r="Q76" t="n">
        <v>0</v>
      </c>
      <c r="R76" t="n">
        <v>0</v>
      </c>
      <c r="S76" t="n">
        <v>1</v>
      </c>
      <c r="T76" t="n">
        <v>1</v>
      </c>
      <c r="U76" t="n">
        <v>1</v>
      </c>
      <c r="V76" s="2" t="inlineStr">
        <is>
          <t>Utter</t>
        </is>
      </c>
      <c r="W76">
        <f>HYPERLINK("https://klasma.github.io/Logging_2523/artfynd/A 21159-2023 artfynd.xlsx", "A 21159-2023")</f>
        <v/>
      </c>
      <c r="X76">
        <f>HYPERLINK("https://klasma.github.io/Logging_2523/kartor/A 21159-2023 karta.png", "A 21159-2023")</f>
        <v/>
      </c>
      <c r="Y76">
        <f>HYPERLINK("https://klasma.github.io/Logging_2523/kartor_geotiff/A 21159-2023 georefererad karta.tif", "A 21159-2023")</f>
        <v/>
      </c>
      <c r="AA76">
        <f>HYPERLINK("https://klasma.github.io/Logging_2523/klagomål/A 21159-2023 FSC-klagomål.docx", "A 21159-2023")</f>
        <v/>
      </c>
      <c r="AB76">
        <f>HYPERLINK("https://klasma.github.io/Logging_2523/klagomålsmail/A 21159-2023 FSC-klagomål mail.docx", "A 21159-2023")</f>
        <v/>
      </c>
      <c r="AC76">
        <f>HYPERLINK("https://klasma.github.io/Logging_2523/tillsyn/A 21159-2023 tillsynsbegäran.docx", "A 21159-2023")</f>
        <v/>
      </c>
      <c r="AD76">
        <f>HYPERLINK("https://klasma.github.io/Logging_2523/tillsynsmail/A 21159-2023 tillsynsbegäran mail.docx", "A 21159-2023")</f>
        <v/>
      </c>
    </row>
    <row r="77" ht="15" customHeight="1">
      <c r="A77" t="inlineStr">
        <is>
          <t>A 8516-2025</t>
        </is>
      </c>
      <c r="B77" t="inlineStr">
        <is>
          <t>avverkningsanmälan</t>
        </is>
      </c>
      <c r="C77" t="inlineStr">
        <is>
          <t>Föryngringsavverkning</t>
        </is>
      </c>
      <c r="D77" s="1" t="n">
        <v>45709</v>
      </c>
      <c r="E77" s="1" t="n">
        <v>46307</v>
      </c>
      <c r="F77" t="inlineStr">
        <is>
          <t>NORRBOTTENS LÄN</t>
        </is>
      </c>
      <c r="G77" t="inlineStr">
        <is>
          <t>GÄLLIVARE</t>
        </is>
      </c>
      <c r="H77" t="inlineStr">
        <is>
          <t>SCA</t>
        </is>
      </c>
      <c r="I77" t="n">
        <v>4.7</v>
      </c>
      <c r="J77" t="n">
        <v>1</v>
      </c>
      <c r="K77" t="n">
        <v>0</v>
      </c>
      <c r="L77" t="n">
        <v>1</v>
      </c>
      <c r="M77" t="n">
        <v>0</v>
      </c>
      <c r="N77" t="n">
        <v>0</v>
      </c>
      <c r="O77" t="n">
        <v>0</v>
      </c>
      <c r="P77" t="n">
        <v>0</v>
      </c>
      <c r="Q77" t="n">
        <v>1</v>
      </c>
      <c r="R77" t="n">
        <v>0</v>
      </c>
      <c r="S77" t="n">
        <v>1</v>
      </c>
      <c r="T77" t="n">
        <v>1</v>
      </c>
      <c r="U77" t="n">
        <v>0</v>
      </c>
      <c r="V77" s="2" t="inlineStr">
        <is>
          <t>Sädesärla</t>
        </is>
      </c>
      <c r="W77">
        <f>HYPERLINK("https://klasma.github.io/Logging_2523/artfynd/A 8516-2025 artfynd.xlsx", "A 8516-2025")</f>
        <v/>
      </c>
      <c r="X77">
        <f>HYPERLINK("https://klasma.github.io/Logging_2523/kartor/A 8516-2025 karta.png", "A 8516-2025")</f>
        <v/>
      </c>
      <c r="Y77">
        <f>HYPERLINK("https://klasma.github.io/Logging_2523/kartor_geotiff/A 8516-2025 georefererad karta.tif", "A 8516-2025")</f>
        <v/>
      </c>
      <c r="AA77">
        <f>HYPERLINK("https://klasma.github.io/Logging_2523/klagomål/A 8516-2025 FSC-klagomål.docx", "A 8516-2025")</f>
        <v/>
      </c>
      <c r="AB77">
        <f>HYPERLINK("https://klasma.github.io/Logging_2523/klagomålsmail/A 8516-2025 FSC-klagomål mail.docx", "A 8516-2025")</f>
        <v/>
      </c>
      <c r="AC77">
        <f>HYPERLINK("https://klasma.github.io/Logging_2523/tillsyn/A 8516-2025 tillsynsbegäran.docx", "A 8516-2025")</f>
        <v/>
      </c>
      <c r="AD77">
        <f>HYPERLINK("https://klasma.github.io/Logging_2523/tillsynsmail/A 8516-2025 tillsynsbegäran mail.docx", "A 8516-2025")</f>
        <v/>
      </c>
      <c r="AE77">
        <f>HYPERLINK("https://klasma.github.io/Logging_2523/fåglar/A 8516-2025 prioriterade fågelarter.docx", "A 8516-2025")</f>
        <v/>
      </c>
    </row>
    <row r="78" ht="15" customHeight="1">
      <c r="A78" t="inlineStr">
        <is>
          <t>A 40151-2025</t>
        </is>
      </c>
      <c r="B78" t="inlineStr">
        <is>
          <t>avverkningsanmälan</t>
        </is>
      </c>
      <c r="C78" t="inlineStr">
        <is>
          <t>Avverkning för annat ändamål</t>
        </is>
      </c>
      <c r="D78" s="1" t="n">
        <v>45894</v>
      </c>
      <c r="E78" s="1" t="n">
        <v>46307</v>
      </c>
      <c r="F78" t="inlineStr">
        <is>
          <t>NORRBOTTENS LÄN</t>
        </is>
      </c>
      <c r="G78" t="inlineStr">
        <is>
          <t>GÄLLIVARE</t>
        </is>
      </c>
      <c r="H78" t="inlineStr">
        <is>
          <t>Allmännings- och besparingsskogar</t>
        </is>
      </c>
      <c r="I78" t="n">
        <v>4.5</v>
      </c>
      <c r="J78" t="n">
        <v>1</v>
      </c>
      <c r="K78" t="n">
        <v>0</v>
      </c>
      <c r="L78" t="n">
        <v>0</v>
      </c>
      <c r="M78" t="n">
        <v>0</v>
      </c>
      <c r="N78" t="n">
        <v>0</v>
      </c>
      <c r="O78" t="n">
        <v>0</v>
      </c>
      <c r="P78" t="n">
        <v>0</v>
      </c>
      <c r="Q78" t="n">
        <v>0</v>
      </c>
      <c r="R78" t="n">
        <v>0</v>
      </c>
      <c r="S78" t="n">
        <v>1</v>
      </c>
      <c r="T78" t="n">
        <v>1</v>
      </c>
      <c r="U78" t="n">
        <v>0</v>
      </c>
      <c r="V78" s="2" t="inlineStr">
        <is>
          <t>Fläcknycklar</t>
        </is>
      </c>
      <c r="W78">
        <f>HYPERLINK("https://klasma.github.io/Logging_2523/artfynd/A 40151-2025 artfynd.xlsx", "A 40151-2025")</f>
        <v/>
      </c>
      <c r="X78">
        <f>HYPERLINK("https://klasma.github.io/Logging_2523/kartor/A 40151-2025 karta.png", "A 40151-2025")</f>
        <v/>
      </c>
      <c r="Y78">
        <f>HYPERLINK("https://klasma.github.io/Logging_2523/kartor_geotiff/A 40151-2025 georefererad karta.tif", "A 40151-2025")</f>
        <v/>
      </c>
      <c r="AA78">
        <f>HYPERLINK("https://klasma.github.io/Logging_2523/klagomål/A 40151-2025 FSC-klagomål.docx", "A 40151-2025")</f>
        <v/>
      </c>
      <c r="AB78">
        <f>HYPERLINK("https://klasma.github.io/Logging_2523/klagomålsmail/A 40151-2025 FSC-klagomål mail.docx", "A 40151-2025")</f>
        <v/>
      </c>
      <c r="AC78">
        <f>HYPERLINK("https://klasma.github.io/Logging_2523/tillsyn/A 40151-2025 tillsynsbegäran.docx", "A 40151-2025")</f>
        <v/>
      </c>
      <c r="AD78">
        <f>HYPERLINK("https://klasma.github.io/Logging_2523/tillsynsmail/A 40151-2025 tillsynsbegäran mail.docx", "A 40151-2025")</f>
        <v/>
      </c>
    </row>
    <row r="79" ht="15" customHeight="1">
      <c r="A79" t="inlineStr">
        <is>
          <t>A 31651-2025</t>
        </is>
      </c>
      <c r="B79" t="inlineStr">
        <is>
          <t>avverkningsanmälan</t>
        </is>
      </c>
      <c r="C79" t="inlineStr">
        <is>
          <t>Föryngringsavverkning</t>
        </is>
      </c>
      <c r="D79" s="1" t="n">
        <v>45834</v>
      </c>
      <c r="E79" s="1" t="n">
        <v>46307</v>
      </c>
      <c r="F79" t="inlineStr">
        <is>
          <t>NORRBOTTENS LÄN</t>
        </is>
      </c>
      <c r="G79" t="inlineStr">
        <is>
          <t>GÄLLIVARE</t>
        </is>
      </c>
      <c r="H79" t="inlineStr">
        <is>
          <t>SCA</t>
        </is>
      </c>
      <c r="I79" t="n">
        <v>4.4</v>
      </c>
      <c r="J79" t="n">
        <v>0</v>
      </c>
      <c r="K79" t="n">
        <v>0</v>
      </c>
      <c r="L79" t="n">
        <v>1</v>
      </c>
      <c r="M79" t="n">
        <v>0</v>
      </c>
      <c r="N79" t="n">
        <v>0</v>
      </c>
      <c r="O79" t="n">
        <v>0</v>
      </c>
      <c r="P79" t="n">
        <v>0</v>
      </c>
      <c r="Q79" t="n">
        <v>1</v>
      </c>
      <c r="R79" t="n">
        <v>0</v>
      </c>
      <c r="S79" t="n">
        <v>1</v>
      </c>
      <c r="T79" t="n">
        <v>1</v>
      </c>
      <c r="U79" t="n">
        <v>0</v>
      </c>
      <c r="V79" s="2" t="inlineStr">
        <is>
          <t>Talltaggsvamp</t>
        </is>
      </c>
      <c r="W79">
        <f>HYPERLINK("https://klasma.github.io/Logging_2523/artfynd/A 31651-2025 artfynd.xlsx", "A 31651-2025")</f>
        <v/>
      </c>
      <c r="X79">
        <f>HYPERLINK("https://klasma.github.io/Logging_2523/kartor/A 31651-2025 karta.png", "A 31651-2025")</f>
        <v/>
      </c>
      <c r="Y79">
        <f>HYPERLINK("https://klasma.github.io/Logging_2523/kartor_geotiff/A 31651-2025 georefererad karta.tif", "A 31651-2025")</f>
        <v/>
      </c>
      <c r="AA79">
        <f>HYPERLINK("https://klasma.github.io/Logging_2523/klagomål/A 31651-2025 FSC-klagomål.docx", "A 31651-2025")</f>
        <v/>
      </c>
      <c r="AB79">
        <f>HYPERLINK("https://klasma.github.io/Logging_2523/klagomålsmail/A 31651-2025 FSC-klagomål mail.docx", "A 31651-2025")</f>
        <v/>
      </c>
      <c r="AC79">
        <f>HYPERLINK("https://klasma.github.io/Logging_2523/tillsyn/A 31651-2025 tillsynsbegäran.docx", "A 31651-2025")</f>
        <v/>
      </c>
      <c r="AD79">
        <f>HYPERLINK("https://klasma.github.io/Logging_2523/tillsynsmail/A 31651-2025 tillsynsbegäran mail.docx", "A 31651-2025")</f>
        <v/>
      </c>
    </row>
    <row r="80" ht="15" customHeight="1">
      <c r="A80" t="inlineStr">
        <is>
          <t>A 44985-2023</t>
        </is>
      </c>
      <c r="B80" t="inlineStr">
        <is>
          <t>avverkningsanmälan</t>
        </is>
      </c>
      <c r="C80" t="inlineStr">
        <is>
          <t>Föryngringsavverkning</t>
        </is>
      </c>
      <c r="D80" s="1" t="n">
        <v>45190</v>
      </c>
      <c r="E80" s="1" t="n">
        <v>46307</v>
      </c>
      <c r="F80" t="inlineStr">
        <is>
          <t>NORRBOTTENS LÄN</t>
        </is>
      </c>
      <c r="G80" t="inlineStr">
        <is>
          <t>GÄLLIVARE</t>
        </is>
      </c>
      <c r="H80" t="inlineStr">
        <is>
          <t>SCA</t>
        </is>
      </c>
      <c r="I80" t="n">
        <v>2.8</v>
      </c>
      <c r="J80" t="n">
        <v>1</v>
      </c>
      <c r="K80" t="n">
        <v>0</v>
      </c>
      <c r="L80" t="n">
        <v>0</v>
      </c>
      <c r="M80" t="n">
        <v>0</v>
      </c>
      <c r="N80" t="n">
        <v>0</v>
      </c>
      <c r="O80" t="n">
        <v>0</v>
      </c>
      <c r="P80" t="n">
        <v>0</v>
      </c>
      <c r="Q80" t="n">
        <v>0</v>
      </c>
      <c r="R80" t="n">
        <v>0</v>
      </c>
      <c r="S80" t="n">
        <v>1</v>
      </c>
      <c r="T80" t="n">
        <v>1</v>
      </c>
      <c r="U80" t="n">
        <v>1</v>
      </c>
      <c r="V80" s="2" t="inlineStr">
        <is>
          <t>Brudsporre</t>
        </is>
      </c>
      <c r="W80">
        <f>HYPERLINK("https://klasma.github.io/Logging_2523/artfynd/A 44985-2023 artfynd.xlsx", "A 44985-2023")</f>
        <v/>
      </c>
      <c r="X80">
        <f>HYPERLINK("https://klasma.github.io/Logging_2523/kartor/A 44985-2023 karta.png", "A 44985-2023")</f>
        <v/>
      </c>
      <c r="Y80">
        <f>HYPERLINK("https://klasma.github.io/Logging_2523/kartor_geotiff/A 44985-2023 georefererad karta.tif", "A 44985-2023")</f>
        <v/>
      </c>
      <c r="AA80">
        <f>HYPERLINK("https://klasma.github.io/Logging_2523/klagomål/A 44985-2023 FSC-klagomål.docx", "A 44985-2023")</f>
        <v/>
      </c>
      <c r="AB80">
        <f>HYPERLINK("https://klasma.github.io/Logging_2523/klagomålsmail/A 44985-2023 FSC-klagomål mail.docx", "A 44985-2023")</f>
        <v/>
      </c>
      <c r="AC80">
        <f>HYPERLINK("https://klasma.github.io/Logging_2523/tillsyn/A 44985-2023 tillsynsbegäran.docx", "A 44985-2023")</f>
        <v/>
      </c>
      <c r="AD80">
        <f>HYPERLINK("https://klasma.github.io/Logging_2523/tillsynsmail/A 44985-2023 tillsynsbegäran mail.docx", "A 44985-2023")</f>
        <v/>
      </c>
    </row>
    <row r="81" ht="15" customHeight="1">
      <c r="A81" t="inlineStr">
        <is>
          <t>A 35949-2025</t>
        </is>
      </c>
      <c r="B81" t="inlineStr">
        <is>
          <t>avverkningsanmälan</t>
        </is>
      </c>
      <c r="C81" t="inlineStr">
        <is>
          <t>Avverkning för annat ändamål</t>
        </is>
      </c>
      <c r="D81" s="1" t="n">
        <v>45862</v>
      </c>
      <c r="E81" s="1" t="n">
        <v>46307</v>
      </c>
      <c r="F81" t="inlineStr">
        <is>
          <t>NORRBOTTENS LÄN</t>
        </is>
      </c>
      <c r="G81" t="inlineStr">
        <is>
          <t>GÄLLIVARE</t>
        </is>
      </c>
      <c r="H81" t="inlineStr">
        <is>
          <t>Sveaskog</t>
        </is>
      </c>
      <c r="I81" t="n">
        <v>2.3</v>
      </c>
      <c r="J81" t="n">
        <v>0</v>
      </c>
      <c r="K81" t="n">
        <v>0</v>
      </c>
      <c r="L81" t="n">
        <v>1</v>
      </c>
      <c r="M81" t="n">
        <v>0</v>
      </c>
      <c r="N81" t="n">
        <v>0</v>
      </c>
      <c r="O81" t="n">
        <v>0</v>
      </c>
      <c r="P81" t="n">
        <v>0</v>
      </c>
      <c r="Q81" t="n">
        <v>1</v>
      </c>
      <c r="R81" t="n">
        <v>0</v>
      </c>
      <c r="S81" t="n">
        <v>1</v>
      </c>
      <c r="T81" t="n">
        <v>1</v>
      </c>
      <c r="U81" t="n">
        <v>0</v>
      </c>
      <c r="V81" s="2" t="inlineStr">
        <is>
          <t>Blå taggsvamp</t>
        </is>
      </c>
      <c r="W81">
        <f>HYPERLINK("https://klasma.github.io/Logging_2523/artfynd/A 35949-2025 artfynd.xlsx", "A 35949-2025")</f>
        <v/>
      </c>
      <c r="X81">
        <f>HYPERLINK("https://klasma.github.io/Logging_2523/kartor/A 35949-2025 karta.png", "A 35949-2025")</f>
        <v/>
      </c>
      <c r="Y81">
        <f>HYPERLINK("https://klasma.github.io/Logging_2523/kartor_geotiff/A 35949-2025 georefererad karta.tif", "A 35949-2025")</f>
        <v/>
      </c>
      <c r="AA81">
        <f>HYPERLINK("https://klasma.github.io/Logging_2523/klagomål/A 35949-2025 FSC-klagomål.docx", "A 35949-2025")</f>
        <v/>
      </c>
      <c r="AB81">
        <f>HYPERLINK("https://klasma.github.io/Logging_2523/klagomålsmail/A 35949-2025 FSC-klagomål mail.docx", "A 35949-2025")</f>
        <v/>
      </c>
      <c r="AC81">
        <f>HYPERLINK("https://klasma.github.io/Logging_2523/tillsyn/A 35949-2025 tillsynsbegäran.docx", "A 35949-2025")</f>
        <v/>
      </c>
      <c r="AD81">
        <f>HYPERLINK("https://klasma.github.io/Logging_2523/tillsynsmail/A 35949-2025 tillsynsbegäran mail.docx", "A 35949-2025")</f>
        <v/>
      </c>
    </row>
    <row r="82" ht="15" customHeight="1">
      <c r="A82" t="inlineStr">
        <is>
          <t>A 5708-2023</t>
        </is>
      </c>
      <c r="B82" t="inlineStr">
        <is>
          <t>avverkningsanmälan</t>
        </is>
      </c>
      <c r="C82" t="inlineStr">
        <is>
          <t>Föryngringsavverkning</t>
        </is>
      </c>
      <c r="D82" s="1" t="n">
        <v>44960</v>
      </c>
      <c r="E82" s="1" t="n">
        <v>46307</v>
      </c>
      <c r="F82" t="inlineStr">
        <is>
          <t>NORRBOTTENS LÄN</t>
        </is>
      </c>
      <c r="G82" t="inlineStr">
        <is>
          <t>GÄLLIVARE</t>
        </is>
      </c>
      <c r="H82" t="inlineStr">
        <is>
          <t>SCA</t>
        </is>
      </c>
      <c r="I82" t="n">
        <v>15.3</v>
      </c>
      <c r="J82" t="n">
        <v>1</v>
      </c>
      <c r="K82" t="n">
        <v>0</v>
      </c>
      <c r="L82" t="n">
        <v>0</v>
      </c>
      <c r="M82" t="n">
        <v>0</v>
      </c>
      <c r="N82" t="n">
        <v>0</v>
      </c>
      <c r="O82" t="n">
        <v>0</v>
      </c>
      <c r="P82" t="n">
        <v>0</v>
      </c>
      <c r="Q82" t="n">
        <v>0</v>
      </c>
      <c r="R82" t="n">
        <v>0</v>
      </c>
      <c r="S82" t="n">
        <v>1</v>
      </c>
      <c r="T82" t="n">
        <v>1</v>
      </c>
      <c r="U82" t="n">
        <v>1</v>
      </c>
      <c r="V82" s="2" t="inlineStr">
        <is>
          <t>Utter</t>
        </is>
      </c>
      <c r="W82">
        <f>HYPERLINK("https://klasma.github.io/Logging_2523/artfynd/A 5708-2023 artfynd.xlsx", "A 5708-2023")</f>
        <v/>
      </c>
      <c r="X82">
        <f>HYPERLINK("https://klasma.github.io/Logging_2523/kartor/A 5708-2023 karta.png", "A 5708-2023")</f>
        <v/>
      </c>
      <c r="Y82">
        <f>HYPERLINK("https://klasma.github.io/Logging_2523/kartor_geotiff/A 5708-2023 georefererad karta.tif", "A 5708-2023")</f>
        <v/>
      </c>
      <c r="AA82">
        <f>HYPERLINK("https://klasma.github.io/Logging_2523/klagomål/A 5708-2023 FSC-klagomål.docx", "A 5708-2023")</f>
        <v/>
      </c>
      <c r="AB82">
        <f>HYPERLINK("https://klasma.github.io/Logging_2523/klagomålsmail/A 5708-2023 FSC-klagomål mail.docx", "A 5708-2023")</f>
        <v/>
      </c>
      <c r="AC82">
        <f>HYPERLINK("https://klasma.github.io/Logging_2523/tillsyn/A 5708-2023 tillsynsbegäran.docx", "A 5708-2023")</f>
        <v/>
      </c>
      <c r="AD82">
        <f>HYPERLINK("https://klasma.github.io/Logging_2523/tillsynsmail/A 5708-2023 tillsynsbegäran mail.docx", "A 5708-2023")</f>
        <v/>
      </c>
    </row>
    <row r="83" ht="15" customHeight="1">
      <c r="A83" t="inlineStr">
        <is>
          <t>A 4238-2023</t>
        </is>
      </c>
      <c r="B83" t="inlineStr">
        <is>
          <t>avverkningsanmälan</t>
        </is>
      </c>
      <c r="C83" t="inlineStr">
        <is>
          <t>Föryngringsavverkning</t>
        </is>
      </c>
      <c r="D83" s="1" t="n">
        <v>44953</v>
      </c>
      <c r="E83" s="1" t="n">
        <v>46307</v>
      </c>
      <c r="F83" t="inlineStr">
        <is>
          <t>NORRBOTTENS LÄN</t>
        </is>
      </c>
      <c r="G83" t="inlineStr">
        <is>
          <t>GÄLLIVARE</t>
        </is>
      </c>
      <c r="I83" t="n">
        <v>5.1</v>
      </c>
      <c r="J83" t="n">
        <v>1</v>
      </c>
      <c r="K83" t="n">
        <v>1</v>
      </c>
      <c r="L83" t="n">
        <v>0</v>
      </c>
      <c r="M83" t="n">
        <v>0</v>
      </c>
      <c r="N83" t="n">
        <v>0</v>
      </c>
      <c r="O83" t="n">
        <v>0</v>
      </c>
      <c r="P83" t="n">
        <v>0</v>
      </c>
      <c r="Q83" t="n">
        <v>0</v>
      </c>
      <c r="R83" t="n">
        <v>0</v>
      </c>
      <c r="S83" t="n">
        <v>1</v>
      </c>
      <c r="T83" t="n">
        <v>1</v>
      </c>
      <c r="U83" t="n">
        <v>1</v>
      </c>
      <c r="V83" s="2" t="inlineStr">
        <is>
          <t>Plattlummer</t>
        </is>
      </c>
      <c r="W83">
        <f>HYPERLINK("https://klasma.github.io/Logging_2523/artfynd/A 4238-2023 artfynd.xlsx", "A 4238-2023")</f>
        <v/>
      </c>
      <c r="X83">
        <f>HYPERLINK("https://klasma.github.io/Logging_2523/kartor/A 4238-2023 karta.png", "A 4238-2023")</f>
        <v/>
      </c>
      <c r="Y83">
        <f>HYPERLINK("https://klasma.github.io/Logging_2523/kartor_geotiff/A 4238-2023 georefererad karta.tif", "A 4238-2023")</f>
        <v/>
      </c>
      <c r="AA83">
        <f>HYPERLINK("https://klasma.github.io/Logging_2523/klagomål/A 4238-2023 FSC-klagomål.docx", "A 4238-2023")</f>
        <v/>
      </c>
      <c r="AB83">
        <f>HYPERLINK("https://klasma.github.io/Logging_2523/klagomålsmail/A 4238-2023 FSC-klagomål mail.docx", "A 4238-2023")</f>
        <v/>
      </c>
      <c r="AC83">
        <f>HYPERLINK("https://klasma.github.io/Logging_2523/tillsyn/A 4238-2023 tillsynsbegäran.docx", "A 4238-2023")</f>
        <v/>
      </c>
      <c r="AD83">
        <f>HYPERLINK("https://klasma.github.io/Logging_2523/tillsynsmail/A 4238-2023 tillsynsbegäran mail.docx", "A 4238-2023")</f>
        <v/>
      </c>
    </row>
    <row r="84" ht="15" customHeight="1">
      <c r="A84" t="inlineStr">
        <is>
          <t>A 20138-2026</t>
        </is>
      </c>
      <c r="B84" t="inlineStr">
        <is>
          <t>avverkningsanmälan</t>
        </is>
      </c>
      <c r="C84" t="inlineStr">
        <is>
          <t>Föryngringsavverkning</t>
        </is>
      </c>
      <c r="D84" s="1" t="n">
        <v>46136</v>
      </c>
      <c r="E84" s="1" t="n">
        <v>46307</v>
      </c>
      <c r="F84" t="inlineStr">
        <is>
          <t>NORRBOTTENS LÄN</t>
        </is>
      </c>
      <c r="G84" t="inlineStr">
        <is>
          <t>GÄLLIVARE</t>
        </is>
      </c>
      <c r="I84" t="n">
        <v>9.6</v>
      </c>
      <c r="J84" t="n">
        <v>1</v>
      </c>
      <c r="K84" t="n">
        <v>1</v>
      </c>
      <c r="L84" t="n">
        <v>0</v>
      </c>
      <c r="M84" t="n">
        <v>0</v>
      </c>
      <c r="N84" t="n">
        <v>0</v>
      </c>
      <c r="O84" t="n">
        <v>0</v>
      </c>
      <c r="P84" t="n">
        <v>0</v>
      </c>
      <c r="Q84" t="n">
        <v>0</v>
      </c>
      <c r="R84" t="n">
        <v>0</v>
      </c>
      <c r="S84" t="n">
        <v>1</v>
      </c>
      <c r="T84" t="n">
        <v>1</v>
      </c>
      <c r="U84" t="n">
        <v>0</v>
      </c>
      <c r="V84" s="2" t="inlineStr">
        <is>
          <t>Plattlummer</t>
        </is>
      </c>
      <c r="W84">
        <f>HYPERLINK("https://klasma.github.io/Logging_2523/artfynd/A 20138-2026 artfynd.xlsx", "A 20138-2026")</f>
        <v/>
      </c>
      <c r="X84">
        <f>HYPERLINK("https://klasma.github.io/Logging_2523/kartor/A 20138-2026 karta.png", "A 20138-2026")</f>
        <v/>
      </c>
      <c r="Y84">
        <f>HYPERLINK("https://klasma.github.io/Logging_2523/kartor_geotiff/A 20138-2026 georefererad karta.tif", "A 20138-2026")</f>
        <v/>
      </c>
      <c r="AA84">
        <f>HYPERLINK("https://klasma.github.io/Logging_2523/klagomål/A 20138-2026 FSC-klagomål.docx", "A 20138-2026")</f>
        <v/>
      </c>
      <c r="AB84">
        <f>HYPERLINK("https://klasma.github.io/Logging_2523/klagomålsmail/A 20138-2026 FSC-klagomål mail.docx", "A 20138-2026")</f>
        <v/>
      </c>
      <c r="AC84">
        <f>HYPERLINK("https://klasma.github.io/Logging_2523/tillsyn/A 20138-2026 tillsynsbegäran.docx", "A 20138-2026")</f>
        <v/>
      </c>
      <c r="AD84">
        <f>HYPERLINK("https://klasma.github.io/Logging_2523/tillsynsmail/A 20138-2026 tillsynsbegäran mail.docx", "A 20138-2026")</f>
        <v/>
      </c>
    </row>
    <row r="85" ht="15" customHeight="1">
      <c r="A85" t="inlineStr">
        <is>
          <t>A 51389-2023</t>
        </is>
      </c>
      <c r="B85" t="inlineStr">
        <is>
          <t>avverkningsanmälan</t>
        </is>
      </c>
      <c r="C85" t="inlineStr">
        <is>
          <t>Avverkning för annat ändamål</t>
        </is>
      </c>
      <c r="D85" s="1" t="n">
        <v>45213</v>
      </c>
      <c r="E85" s="1" t="n">
        <v>46307</v>
      </c>
      <c r="F85" t="inlineStr">
        <is>
          <t>NORRBOTTENS LÄN</t>
        </is>
      </c>
      <c r="G85" t="inlineStr">
        <is>
          <t>GÄLLIVARE</t>
        </is>
      </c>
      <c r="I85" t="n">
        <v>4.5</v>
      </c>
      <c r="J85" t="n">
        <v>1</v>
      </c>
      <c r="K85" t="n">
        <v>0</v>
      </c>
      <c r="L85" t="n">
        <v>0</v>
      </c>
      <c r="M85" t="n">
        <v>0</v>
      </c>
      <c r="N85" t="n">
        <v>0</v>
      </c>
      <c r="O85" t="n">
        <v>0</v>
      </c>
      <c r="P85" t="n">
        <v>0</v>
      </c>
      <c r="Q85" t="n">
        <v>0</v>
      </c>
      <c r="R85" t="n">
        <v>0</v>
      </c>
      <c r="S85" t="n">
        <v>1</v>
      </c>
      <c r="T85" t="n">
        <v>1</v>
      </c>
      <c r="U85" t="n">
        <v>1</v>
      </c>
      <c r="V85" s="2" t="inlineStr">
        <is>
          <t>Spillkråka</t>
        </is>
      </c>
      <c r="W85">
        <f>HYPERLINK("https://klasma.github.io/Logging_2523/artfynd/A 51389-2023 artfynd.xlsx", "A 51389-2023")</f>
        <v/>
      </c>
      <c r="X85">
        <f>HYPERLINK("https://klasma.github.io/Logging_2523/kartor/A 51389-2023 karta.png", "A 51389-2023")</f>
        <v/>
      </c>
      <c r="Y85">
        <f>HYPERLINK("https://klasma.github.io/Logging_2523/kartor_geotiff/A 51389-2023 georefererad karta.tif", "A 51389-2023")</f>
        <v/>
      </c>
      <c r="AA85">
        <f>HYPERLINK("https://klasma.github.io/Logging_2523/klagomål/A 51389-2023 FSC-klagomål.docx", "A 51389-2023")</f>
        <v/>
      </c>
      <c r="AB85">
        <f>HYPERLINK("https://klasma.github.io/Logging_2523/klagomålsmail/A 51389-2023 FSC-klagomål mail.docx", "A 51389-2023")</f>
        <v/>
      </c>
      <c r="AC85">
        <f>HYPERLINK("https://klasma.github.io/Logging_2523/tillsyn/A 51389-2023 tillsynsbegäran.docx", "A 51389-2023")</f>
        <v/>
      </c>
      <c r="AD85">
        <f>HYPERLINK("https://klasma.github.io/Logging_2523/tillsynsmail/A 51389-2023 tillsynsbegäran mail.docx", "A 51389-2023")</f>
        <v/>
      </c>
      <c r="AE85">
        <f>HYPERLINK("https://klasma.github.io/Logging_2523/fåglar/A 51389-2023 prioriterade fågelarter.docx", "A 51389-2023")</f>
        <v/>
      </c>
    </row>
    <row r="86" ht="15" customHeight="1">
      <c r="A86" t="inlineStr">
        <is>
          <t>A 12833-2026</t>
        </is>
      </c>
      <c r="B86" t="inlineStr">
        <is>
          <t>avverkningsanmälan</t>
        </is>
      </c>
      <c r="C86" t="inlineStr">
        <is>
          <t>Föryngringsavverkning</t>
        </is>
      </c>
      <c r="D86" s="1" t="n">
        <v>46092</v>
      </c>
      <c r="E86" s="1" t="n">
        <v>46307</v>
      </c>
      <c r="F86" t="inlineStr">
        <is>
          <t>NORRBOTTENS LÄN</t>
        </is>
      </c>
      <c r="G86" t="inlineStr">
        <is>
          <t>GÄLLIVARE</t>
        </is>
      </c>
      <c r="I86" t="n">
        <v>12.3</v>
      </c>
      <c r="J86" t="n">
        <v>1</v>
      </c>
      <c r="K86" t="n">
        <v>1</v>
      </c>
      <c r="L86" t="n">
        <v>0</v>
      </c>
      <c r="M86" t="n">
        <v>0</v>
      </c>
      <c r="N86" t="n">
        <v>0</v>
      </c>
      <c r="O86" t="n">
        <v>0</v>
      </c>
      <c r="P86" t="n">
        <v>0</v>
      </c>
      <c r="Q86" t="n">
        <v>0</v>
      </c>
      <c r="R86" t="n">
        <v>0</v>
      </c>
      <c r="S86" t="n">
        <v>1</v>
      </c>
      <c r="T86" t="n">
        <v>1</v>
      </c>
      <c r="U86" t="n">
        <v>0</v>
      </c>
      <c r="V86" s="2" t="inlineStr">
        <is>
          <t>Spindelblomster</t>
        </is>
      </c>
      <c r="W86">
        <f>HYPERLINK("https://klasma.github.io/Logging_2523/artfynd/A 12833-2026 artfynd.xlsx", "A 12833-2026")</f>
        <v/>
      </c>
      <c r="X86">
        <f>HYPERLINK("https://klasma.github.io/Logging_2523/kartor/A 12833-2026 karta.png", "A 12833-2026")</f>
        <v/>
      </c>
      <c r="Y86">
        <f>HYPERLINK("https://klasma.github.io/Logging_2523/kartor_geotiff/A 12833-2026 georefererad karta.tif", "A 12833-2026")</f>
        <v/>
      </c>
      <c r="AA86">
        <f>HYPERLINK("https://klasma.github.io/Logging_2523/klagomål/A 12833-2026 FSC-klagomål.docx", "A 12833-2026")</f>
        <v/>
      </c>
      <c r="AB86">
        <f>HYPERLINK("https://klasma.github.io/Logging_2523/klagomålsmail/A 12833-2026 FSC-klagomål mail.docx", "A 12833-2026")</f>
        <v/>
      </c>
      <c r="AC86">
        <f>HYPERLINK("https://klasma.github.io/Logging_2523/tillsyn/A 12833-2026 tillsynsbegäran.docx", "A 12833-2026")</f>
        <v/>
      </c>
      <c r="AD86">
        <f>HYPERLINK("https://klasma.github.io/Logging_2523/tillsynsmail/A 12833-2026 tillsynsbegäran mail.docx", "A 12833-2026")</f>
        <v/>
      </c>
    </row>
    <row r="87" ht="15" customHeight="1">
      <c r="A87" t="inlineStr">
        <is>
          <t>A 30588-2026</t>
        </is>
      </c>
      <c r="B87" t="inlineStr">
        <is>
          <t>avverkningsanmälan</t>
        </is>
      </c>
      <c r="C87" t="inlineStr">
        <is>
          <t>Föryngringsavverkning</t>
        </is>
      </c>
      <c r="D87" s="1" t="n">
        <v>46210</v>
      </c>
      <c r="E87" s="1" t="n">
        <v>46307</v>
      </c>
      <c r="F87" t="inlineStr">
        <is>
          <t>NORRBOTTENS LÄN</t>
        </is>
      </c>
      <c r="G87" t="inlineStr">
        <is>
          <t>GÄLLIVARE</t>
        </is>
      </c>
      <c r="H87" t="inlineStr">
        <is>
          <t>Sveaskog</t>
        </is>
      </c>
      <c r="I87" t="n">
        <v>1.7</v>
      </c>
      <c r="J87" t="n">
        <v>1</v>
      </c>
      <c r="K87" t="n">
        <v>1</v>
      </c>
      <c r="L87" t="n">
        <v>0</v>
      </c>
      <c r="M87" t="n">
        <v>0</v>
      </c>
      <c r="N87" t="n">
        <v>0</v>
      </c>
      <c r="O87" t="n">
        <v>0</v>
      </c>
      <c r="P87" t="n">
        <v>0</v>
      </c>
      <c r="Q87" t="n">
        <v>0</v>
      </c>
      <c r="R87" t="n">
        <v>0</v>
      </c>
      <c r="S87" t="n">
        <v>1</v>
      </c>
      <c r="T87" t="n">
        <v>1</v>
      </c>
      <c r="U87" t="n">
        <v>1</v>
      </c>
      <c r="V87" s="2" t="inlineStr">
        <is>
          <t>Plattlummer</t>
        </is>
      </c>
      <c r="W87">
        <f>HYPERLINK("https://klasma.github.io/Logging_2523/artfynd/A 30588-2026 artfynd.xlsx", "A 30588-2026")</f>
        <v/>
      </c>
      <c r="X87">
        <f>HYPERLINK("https://klasma.github.io/Logging_2523/kartor/A 30588-2026 karta.png", "A 30588-2026")</f>
        <v/>
      </c>
      <c r="Y87">
        <f>HYPERLINK("https://klasma.github.io/Logging_2523/kartor_geotiff/A 30588-2026 georefererad karta.tif", "A 30588-2026")</f>
        <v/>
      </c>
      <c r="AA87">
        <f>HYPERLINK("https://klasma.github.io/Logging_2523/klagomål/A 30588-2026 FSC-klagomål.docx", "A 30588-2026")</f>
        <v/>
      </c>
      <c r="AB87">
        <f>HYPERLINK("https://klasma.github.io/Logging_2523/klagomålsmail/A 30588-2026 FSC-klagomål mail.docx", "A 30588-2026")</f>
        <v/>
      </c>
      <c r="AC87">
        <f>HYPERLINK("https://klasma.github.io/Logging_2523/tillsyn/A 30588-2026 tillsynsbegäran.docx", "A 30588-2026")</f>
        <v/>
      </c>
      <c r="AD87">
        <f>HYPERLINK("https://klasma.github.io/Logging_2523/tillsynsmail/A 30588-2026 tillsynsbegäran mail.docx", "A 30588-2026")</f>
        <v/>
      </c>
    </row>
    <row r="88" ht="15" customHeight="1">
      <c r="A88" t="inlineStr">
        <is>
          <t>A 31414-2026</t>
        </is>
      </c>
      <c r="B88" t="inlineStr">
        <is>
          <t>avverkningsanmälan</t>
        </is>
      </c>
      <c r="C88" t="inlineStr">
        <is>
          <t>Föryngringsavverkning</t>
        </is>
      </c>
      <c r="D88" s="1" t="n">
        <v>46220</v>
      </c>
      <c r="E88" s="1" t="n">
        <v>46307</v>
      </c>
      <c r="F88" t="inlineStr">
        <is>
          <t>NORRBOTTENS LÄN</t>
        </is>
      </c>
      <c r="G88" t="inlineStr">
        <is>
          <t>GÄLLIVARE</t>
        </is>
      </c>
      <c r="H88" t="inlineStr">
        <is>
          <t>Sveaskog</t>
        </is>
      </c>
      <c r="I88" t="n">
        <v>2.1</v>
      </c>
      <c r="J88" t="n">
        <v>0</v>
      </c>
      <c r="K88" t="n">
        <v>0</v>
      </c>
      <c r="L88" t="n">
        <v>1</v>
      </c>
      <c r="M88" t="n">
        <v>0</v>
      </c>
      <c r="N88" t="n">
        <v>0</v>
      </c>
      <c r="O88" t="n">
        <v>0</v>
      </c>
      <c r="P88" t="n">
        <v>0</v>
      </c>
      <c r="Q88" t="n">
        <v>1</v>
      </c>
      <c r="R88" t="n">
        <v>0</v>
      </c>
      <c r="S88" t="n">
        <v>1</v>
      </c>
      <c r="T88" t="n">
        <v>1</v>
      </c>
      <c r="U88" t="n">
        <v>0</v>
      </c>
      <c r="V88" s="2" t="inlineStr">
        <is>
          <t>Knottrig blåslav</t>
        </is>
      </c>
      <c r="W88">
        <f>HYPERLINK("https://klasma.github.io/Logging_2523/artfynd/A 31414-2026 artfynd.xlsx", "A 31414-2026")</f>
        <v/>
      </c>
      <c r="X88">
        <f>HYPERLINK("https://klasma.github.io/Logging_2523/kartor/A 31414-2026 karta.png", "A 31414-2026")</f>
        <v/>
      </c>
      <c r="Y88">
        <f>HYPERLINK("https://klasma.github.io/Logging_2523/kartor_geotiff/A 31414-2026 georefererad karta.tif", "A 31414-2026")</f>
        <v/>
      </c>
      <c r="Z88">
        <f>HYPERLINK("https://klasma.github.io/Logging_2523/knärot/A 31414-2026 karta knärot.png", "A 31414-2026")</f>
        <v/>
      </c>
      <c r="AA88">
        <f>HYPERLINK("https://klasma.github.io/Logging_2523/klagomål/A 31414-2026 FSC-klagomål.docx", "A 31414-2026")</f>
        <v/>
      </c>
      <c r="AB88">
        <f>HYPERLINK("https://klasma.github.io/Logging_2523/klagomålsmail/A 31414-2026 FSC-klagomål mail.docx", "A 31414-2026")</f>
        <v/>
      </c>
      <c r="AC88">
        <f>HYPERLINK("https://klasma.github.io/Logging_2523/tillsyn/A 31414-2026 tillsynsbegäran.docx", "A 31414-2026")</f>
        <v/>
      </c>
      <c r="AD88">
        <f>HYPERLINK("https://klasma.github.io/Logging_2523/tillsynsmail/A 31414-2026 tillsynsbegäran mail.docx", "A 31414-2026")</f>
        <v/>
      </c>
    </row>
    <row r="89" ht="15" customHeight="1">
      <c r="A89" t="inlineStr">
        <is>
          <t>A 35628-2026</t>
        </is>
      </c>
      <c r="B89" t="inlineStr">
        <is>
          <t>avverkningsanmälan</t>
        </is>
      </c>
      <c r="C89" t="inlineStr">
        <is>
          <t>Föryngringsavverkning</t>
        </is>
      </c>
      <c r="D89" s="1" t="n">
        <v>46265</v>
      </c>
      <c r="E89" s="1" t="n">
        <v>46307</v>
      </c>
      <c r="F89" t="inlineStr">
        <is>
          <t>NORRBOTTENS LÄN</t>
        </is>
      </c>
      <c r="G89" t="inlineStr">
        <is>
          <t>GÄLLIVARE</t>
        </is>
      </c>
      <c r="H89" t="inlineStr">
        <is>
          <t>SCA</t>
        </is>
      </c>
      <c r="I89" t="n">
        <v>0.8</v>
      </c>
      <c r="J89" t="n">
        <v>0</v>
      </c>
      <c r="K89" t="n">
        <v>0</v>
      </c>
      <c r="L89" t="n">
        <v>0</v>
      </c>
      <c r="M89" t="n">
        <v>1</v>
      </c>
      <c r="N89" t="n">
        <v>0</v>
      </c>
      <c r="O89" t="n">
        <v>0</v>
      </c>
      <c r="P89" t="n">
        <v>0</v>
      </c>
      <c r="Q89" t="n">
        <v>1</v>
      </c>
      <c r="R89" t="n">
        <v>1</v>
      </c>
      <c r="S89" t="n">
        <v>1</v>
      </c>
      <c r="T89" t="n">
        <v>5</v>
      </c>
      <c r="U89" t="n">
        <v>0</v>
      </c>
      <c r="V89" s="2" t="inlineStr">
        <is>
          <t>Garnlav</t>
        </is>
      </c>
      <c r="W89">
        <f>HYPERLINK("https://klasma.github.io/Logging_2523/artfynd/A 35628-2026 artfynd.xlsx", "A 35628-2026")</f>
        <v/>
      </c>
      <c r="X89">
        <f>HYPERLINK("https://klasma.github.io/Logging_2523/kartor/A 35628-2026 karta.png", "A 35628-2026")</f>
        <v/>
      </c>
      <c r="Y89">
        <f>HYPERLINK("https://klasma.github.io/Logging_2523/kartor_geotiff/A 35628-2026 georefererad karta.tif", "A 35628-2026")</f>
        <v/>
      </c>
      <c r="AA89">
        <f>HYPERLINK("https://klasma.github.io/Logging_2523/klagomål/A 35628-2026 FSC-klagomål.docx", "A 35628-2026")</f>
        <v/>
      </c>
      <c r="AB89">
        <f>HYPERLINK("https://klasma.github.io/Logging_2523/klagomålsmail/A 35628-2026 FSC-klagomål mail.docx", "A 35628-2026")</f>
        <v/>
      </c>
      <c r="AC89">
        <f>HYPERLINK("https://klasma.github.io/Logging_2523/tillsyn/A 35628-2026 tillsynsbegäran.docx", "A 35628-2026")</f>
        <v/>
      </c>
      <c r="AD89">
        <f>HYPERLINK("https://klasma.github.io/Logging_2523/tillsynsmail/A 35628-2026 tillsynsbegäran mail.docx", "A 35628-2026")</f>
        <v/>
      </c>
    </row>
    <row r="90" ht="15" customHeight="1">
      <c r="A90" t="inlineStr">
        <is>
          <t>A 38458-2026</t>
        </is>
      </c>
      <c r="B90" t="inlineStr">
        <is>
          <t>avverkningsanmälan</t>
        </is>
      </c>
      <c r="C90" t="inlineStr">
        <is>
          <t>Föryngringsavverkning</t>
        </is>
      </c>
      <c r="D90" s="1" t="n">
        <v>46282</v>
      </c>
      <c r="E90" s="1" t="n">
        <v>46307</v>
      </c>
      <c r="F90" t="inlineStr">
        <is>
          <t>NORRBOTTENS LÄN</t>
        </is>
      </c>
      <c r="G90" t="inlineStr">
        <is>
          <t>GÄLLIVARE</t>
        </is>
      </c>
      <c r="H90" t="inlineStr">
        <is>
          <t>Sveaskog</t>
        </is>
      </c>
      <c r="I90" t="n">
        <v>7</v>
      </c>
      <c r="J90" t="n">
        <v>0</v>
      </c>
      <c r="K90" t="n">
        <v>0</v>
      </c>
      <c r="L90" t="n">
        <v>1</v>
      </c>
      <c r="M90" t="n">
        <v>0</v>
      </c>
      <c r="N90" t="n">
        <v>0</v>
      </c>
      <c r="O90" t="n">
        <v>0</v>
      </c>
      <c r="P90" t="n">
        <v>0</v>
      </c>
      <c r="Q90" t="n">
        <v>1</v>
      </c>
      <c r="R90" t="n">
        <v>0</v>
      </c>
      <c r="S90" t="n">
        <v>1</v>
      </c>
      <c r="T90" t="n">
        <v>1</v>
      </c>
      <c r="U90" t="n">
        <v>0</v>
      </c>
      <c r="V90" s="2" t="inlineStr">
        <is>
          <t>Dropptaggsvamp</t>
        </is>
      </c>
      <c r="W90">
        <f>HYPERLINK("https://klasma.github.io/Logging_2523/artfynd/A 38458-2026 artfynd.xlsx", "A 38458-2026")</f>
        <v/>
      </c>
      <c r="X90">
        <f>HYPERLINK("https://klasma.github.io/Logging_2523/kartor/A 38458-2026 karta.png", "A 38458-2026")</f>
        <v/>
      </c>
      <c r="Y90">
        <f>HYPERLINK("https://klasma.github.io/Logging_2523/kartor_geotiff/A 38458-2026 georefererad karta.tif", "A 38458-2026")</f>
        <v/>
      </c>
      <c r="AA90">
        <f>HYPERLINK("https://klasma.github.io/Logging_2523/klagomål/A 38458-2026 FSC-klagomål.docx", "A 38458-2026")</f>
        <v/>
      </c>
      <c r="AB90">
        <f>HYPERLINK("https://klasma.github.io/Logging_2523/klagomålsmail/A 38458-2026 FSC-klagomål mail.docx", "A 38458-2026")</f>
        <v/>
      </c>
      <c r="AC90">
        <f>HYPERLINK("https://klasma.github.io/Logging_2523/tillsyn/A 38458-2026 tillsynsbegäran.docx", "A 38458-2026")</f>
        <v/>
      </c>
      <c r="AD90">
        <f>HYPERLINK("https://klasma.github.io/Logging_2523/tillsynsmail/A 38458-2026 tillsynsbegäran mail.docx", "A 38458-2026")</f>
        <v/>
      </c>
    </row>
    <row r="91" ht="15" customHeight="1">
      <c r="A91" t="inlineStr">
        <is>
          <t>A 38465-2026</t>
        </is>
      </c>
      <c r="B91" t="inlineStr">
        <is>
          <t>avverkningsanmälan</t>
        </is>
      </c>
      <c r="C91" t="inlineStr">
        <is>
          <t>Föryngringsavverkning</t>
        </is>
      </c>
      <c r="D91" s="1" t="n">
        <v>46282</v>
      </c>
      <c r="E91" s="1" t="n">
        <v>46307</v>
      </c>
      <c r="F91" t="inlineStr">
        <is>
          <t>NORRBOTTENS LÄN</t>
        </is>
      </c>
      <c r="G91" t="inlineStr">
        <is>
          <t>GÄLLIVARE</t>
        </is>
      </c>
      <c r="H91" t="inlineStr">
        <is>
          <t>Sveaskog</t>
        </is>
      </c>
      <c r="I91" t="n">
        <v>11.8</v>
      </c>
      <c r="J91" t="n">
        <v>0</v>
      </c>
      <c r="K91" t="n">
        <v>0</v>
      </c>
      <c r="L91" t="n">
        <v>1</v>
      </c>
      <c r="M91" t="n">
        <v>0</v>
      </c>
      <c r="N91" t="n">
        <v>0</v>
      </c>
      <c r="O91" t="n">
        <v>0</v>
      </c>
      <c r="P91" t="n">
        <v>0</v>
      </c>
      <c r="Q91" t="n">
        <v>1</v>
      </c>
      <c r="R91" t="n">
        <v>0</v>
      </c>
      <c r="S91" t="n">
        <v>1</v>
      </c>
      <c r="T91" t="n">
        <v>1</v>
      </c>
      <c r="U91" t="n">
        <v>0</v>
      </c>
      <c r="V91" s="2" t="inlineStr">
        <is>
          <t>Blå taggsvamp</t>
        </is>
      </c>
      <c r="W91">
        <f>HYPERLINK("https://klasma.github.io/Logging_2523/artfynd/A 38465-2026 artfynd.xlsx", "A 38465-2026")</f>
        <v/>
      </c>
      <c r="X91">
        <f>HYPERLINK("https://klasma.github.io/Logging_2523/kartor/A 38465-2026 karta.png", "A 38465-2026")</f>
        <v/>
      </c>
      <c r="Y91">
        <f>HYPERLINK("https://klasma.github.io/Logging_2523/kartor_geotiff/A 38465-2026 georefererad karta.tif", "A 38465-2026")</f>
        <v/>
      </c>
      <c r="AA91">
        <f>HYPERLINK("https://klasma.github.io/Logging_2523/klagomål/A 38465-2026 FSC-klagomål.docx", "A 38465-2026")</f>
        <v/>
      </c>
      <c r="AB91">
        <f>HYPERLINK("https://klasma.github.io/Logging_2523/klagomålsmail/A 38465-2026 FSC-klagomål mail.docx", "A 38465-2026")</f>
        <v/>
      </c>
      <c r="AC91">
        <f>HYPERLINK("https://klasma.github.io/Logging_2523/tillsyn/A 38465-2026 tillsynsbegäran.docx", "A 38465-2026")</f>
        <v/>
      </c>
      <c r="AD91">
        <f>HYPERLINK("https://klasma.github.io/Logging_2523/tillsynsmail/A 38465-2026 tillsynsbegäran mail.docx", "A 38465-2026")</f>
        <v/>
      </c>
    </row>
    <row r="92" ht="15" customHeight="1">
      <c r="A92" t="inlineStr">
        <is>
          <t>A 16800-2026</t>
        </is>
      </c>
      <c r="B92" t="inlineStr">
        <is>
          <t>avverkningsanmälan</t>
        </is>
      </c>
      <c r="C92" t="inlineStr">
        <is>
          <t>Föryngringsavverkning</t>
        </is>
      </c>
      <c r="D92" s="1" t="n">
        <v>46113</v>
      </c>
      <c r="E92" s="1" t="n">
        <v>46307</v>
      </c>
      <c r="F92" t="inlineStr">
        <is>
          <t>NORRBOTTENS LÄN</t>
        </is>
      </c>
      <c r="G92" t="inlineStr">
        <is>
          <t>GÄLLIVARE</t>
        </is>
      </c>
      <c r="H92" t="inlineStr">
        <is>
          <t>SCA</t>
        </is>
      </c>
      <c r="I92" t="n">
        <v>10.8</v>
      </c>
      <c r="J92" t="n">
        <v>0</v>
      </c>
      <c r="K92" t="n">
        <v>0</v>
      </c>
      <c r="L92" t="n">
        <v>1</v>
      </c>
      <c r="M92" t="n">
        <v>0</v>
      </c>
      <c r="N92" t="n">
        <v>0</v>
      </c>
      <c r="O92" t="n">
        <v>0</v>
      </c>
      <c r="P92" t="n">
        <v>0</v>
      </c>
      <c r="Q92" t="n">
        <v>1</v>
      </c>
      <c r="R92" t="n">
        <v>0</v>
      </c>
      <c r="S92" t="n">
        <v>1</v>
      </c>
      <c r="T92" t="n">
        <v>1</v>
      </c>
      <c r="U92" t="n">
        <v>0</v>
      </c>
      <c r="V92" s="2" t="inlineStr">
        <is>
          <t>Dvärgbägarlav</t>
        </is>
      </c>
      <c r="W92">
        <f>HYPERLINK("https://klasma.github.io/Logging_2523/artfynd/A 16800-2026 artfynd.xlsx", "A 16800-2026")</f>
        <v/>
      </c>
      <c r="X92">
        <f>HYPERLINK("https://klasma.github.io/Logging_2523/kartor/A 16800-2026 karta.png", "A 16800-2026")</f>
        <v/>
      </c>
      <c r="Y92">
        <f>HYPERLINK("https://klasma.github.io/Logging_2523/kartor_geotiff/A 16800-2026 georefererad karta.tif", "A 16800-2026")</f>
        <v/>
      </c>
      <c r="AA92">
        <f>HYPERLINK("https://klasma.github.io/Logging_2523/klagomål/A 16800-2026 FSC-klagomål.docx", "A 16800-2026")</f>
        <v/>
      </c>
      <c r="AB92">
        <f>HYPERLINK("https://klasma.github.io/Logging_2523/klagomålsmail/A 16800-2026 FSC-klagomål mail.docx", "A 16800-2026")</f>
        <v/>
      </c>
      <c r="AC92">
        <f>HYPERLINK("https://klasma.github.io/Logging_2523/tillsyn/A 16800-2026 tillsynsbegäran.docx", "A 16800-2026")</f>
        <v/>
      </c>
      <c r="AD92">
        <f>HYPERLINK("https://klasma.github.io/Logging_2523/tillsynsmail/A 16800-2026 tillsynsbegäran mail.docx", "A 16800-2026")</f>
        <v/>
      </c>
    </row>
    <row r="93" ht="15" customHeight="1">
      <c r="A93" t="inlineStr">
        <is>
          <t>A 40169-2026</t>
        </is>
      </c>
      <c r="B93" t="inlineStr">
        <is>
          <t>avverkningsanmälan</t>
        </is>
      </c>
      <c r="C93" t="inlineStr">
        <is>
          <t>Föryngringsavverkning</t>
        </is>
      </c>
      <c r="D93" s="1" t="n">
        <v>46293</v>
      </c>
      <c r="E93" s="1" t="n">
        <v>46307</v>
      </c>
      <c r="F93" t="inlineStr">
        <is>
          <t>NORRBOTTENS LÄN</t>
        </is>
      </c>
      <c r="G93" t="inlineStr">
        <is>
          <t>GÄLLIVARE</t>
        </is>
      </c>
      <c r="H93" t="inlineStr">
        <is>
          <t>Sveaskog</t>
        </is>
      </c>
      <c r="I93" t="n">
        <v>25.9</v>
      </c>
      <c r="J93" t="n">
        <v>0</v>
      </c>
      <c r="K93" t="n">
        <v>0</v>
      </c>
      <c r="L93" t="n">
        <v>1</v>
      </c>
      <c r="M93" t="n">
        <v>0</v>
      </c>
      <c r="N93" t="n">
        <v>0</v>
      </c>
      <c r="O93" t="n">
        <v>0</v>
      </c>
      <c r="P93" t="n">
        <v>0</v>
      </c>
      <c r="Q93" t="n">
        <v>1</v>
      </c>
      <c r="R93" t="n">
        <v>0</v>
      </c>
      <c r="S93" t="n">
        <v>1</v>
      </c>
      <c r="T93" t="n">
        <v>1</v>
      </c>
      <c r="U93" t="n">
        <v>0</v>
      </c>
      <c r="V93" s="2" t="inlineStr">
        <is>
          <t>Blå taggsvamp</t>
        </is>
      </c>
      <c r="W93">
        <f>HYPERLINK("https://klasma.github.io/Logging_2523/artfynd/A 40169-2026 artfynd.xlsx", "A 40169-2026")</f>
        <v/>
      </c>
      <c r="X93">
        <f>HYPERLINK("https://klasma.github.io/Logging_2523/kartor/A 40169-2026 karta.png", "A 40169-2026")</f>
        <v/>
      </c>
      <c r="Y93">
        <f>HYPERLINK("https://klasma.github.io/Logging_2523/kartor_geotiff/A 40169-2026 georefererad karta.tif", "A 40169-2026")</f>
        <v/>
      </c>
      <c r="AA93">
        <f>HYPERLINK("https://klasma.github.io/Logging_2523/klagomål/A 40169-2026 FSC-klagomål.docx", "A 40169-2026")</f>
        <v/>
      </c>
      <c r="AB93">
        <f>HYPERLINK("https://klasma.github.io/Logging_2523/klagomålsmail/A 40169-2026 FSC-klagomål mail.docx", "A 40169-2026")</f>
        <v/>
      </c>
      <c r="AC93">
        <f>HYPERLINK("https://klasma.github.io/Logging_2523/tillsyn/A 40169-2026 tillsynsbegäran.docx", "A 40169-2026")</f>
        <v/>
      </c>
      <c r="AD93">
        <f>HYPERLINK("https://klasma.github.io/Logging_2523/tillsynsmail/A 40169-2026 tillsynsbegäran mail.docx", "A 40169-2026")</f>
        <v/>
      </c>
    </row>
    <row r="94" ht="15" customHeight="1">
      <c r="A94" t="inlineStr">
        <is>
          <t>A 41510-2026</t>
        </is>
      </c>
      <c r="B94" t="inlineStr">
        <is>
          <t>avverkningsanmälan</t>
        </is>
      </c>
      <c r="C94" t="inlineStr">
        <is>
          <t>Föryngringsavverkning</t>
        </is>
      </c>
      <c r="D94" s="1" t="n">
        <v>46301</v>
      </c>
      <c r="E94" s="1" t="n">
        <v>46307</v>
      </c>
      <c r="F94" t="inlineStr">
        <is>
          <t>NORRBOTTENS LÄN</t>
        </is>
      </c>
      <c r="G94" t="inlineStr">
        <is>
          <t>GÄLLIVARE</t>
        </is>
      </c>
      <c r="H94" t="inlineStr">
        <is>
          <t>SCA</t>
        </is>
      </c>
      <c r="I94" t="n">
        <v>2.2</v>
      </c>
      <c r="J94" t="n">
        <v>0</v>
      </c>
      <c r="K94" t="n">
        <v>0</v>
      </c>
      <c r="L94" t="n">
        <v>0</v>
      </c>
      <c r="M94" t="n">
        <v>1</v>
      </c>
      <c r="N94" t="n">
        <v>0</v>
      </c>
      <c r="O94" t="n">
        <v>0</v>
      </c>
      <c r="P94" t="n">
        <v>0</v>
      </c>
      <c r="Q94" t="n">
        <v>1</v>
      </c>
      <c r="R94" t="n">
        <v>1</v>
      </c>
      <c r="S94" t="n">
        <v>1</v>
      </c>
      <c r="T94" t="n">
        <v>4</v>
      </c>
      <c r="U94" t="n">
        <v>0</v>
      </c>
      <c r="V94" s="2" t="inlineStr">
        <is>
          <t>Garnlav</t>
        </is>
      </c>
      <c r="W94">
        <f>HYPERLINK("https://klasma.github.io/Logging_2523/artfynd/A 41510-2026 artfynd.xlsx", "A 41510-2026")</f>
        <v/>
      </c>
      <c r="X94">
        <f>HYPERLINK("https://klasma.github.io/Logging_2523/kartor/A 41510-2026 karta.png", "A 41510-2026")</f>
        <v/>
      </c>
      <c r="Y94">
        <f>HYPERLINK("https://klasma.github.io/Logging_2523/kartor_geotiff/A 41510-2026 georefererad karta.tif", "A 41510-2026")</f>
        <v/>
      </c>
      <c r="AA94">
        <f>HYPERLINK("https://klasma.github.io/Logging_2523/klagomål/A 41510-2026 FSC-klagomål.docx", "A 41510-2026")</f>
        <v/>
      </c>
      <c r="AB94">
        <f>HYPERLINK("https://klasma.github.io/Logging_2523/klagomålsmail/A 41510-2026 FSC-klagomål mail.docx", "A 41510-2026")</f>
        <v/>
      </c>
      <c r="AC94">
        <f>HYPERLINK("https://klasma.github.io/Logging_2523/tillsyn/A 41510-2026 tillsynsbegäran.docx", "A 41510-2026")</f>
        <v/>
      </c>
      <c r="AD94">
        <f>HYPERLINK("https://klasma.github.io/Logging_2523/tillsynsmail/A 41510-2026 tillsynsbegäran mail.docx", "A 41510-2026")</f>
        <v/>
      </c>
    </row>
    <row r="95" ht="15" customHeight="1">
      <c r="A95" t="inlineStr">
        <is>
          <t>A 41868-2026</t>
        </is>
      </c>
      <c r="B95" t="inlineStr">
        <is>
          <t>avverkningsanmälan</t>
        </is>
      </c>
      <c r="C95" t="inlineStr">
        <is>
          <t>Föryngringsavverkning</t>
        </is>
      </c>
      <c r="D95" s="1" t="n">
        <v>46303</v>
      </c>
      <c r="E95" s="1" t="n">
        <v>46307</v>
      </c>
      <c r="F95" t="inlineStr">
        <is>
          <t>NORRBOTTENS LÄN</t>
        </is>
      </c>
      <c r="G95" t="inlineStr">
        <is>
          <t>GÄLLIVARE</t>
        </is>
      </c>
      <c r="H95" t="inlineStr">
        <is>
          <t>Sveaskog</t>
        </is>
      </c>
      <c r="I95" t="n">
        <v>20.5</v>
      </c>
      <c r="J95" t="n">
        <v>0</v>
      </c>
      <c r="K95" t="n">
        <v>0</v>
      </c>
      <c r="L95" t="n">
        <v>1</v>
      </c>
      <c r="M95" t="n">
        <v>0</v>
      </c>
      <c r="N95" t="n">
        <v>0</v>
      </c>
      <c r="O95" t="n">
        <v>0</v>
      </c>
      <c r="P95" t="n">
        <v>0</v>
      </c>
      <c r="Q95" t="n">
        <v>1</v>
      </c>
      <c r="R95" t="n">
        <v>0</v>
      </c>
      <c r="S95" t="n">
        <v>1</v>
      </c>
      <c r="T95" t="n">
        <v>1</v>
      </c>
      <c r="U95" t="n">
        <v>0</v>
      </c>
      <c r="V95" s="2" t="inlineStr">
        <is>
          <t>Blå taggsvamp</t>
        </is>
      </c>
      <c r="W95">
        <f>HYPERLINK("https://klasma.github.io/Logging_2523/artfynd/A 41868-2026 artfynd.xlsx", "A 41868-2026")</f>
        <v/>
      </c>
      <c r="X95">
        <f>HYPERLINK("https://klasma.github.io/Logging_2523/kartor/A 41868-2026 karta.png", "A 41868-2026")</f>
        <v/>
      </c>
      <c r="Y95">
        <f>HYPERLINK("https://klasma.github.io/Logging_2523/kartor_geotiff/A 41868-2026 georefererad karta.tif", "A 41868-2026")</f>
        <v/>
      </c>
      <c r="AA95">
        <f>HYPERLINK("https://klasma.github.io/Logging_2523/klagomål/A 41868-2026 FSC-klagomål.docx", "A 41868-2026")</f>
        <v/>
      </c>
      <c r="AB95">
        <f>HYPERLINK("https://klasma.github.io/Logging_2523/klagomålsmail/A 41868-2026 FSC-klagomål mail.docx", "A 41868-2026")</f>
        <v/>
      </c>
      <c r="AC95">
        <f>HYPERLINK("https://klasma.github.io/Logging_2523/tillsyn/A 41868-2026 tillsynsbegäran.docx", "A 41868-2026")</f>
        <v/>
      </c>
      <c r="AD95">
        <f>HYPERLINK("https://klasma.github.io/Logging_2523/tillsynsmail/A 41868-2026 tillsynsbegäran mail.docx", "A 41868-2026")</f>
        <v/>
      </c>
    </row>
    <row r="96" ht="15" customHeight="1">
      <c r="A96" t="inlineStr">
        <is>
          <t>S 791-2026</t>
        </is>
      </c>
      <c r="B96" t="inlineStr">
        <is>
          <t>samrådsanmälan</t>
        </is>
      </c>
      <c r="C96" t="inlineStr">
        <is>
          <t>Skogsbilväg</t>
        </is>
      </c>
      <c r="D96" s="1" t="n">
        <v>46099</v>
      </c>
      <c r="E96" s="1" t="n">
        <v>46307</v>
      </c>
      <c r="F96" t="inlineStr">
        <is>
          <t>NORRBOTTENS LÄN</t>
        </is>
      </c>
      <c r="G96" t="inlineStr">
        <is>
          <t>GÄLLIVARE</t>
        </is>
      </c>
      <c r="I96" t="n">
        <v>2.4</v>
      </c>
      <c r="J96" t="n">
        <v>0</v>
      </c>
      <c r="K96" t="n">
        <v>0</v>
      </c>
      <c r="L96" t="n">
        <v>1</v>
      </c>
      <c r="M96" t="n">
        <v>0</v>
      </c>
      <c r="N96" t="n">
        <v>0</v>
      </c>
      <c r="O96" t="n">
        <v>0</v>
      </c>
      <c r="P96" t="n">
        <v>0</v>
      </c>
      <c r="Q96" t="n">
        <v>1</v>
      </c>
      <c r="R96" t="n">
        <v>0</v>
      </c>
      <c r="S96" t="n">
        <v>1</v>
      </c>
      <c r="T96" t="n">
        <v>1</v>
      </c>
      <c r="U96" t="n">
        <v>0</v>
      </c>
      <c r="V96" s="2" t="inlineStr">
        <is>
          <t>Lunglav</t>
        </is>
      </c>
      <c r="W96">
        <f>HYPERLINK("https://klasma.github.io/Logging_2523/artfynd/S 791-2026 artfynd.xlsx", "S 791-2026")</f>
        <v/>
      </c>
      <c r="X96">
        <f>HYPERLINK("https://klasma.github.io/Logging_2523/kartor/S 791-2026 karta.png", "S 791-2026")</f>
        <v/>
      </c>
      <c r="Y96">
        <f>HYPERLINK("https://klasma.github.io/Logging_2523/kartor_geotiff/S 791-2026 georefererad karta.tif", "S 791-2026")</f>
        <v/>
      </c>
      <c r="AA96">
        <f>HYPERLINK("https://klasma.github.io/Logging_2523/klagomål/S 791-2026 FSC-klagomål.docx", "S 791-2026")</f>
        <v/>
      </c>
      <c r="AB96">
        <f>HYPERLINK("https://klasma.github.io/Logging_2523/klagomålsmail/S 791-2026 FSC-klagomål mail.docx", "S 791-2026")</f>
        <v/>
      </c>
      <c r="AC96">
        <f>HYPERLINK("https://klasma.github.io/Logging_2523/tillsyn/S 791-2026 tillsynsbegäran.docx", "S 791-2026")</f>
        <v/>
      </c>
      <c r="AD96">
        <f>HYPERLINK("https://klasma.github.io/Logging_2523/tillsynsmail/S 791-2026 tillsynsbegäran mail.docx", "S 791-2026")</f>
        <v/>
      </c>
    </row>
    <row r="97" ht="15" customHeight="1">
      <c r="A97" t="inlineStr">
        <is>
          <t>A 2018-2022</t>
        </is>
      </c>
      <c r="B97" t="inlineStr">
        <is>
          <t>avverkningsanmälan</t>
        </is>
      </c>
      <c r="C97" t="inlineStr">
        <is>
          <t>Föryngringsavverkning</t>
        </is>
      </c>
      <c r="D97" s="1" t="n">
        <v>44575</v>
      </c>
      <c r="E97" s="1" t="n">
        <v>46307</v>
      </c>
      <c r="F97" t="inlineStr">
        <is>
          <t>NORRBOTTENS LÄN</t>
        </is>
      </c>
      <c r="G97" t="inlineStr">
        <is>
          <t>GÄLLIVARE</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18104-2022</t>
        </is>
      </c>
      <c r="B98" t="inlineStr">
        <is>
          <t>avverkningsanmälan</t>
        </is>
      </c>
      <c r="C98" t="inlineStr">
        <is>
          <t>Föryngringsavverkning</t>
        </is>
      </c>
      <c r="D98" s="1" t="n">
        <v>44684</v>
      </c>
      <c r="E98" s="1" t="n">
        <v>46307</v>
      </c>
      <c r="F98" t="inlineStr">
        <is>
          <t>NORRBOTTENS LÄN</t>
        </is>
      </c>
      <c r="G98" t="inlineStr">
        <is>
          <t>GÄLLIVARE</t>
        </is>
      </c>
      <c r="I98" t="n">
        <v>8.4</v>
      </c>
      <c r="J98" t="n">
        <v>0</v>
      </c>
      <c r="K98" t="n">
        <v>0</v>
      </c>
      <c r="L98" t="n">
        <v>0</v>
      </c>
      <c r="M98" t="n">
        <v>0</v>
      </c>
      <c r="N98" t="n">
        <v>0</v>
      </c>
      <c r="O98" t="n">
        <v>0</v>
      </c>
      <c r="P98" t="n">
        <v>0</v>
      </c>
      <c r="Q98" t="n">
        <v>0</v>
      </c>
      <c r="R98" t="n">
        <v>0</v>
      </c>
      <c r="S98" t="n">
        <v>0</v>
      </c>
      <c r="T98" t="n">
        <v>0</v>
      </c>
      <c r="U98" t="n">
        <v>0</v>
      </c>
      <c r="V98" s="2" t="inlineStr"/>
    </row>
    <row r="99" ht="15" customHeight="1">
      <c r="A99" t="inlineStr">
        <is>
          <t>A 7690-2022</t>
        </is>
      </c>
      <c r="B99" t="inlineStr">
        <is>
          <t>avverkningsanmälan</t>
        </is>
      </c>
      <c r="C99" t="inlineStr">
        <is>
          <t>Föryngringsavverkning</t>
        </is>
      </c>
      <c r="D99" s="1" t="n">
        <v>44607</v>
      </c>
      <c r="E99" s="1" t="n">
        <v>46307</v>
      </c>
      <c r="F99" t="inlineStr">
        <is>
          <t>NORRBOTTENS LÄN</t>
        </is>
      </c>
      <c r="G99" t="inlineStr">
        <is>
          <t>GÄLLIVARE</t>
        </is>
      </c>
      <c r="H99" t="inlineStr">
        <is>
          <t>SCA</t>
        </is>
      </c>
      <c r="I99" t="n">
        <v>2.6</v>
      </c>
      <c r="J99" t="n">
        <v>0</v>
      </c>
      <c r="K99" t="n">
        <v>0</v>
      </c>
      <c r="L99" t="n">
        <v>0</v>
      </c>
      <c r="M99" t="n">
        <v>0</v>
      </c>
      <c r="N99" t="n">
        <v>0</v>
      </c>
      <c r="O99" t="n">
        <v>0</v>
      </c>
      <c r="P99" t="n">
        <v>0</v>
      </c>
      <c r="Q99" t="n">
        <v>0</v>
      </c>
      <c r="R99" t="n">
        <v>0</v>
      </c>
      <c r="S99" t="n">
        <v>0</v>
      </c>
      <c r="T99" t="n">
        <v>0</v>
      </c>
      <c r="U99" t="n">
        <v>0</v>
      </c>
      <c r="V99" s="2" t="inlineStr"/>
    </row>
    <row r="100" ht="15" customHeight="1">
      <c r="A100" t="inlineStr">
        <is>
          <t>A 55226-2022</t>
        </is>
      </c>
      <c r="B100" t="inlineStr">
        <is>
          <t>avverkningsanmälan</t>
        </is>
      </c>
      <c r="C100" t="inlineStr">
        <is>
          <t>Föryngringsavverkning</t>
        </is>
      </c>
      <c r="D100" s="1" t="n">
        <v>44886</v>
      </c>
      <c r="E100" s="1" t="n">
        <v>46307</v>
      </c>
      <c r="F100" t="inlineStr">
        <is>
          <t>NORRBOTTENS LÄN</t>
        </is>
      </c>
      <c r="G100" t="inlineStr">
        <is>
          <t>GÄLLIVARE</t>
        </is>
      </c>
      <c r="H100" t="inlineStr">
        <is>
          <t>SCA</t>
        </is>
      </c>
      <c r="I100" t="n">
        <v>8.300000000000001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49869-2022</t>
        </is>
      </c>
      <c r="B101" t="inlineStr">
        <is>
          <t>avverkningsanmälan</t>
        </is>
      </c>
      <c r="C101" t="inlineStr">
        <is>
          <t>Föryngringsavverkning</t>
        </is>
      </c>
      <c r="D101" s="1" t="n">
        <v>44862</v>
      </c>
      <c r="E101" s="1" t="n">
        <v>46307</v>
      </c>
      <c r="F101" t="inlineStr">
        <is>
          <t>NORRBOTTENS LÄN</t>
        </is>
      </c>
      <c r="G101" t="inlineStr">
        <is>
          <t>GÄLLIVARE</t>
        </is>
      </c>
      <c r="H101" t="inlineStr">
        <is>
          <t>SCA</t>
        </is>
      </c>
      <c r="I101" t="n">
        <v>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47808-2022</t>
        </is>
      </c>
      <c r="B102" t="inlineStr">
        <is>
          <t>avverkningsanmälan</t>
        </is>
      </c>
      <c r="C102" t="inlineStr">
        <is>
          <t>Föryngringsavverkning</t>
        </is>
      </c>
      <c r="D102" s="1" t="n">
        <v>44854</v>
      </c>
      <c r="E102" s="1" t="n">
        <v>46307</v>
      </c>
      <c r="F102" t="inlineStr">
        <is>
          <t>NORRBOTTENS LÄN</t>
        </is>
      </c>
      <c r="G102" t="inlineStr">
        <is>
          <t>GÄLLIVARE</t>
        </is>
      </c>
      <c r="H102" t="inlineStr">
        <is>
          <t>SCA</t>
        </is>
      </c>
      <c r="I102" t="n">
        <v>3.1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32196-2022</t>
        </is>
      </c>
      <c r="B103" t="inlineStr">
        <is>
          <t>avverkningsanmälan</t>
        </is>
      </c>
      <c r="C103" t="inlineStr">
        <is>
          <t>Föryngringsavverkning</t>
        </is>
      </c>
      <c r="D103" s="1" t="n">
        <v>44781</v>
      </c>
      <c r="E103" s="1" t="n">
        <v>46307</v>
      </c>
      <c r="F103" t="inlineStr">
        <is>
          <t>NORRBOTTENS LÄN</t>
        </is>
      </c>
      <c r="G103" t="inlineStr">
        <is>
          <t>GÄLLIVARE</t>
        </is>
      </c>
      <c r="I103" t="n">
        <v>5.2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73341-2021</t>
        </is>
      </c>
      <c r="B104" t="inlineStr">
        <is>
          <t>avverkningsanmälan</t>
        </is>
      </c>
      <c r="C104" t="inlineStr">
        <is>
          <t>Föryngringsavverkning</t>
        </is>
      </c>
      <c r="D104" s="1" t="n">
        <v>44550</v>
      </c>
      <c r="E104" s="1" t="n">
        <v>46307</v>
      </c>
      <c r="F104" t="inlineStr">
        <is>
          <t>NORRBOTTENS LÄN</t>
        </is>
      </c>
      <c r="G104" t="inlineStr">
        <is>
          <t>GÄLLIVARE</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16549-2022</t>
        </is>
      </c>
      <c r="B105" t="inlineStr">
        <is>
          <t>avverkningsanmälan</t>
        </is>
      </c>
      <c r="C105" t="inlineStr">
        <is>
          <t>Föryngringsavverkning</t>
        </is>
      </c>
      <c r="D105" s="1" t="n">
        <v>44672</v>
      </c>
      <c r="E105" s="1" t="n">
        <v>46307</v>
      </c>
      <c r="F105" t="inlineStr">
        <is>
          <t>NORRBOTTENS LÄN</t>
        </is>
      </c>
      <c r="G105" t="inlineStr">
        <is>
          <t>GÄLLIVARE</t>
        </is>
      </c>
      <c r="I105" t="n">
        <v>25.9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7685-2022</t>
        </is>
      </c>
      <c r="B106" t="inlineStr">
        <is>
          <t>avverkningsanmälan</t>
        </is>
      </c>
      <c r="C106" t="inlineStr">
        <is>
          <t>Föryngringsavverkning</t>
        </is>
      </c>
      <c r="D106" s="1" t="n">
        <v>44607</v>
      </c>
      <c r="E106" s="1" t="n">
        <v>46307</v>
      </c>
      <c r="F106" t="inlineStr">
        <is>
          <t>NORRBOTTENS LÄN</t>
        </is>
      </c>
      <c r="G106" t="inlineStr">
        <is>
          <t>GÄLLIVARE</t>
        </is>
      </c>
      <c r="H106" t="inlineStr">
        <is>
          <t>SCA</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35579-2022</t>
        </is>
      </c>
      <c r="B107" t="inlineStr">
        <is>
          <t>avverkningsanmälan</t>
        </is>
      </c>
      <c r="C107" t="inlineStr">
        <is>
          <t>Avverkning för annat ändamål</t>
        </is>
      </c>
      <c r="D107" s="1" t="n">
        <v>44799</v>
      </c>
      <c r="E107" s="1" t="n">
        <v>46307</v>
      </c>
      <c r="F107" t="inlineStr">
        <is>
          <t>NORRBOTTENS LÄN</t>
        </is>
      </c>
      <c r="G107" t="inlineStr">
        <is>
          <t>GÄLLIVARE</t>
        </is>
      </c>
      <c r="H107" t="inlineStr">
        <is>
          <t>Allmännings- och besparingsskogar</t>
        </is>
      </c>
      <c r="I107" t="n">
        <v>7.9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9493-2022</t>
        </is>
      </c>
      <c r="B108" t="inlineStr">
        <is>
          <t>avverkningsanmälan</t>
        </is>
      </c>
      <c r="C108" t="inlineStr">
        <is>
          <t>Föryngringsavverkning</t>
        </is>
      </c>
      <c r="D108" s="1" t="n">
        <v>44616</v>
      </c>
      <c r="E108" s="1" t="n">
        <v>46307</v>
      </c>
      <c r="F108" t="inlineStr">
        <is>
          <t>NORRBOTTENS LÄN</t>
        </is>
      </c>
      <c r="G108" t="inlineStr">
        <is>
          <t>GÄLLIVARE</t>
        </is>
      </c>
      <c r="H108" t="inlineStr">
        <is>
          <t>SCA</t>
        </is>
      </c>
      <c r="I108" t="n">
        <v>2.5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9504-2022</t>
        </is>
      </c>
      <c r="B109" t="inlineStr">
        <is>
          <t>avverkningsanmälan</t>
        </is>
      </c>
      <c r="C109" t="inlineStr">
        <is>
          <t>Föryngringsavverkning</t>
        </is>
      </c>
      <c r="D109" s="1" t="n">
        <v>44616</v>
      </c>
      <c r="E109" s="1" t="n">
        <v>46307</v>
      </c>
      <c r="F109" t="inlineStr">
        <is>
          <t>NORRBOTTENS LÄN</t>
        </is>
      </c>
      <c r="G109" t="inlineStr">
        <is>
          <t>GÄLLIVARE</t>
        </is>
      </c>
      <c r="H109" t="inlineStr">
        <is>
          <t>SCA</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40427-2022</t>
        </is>
      </c>
      <c r="B110" t="inlineStr">
        <is>
          <t>avverkningsanmälan</t>
        </is>
      </c>
      <c r="C110" t="inlineStr">
        <is>
          <t>Avverkning för annat ändamål</t>
        </is>
      </c>
      <c r="D110" s="1" t="n">
        <v>44823</v>
      </c>
      <c r="E110" s="1" t="n">
        <v>46307</v>
      </c>
      <c r="F110" t="inlineStr">
        <is>
          <t>NORRBOTTENS LÄN</t>
        </is>
      </c>
      <c r="G110" t="inlineStr">
        <is>
          <t>GÄLLIVARE</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33446-2022</t>
        </is>
      </c>
      <c r="B111" t="inlineStr">
        <is>
          <t>avverkningsanmälan</t>
        </is>
      </c>
      <c r="C111" t="inlineStr">
        <is>
          <t>Föryngringsavverkning</t>
        </is>
      </c>
      <c r="D111" s="1" t="n">
        <v>44788</v>
      </c>
      <c r="E111" s="1" t="n">
        <v>46307</v>
      </c>
      <c r="F111" t="inlineStr">
        <is>
          <t>NORRBOTTENS LÄN</t>
        </is>
      </c>
      <c r="G111" t="inlineStr">
        <is>
          <t>GÄLLIVARE</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47779-2022</t>
        </is>
      </c>
      <c r="B112" t="inlineStr">
        <is>
          <t>avverkningsanmälan</t>
        </is>
      </c>
      <c r="C112" t="inlineStr">
        <is>
          <t>Föryngringsavverkning</t>
        </is>
      </c>
      <c r="D112" s="1" t="n">
        <v>44854</v>
      </c>
      <c r="E112" s="1" t="n">
        <v>46307</v>
      </c>
      <c r="F112" t="inlineStr">
        <is>
          <t>NORRBOTTENS LÄN</t>
        </is>
      </c>
      <c r="G112" t="inlineStr">
        <is>
          <t>GÄLLIVARE</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20000-2022</t>
        </is>
      </c>
      <c r="B113" t="inlineStr">
        <is>
          <t>avverkningsanmälan</t>
        </is>
      </c>
      <c r="C113" t="inlineStr">
        <is>
          <t>Föryngringsavverkning</t>
        </is>
      </c>
      <c r="D113" s="1" t="n">
        <v>44697</v>
      </c>
      <c r="E113" s="1" t="n">
        <v>46307</v>
      </c>
      <c r="F113" t="inlineStr">
        <is>
          <t>NORRBOTTENS LÄN</t>
        </is>
      </c>
      <c r="G113" t="inlineStr">
        <is>
          <t>GÄLLIVARE</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59232-2024</t>
        </is>
      </c>
      <c r="B114" t="inlineStr">
        <is>
          <t>avverkningsanmälan</t>
        </is>
      </c>
      <c r="C114" t="inlineStr">
        <is>
          <t>Avverkning för annat ändamål</t>
        </is>
      </c>
      <c r="D114" s="1" t="n">
        <v>45637</v>
      </c>
      <c r="E114" s="1" t="n">
        <v>46307</v>
      </c>
      <c r="F114" t="inlineStr">
        <is>
          <t>NORRBOTTENS LÄN</t>
        </is>
      </c>
      <c r="G114" t="inlineStr">
        <is>
          <t>GÄLLIVARE</t>
        </is>
      </c>
      <c r="I114" t="n">
        <v>2.5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42886-2022</t>
        </is>
      </c>
      <c r="B115" t="inlineStr">
        <is>
          <t>avverkningsanmälan</t>
        </is>
      </c>
      <c r="C115" t="inlineStr">
        <is>
          <t>Föryngringsavverkning</t>
        </is>
      </c>
      <c r="D115" s="1" t="n">
        <v>44832</v>
      </c>
      <c r="E115" s="1" t="n">
        <v>46307</v>
      </c>
      <c r="F115" t="inlineStr">
        <is>
          <t>NORRBOTTENS LÄN</t>
        </is>
      </c>
      <c r="G115" t="inlineStr">
        <is>
          <t>GÄLLIVARE</t>
        </is>
      </c>
      <c r="H115" t="inlineStr">
        <is>
          <t>SCA</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7538-2022</t>
        </is>
      </c>
      <c r="B116" t="inlineStr">
        <is>
          <t>avverkningsanmälan</t>
        </is>
      </c>
      <c r="C116" t="inlineStr">
        <is>
          <t>Föryngringsavverkning</t>
        </is>
      </c>
      <c r="D116" s="1" t="n">
        <v>44607</v>
      </c>
      <c r="E116" s="1" t="n">
        <v>46307</v>
      </c>
      <c r="F116" t="inlineStr">
        <is>
          <t>NORRBOTTENS LÄN</t>
        </is>
      </c>
      <c r="G116" t="inlineStr">
        <is>
          <t>GÄLLIVARE</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17203-2024</t>
        </is>
      </c>
      <c r="B117" t="inlineStr">
        <is>
          <t>avverkningsanmälan</t>
        </is>
      </c>
      <c r="C117" t="inlineStr">
        <is>
          <t>Avverkning för annat ändamål</t>
        </is>
      </c>
      <c r="D117" s="1" t="n">
        <v>45413</v>
      </c>
      <c r="E117" s="1" t="n">
        <v>46307</v>
      </c>
      <c r="F117" t="inlineStr">
        <is>
          <t>NORRBOTTENS LÄN</t>
        </is>
      </c>
      <c r="G117" t="inlineStr">
        <is>
          <t>GÄLLIVARE</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55044-2023</t>
        </is>
      </c>
      <c r="B118" t="inlineStr">
        <is>
          <t>avverkningsanmälan</t>
        </is>
      </c>
      <c r="C118" t="inlineStr">
        <is>
          <t>Föryngringsavverkning</t>
        </is>
      </c>
      <c r="D118" s="1" t="n">
        <v>45237</v>
      </c>
      <c r="E118" s="1" t="n">
        <v>46307</v>
      </c>
      <c r="F118" t="inlineStr">
        <is>
          <t>NORRBOTTENS LÄN</t>
        </is>
      </c>
      <c r="G118" t="inlineStr">
        <is>
          <t>GÄLLIVARE</t>
        </is>
      </c>
      <c r="H118" t="inlineStr">
        <is>
          <t>Sveaskog</t>
        </is>
      </c>
      <c r="I118" t="n">
        <v>3.4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55050-2023</t>
        </is>
      </c>
      <c r="B119" t="inlineStr">
        <is>
          <t>avverkningsanmälan</t>
        </is>
      </c>
      <c r="C119" t="inlineStr">
        <is>
          <t>Föryngringsavverkning</t>
        </is>
      </c>
      <c r="D119" s="1" t="n">
        <v>45237</v>
      </c>
      <c r="E119" s="1" t="n">
        <v>46307</v>
      </c>
      <c r="F119" t="inlineStr">
        <is>
          <t>NORRBOTTENS LÄN</t>
        </is>
      </c>
      <c r="G119" t="inlineStr">
        <is>
          <t>GÄLLIVARE</t>
        </is>
      </c>
      <c r="H119" t="inlineStr">
        <is>
          <t>Sveaskog</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17201-2024</t>
        </is>
      </c>
      <c r="B120" t="inlineStr">
        <is>
          <t>avverkningsanmälan</t>
        </is>
      </c>
      <c r="C120" t="inlineStr">
        <is>
          <t>Föryngringsavverkning</t>
        </is>
      </c>
      <c r="D120" s="1" t="n">
        <v>45413</v>
      </c>
      <c r="E120" s="1" t="n">
        <v>46307</v>
      </c>
      <c r="F120" t="inlineStr">
        <is>
          <t>NORRBOTTENS LÄN</t>
        </is>
      </c>
      <c r="G120" t="inlineStr">
        <is>
          <t>GÄLLIVARE</t>
        </is>
      </c>
      <c r="I120" t="n">
        <v>3.1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55644-2023</t>
        </is>
      </c>
      <c r="B121" t="inlineStr">
        <is>
          <t>avverkningsanmälan</t>
        </is>
      </c>
      <c r="C121" t="inlineStr">
        <is>
          <t>Föryngringsavverkning</t>
        </is>
      </c>
      <c r="D121" s="1" t="n">
        <v>45238</v>
      </c>
      <c r="E121" s="1" t="n">
        <v>46307</v>
      </c>
      <c r="F121" t="inlineStr">
        <is>
          <t>NORRBOTTENS LÄN</t>
        </is>
      </c>
      <c r="G121" t="inlineStr">
        <is>
          <t>GÄLLIVARE</t>
        </is>
      </c>
      <c r="H121" t="inlineStr">
        <is>
          <t>SCA</t>
        </is>
      </c>
      <c r="I121" t="n">
        <v>2.6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54725-2023</t>
        </is>
      </c>
      <c r="B122" t="inlineStr">
        <is>
          <t>avverkningsanmälan</t>
        </is>
      </c>
      <c r="C122" t="inlineStr">
        <is>
          <t>Föryngringsavverkning</t>
        </is>
      </c>
      <c r="D122" s="1" t="n">
        <v>45229</v>
      </c>
      <c r="E122" s="1" t="n">
        <v>46307</v>
      </c>
      <c r="F122" t="inlineStr">
        <is>
          <t>NORRBOTTENS LÄN</t>
        </is>
      </c>
      <c r="G122" t="inlineStr">
        <is>
          <t>GÄLLIVARE</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17205-2024</t>
        </is>
      </c>
      <c r="B123" t="inlineStr">
        <is>
          <t>avverkningsanmälan</t>
        </is>
      </c>
      <c r="C123" t="inlineStr">
        <is>
          <t>Föryngringsavverkning</t>
        </is>
      </c>
      <c r="D123" s="1" t="n">
        <v>45413</v>
      </c>
      <c r="E123" s="1" t="n">
        <v>46307</v>
      </c>
      <c r="F123" t="inlineStr">
        <is>
          <t>NORRBOTTENS LÄN</t>
        </is>
      </c>
      <c r="G123" t="inlineStr">
        <is>
          <t>GÄLLIVARE</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60584-2023</t>
        </is>
      </c>
      <c r="B124" t="inlineStr">
        <is>
          <t>avverkningsanmälan</t>
        </is>
      </c>
      <c r="C124" t="inlineStr">
        <is>
          <t>Föryngringsavverkning</t>
        </is>
      </c>
      <c r="D124" s="1" t="n">
        <v>45259</v>
      </c>
      <c r="E124" s="1" t="n">
        <v>46307</v>
      </c>
      <c r="F124" t="inlineStr">
        <is>
          <t>NORRBOTTENS LÄN</t>
        </is>
      </c>
      <c r="G124" t="inlineStr">
        <is>
          <t>GÄLLIVARE</t>
        </is>
      </c>
      <c r="H124" t="inlineStr">
        <is>
          <t>SCA</t>
        </is>
      </c>
      <c r="I124" t="n">
        <v>7.1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47862-2024</t>
        </is>
      </c>
      <c r="B125" t="inlineStr">
        <is>
          <t>avverkningsanmälan</t>
        </is>
      </c>
      <c r="C125" t="inlineStr">
        <is>
          <t>Föryngringsavverkning</t>
        </is>
      </c>
      <c r="D125" s="1" t="n">
        <v>45588</v>
      </c>
      <c r="E125" s="1" t="n">
        <v>46307</v>
      </c>
      <c r="F125" t="inlineStr">
        <is>
          <t>NORRBOTTENS LÄN</t>
        </is>
      </c>
      <c r="G125" t="inlineStr">
        <is>
          <t>GÄLLIVARE</t>
        </is>
      </c>
      <c r="H125" t="inlineStr">
        <is>
          <t>Allmännings- och besparingsskogar</t>
        </is>
      </c>
      <c r="I125" t="n">
        <v>5.8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32720-2022</t>
        </is>
      </c>
      <c r="B126" t="inlineStr">
        <is>
          <t>avverkningsanmälan</t>
        </is>
      </c>
      <c r="C126" t="inlineStr">
        <is>
          <t>Föryngringsavverkning</t>
        </is>
      </c>
      <c r="D126" s="1" t="n">
        <v>44783</v>
      </c>
      <c r="E126" s="1" t="n">
        <v>46307</v>
      </c>
      <c r="F126" t="inlineStr">
        <is>
          <t>NORRBOTTENS LÄN</t>
        </is>
      </c>
      <c r="G126" t="inlineStr">
        <is>
          <t>GÄLLIVARE</t>
        </is>
      </c>
      <c r="H126" t="inlineStr">
        <is>
          <t>Sveaskog</t>
        </is>
      </c>
      <c r="I126" t="n">
        <v>2.8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51243-2023</t>
        </is>
      </c>
      <c r="B127" t="inlineStr">
        <is>
          <t>avverkningsanmälan</t>
        </is>
      </c>
      <c r="C127" t="inlineStr">
        <is>
          <t>Föryngringsavverkning</t>
        </is>
      </c>
      <c r="D127" s="1" t="n">
        <v>45212</v>
      </c>
      <c r="E127" s="1" t="n">
        <v>46307</v>
      </c>
      <c r="F127" t="inlineStr">
        <is>
          <t>NORRBOTTENS LÄN</t>
        </is>
      </c>
      <c r="G127" t="inlineStr">
        <is>
          <t>GÄLLIVARE</t>
        </is>
      </c>
      <c r="I127" t="n">
        <v>3.2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16973-2023</t>
        </is>
      </c>
      <c r="B128" t="inlineStr">
        <is>
          <t>avverkningsanmälan</t>
        </is>
      </c>
      <c r="C128" t="inlineStr">
        <is>
          <t>Föryngringsavverkning</t>
        </is>
      </c>
      <c r="D128" s="1" t="n">
        <v>45033</v>
      </c>
      <c r="E128" s="1" t="n">
        <v>46307</v>
      </c>
      <c r="F128" t="inlineStr">
        <is>
          <t>NORRBOTTENS LÄN</t>
        </is>
      </c>
      <c r="G128" t="inlineStr">
        <is>
          <t>GÄLLIVARE</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41870-2024</t>
        </is>
      </c>
      <c r="B129" t="inlineStr">
        <is>
          <t>avverkningsanmälan</t>
        </is>
      </c>
      <c r="C129" t="inlineStr">
        <is>
          <t>Föryngringsavverkning</t>
        </is>
      </c>
      <c r="D129" s="1" t="n">
        <v>45561</v>
      </c>
      <c r="E129" s="1" t="n">
        <v>46307</v>
      </c>
      <c r="F129" t="inlineStr">
        <is>
          <t>NORRBOTTENS LÄN</t>
        </is>
      </c>
      <c r="G129" t="inlineStr">
        <is>
          <t>GÄLLIVARE</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3270-2025</t>
        </is>
      </c>
      <c r="B130" t="inlineStr">
        <is>
          <t>avverkningsanmälan</t>
        </is>
      </c>
      <c r="C130" t="inlineStr">
        <is>
          <t>Föryngringsavverkning</t>
        </is>
      </c>
      <c r="D130" s="1" t="n">
        <v>45679</v>
      </c>
      <c r="E130" s="1" t="n">
        <v>46307</v>
      </c>
      <c r="F130" t="inlineStr">
        <is>
          <t>NORRBOTTENS LÄN</t>
        </is>
      </c>
      <c r="G130" t="inlineStr">
        <is>
          <t>GÄLLIVARE</t>
        </is>
      </c>
      <c r="H130" t="inlineStr">
        <is>
          <t>Sveaskog</t>
        </is>
      </c>
      <c r="I130" t="n">
        <v>3.9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47805-2022</t>
        </is>
      </c>
      <c r="B131" t="inlineStr">
        <is>
          <t>avverkningsanmälan</t>
        </is>
      </c>
      <c r="C131" t="inlineStr">
        <is>
          <t>Föryngringsavverkning</t>
        </is>
      </c>
      <c r="D131" s="1" t="n">
        <v>44854</v>
      </c>
      <c r="E131" s="1" t="n">
        <v>46307</v>
      </c>
      <c r="F131" t="inlineStr">
        <is>
          <t>NORRBOTTENS LÄN</t>
        </is>
      </c>
      <c r="G131" t="inlineStr">
        <is>
          <t>GÄLLIVARE</t>
        </is>
      </c>
      <c r="H131" t="inlineStr">
        <is>
          <t>SCA</t>
        </is>
      </c>
      <c r="I131" t="n">
        <v>2.4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16952-2023</t>
        </is>
      </c>
      <c r="B132" t="inlineStr">
        <is>
          <t>avverkningsanmälan</t>
        </is>
      </c>
      <c r="C132" t="inlineStr">
        <is>
          <t>Föryngringsavverkning</t>
        </is>
      </c>
      <c r="D132" s="1" t="n">
        <v>45033</v>
      </c>
      <c r="E132" s="1" t="n">
        <v>46307</v>
      </c>
      <c r="F132" t="inlineStr">
        <is>
          <t>NORRBOTTENS LÄN</t>
        </is>
      </c>
      <c r="G132" t="inlineStr">
        <is>
          <t>GÄLLIVARE</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25503-2024</t>
        </is>
      </c>
      <c r="B133" t="inlineStr">
        <is>
          <t>avverkningsanmälan</t>
        </is>
      </c>
      <c r="C133" t="inlineStr">
        <is>
          <t>Föryngringsavverkning</t>
        </is>
      </c>
      <c r="D133" s="1" t="n">
        <v>45463</v>
      </c>
      <c r="E133" s="1" t="n">
        <v>46307</v>
      </c>
      <c r="F133" t="inlineStr">
        <is>
          <t>NORRBOTTENS LÄN</t>
        </is>
      </c>
      <c r="G133" t="inlineStr">
        <is>
          <t>GÄLLIVARE</t>
        </is>
      </c>
      <c r="I133" t="n">
        <v>3.2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62496-2022</t>
        </is>
      </c>
      <c r="B134" t="inlineStr">
        <is>
          <t>avverkningsanmälan</t>
        </is>
      </c>
      <c r="C134" t="inlineStr">
        <is>
          <t>Föryngringsavverkning</t>
        </is>
      </c>
      <c r="D134" s="1" t="n">
        <v>44916</v>
      </c>
      <c r="E134" s="1" t="n">
        <v>46307</v>
      </c>
      <c r="F134" t="inlineStr">
        <is>
          <t>NORRBOTTENS LÄN</t>
        </is>
      </c>
      <c r="G134" t="inlineStr">
        <is>
          <t>GÄLLIVARE</t>
        </is>
      </c>
      <c r="I134" t="n">
        <v>23.4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23774-2023</t>
        </is>
      </c>
      <c r="B135" t="inlineStr">
        <is>
          <t>avverkningsanmälan</t>
        </is>
      </c>
      <c r="C135" t="inlineStr">
        <is>
          <t>Föryngringsavverkning</t>
        </is>
      </c>
      <c r="D135" s="1" t="n">
        <v>45077</v>
      </c>
      <c r="E135" s="1" t="n">
        <v>46307</v>
      </c>
      <c r="F135" t="inlineStr">
        <is>
          <t>NORRBOTTENS LÄN</t>
        </is>
      </c>
      <c r="G135" t="inlineStr">
        <is>
          <t>GÄLLIVARE</t>
        </is>
      </c>
      <c r="H135" t="inlineStr">
        <is>
          <t>SCA</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33847-2023</t>
        </is>
      </c>
      <c r="B136" t="inlineStr">
        <is>
          <t>avverkningsanmälan</t>
        </is>
      </c>
      <c r="C136" t="inlineStr">
        <is>
          <t>Avverkning för annat ändamål</t>
        </is>
      </c>
      <c r="D136" s="1" t="n">
        <v>45121</v>
      </c>
      <c r="E136" s="1" t="n">
        <v>46307</v>
      </c>
      <c r="F136" t="inlineStr">
        <is>
          <t>NORRBOTTENS LÄN</t>
        </is>
      </c>
      <c r="G136" t="inlineStr">
        <is>
          <t>GÄLLIVARE</t>
        </is>
      </c>
      <c r="H136" t="inlineStr">
        <is>
          <t>Övriga statliga verk och myndigheter</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44398-2023</t>
        </is>
      </c>
      <c r="B137" t="inlineStr">
        <is>
          <t>avverkningsanmälan</t>
        </is>
      </c>
      <c r="C137" t="inlineStr">
        <is>
          <t>Föryngringsavverkning</t>
        </is>
      </c>
      <c r="D137" s="1" t="n">
        <v>45188</v>
      </c>
      <c r="E137" s="1" t="n">
        <v>46307</v>
      </c>
      <c r="F137" t="inlineStr">
        <is>
          <t>NORRBOTTENS LÄN</t>
        </is>
      </c>
      <c r="G137" t="inlineStr">
        <is>
          <t>GÄLLIVARE</t>
        </is>
      </c>
      <c r="H137" t="inlineStr">
        <is>
          <t>SCA</t>
        </is>
      </c>
      <c r="I137" t="n">
        <v>9.699999999999999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26560-2024</t>
        </is>
      </c>
      <c r="B138" t="inlineStr">
        <is>
          <t>avverkningsanmälan</t>
        </is>
      </c>
      <c r="C138" t="inlineStr">
        <is>
          <t>Föryngringsavverkning</t>
        </is>
      </c>
      <c r="D138" s="1" t="n">
        <v>45469</v>
      </c>
      <c r="E138" s="1" t="n">
        <v>46307</v>
      </c>
      <c r="F138" t="inlineStr">
        <is>
          <t>NORRBOTTENS LÄN</t>
        </is>
      </c>
      <c r="G138" t="inlineStr">
        <is>
          <t>GÄLLIVARE</t>
        </is>
      </c>
      <c r="H138" t="inlineStr">
        <is>
          <t>Sveaskog</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12202-2024</t>
        </is>
      </c>
      <c r="B139" t="inlineStr">
        <is>
          <t>avverkningsanmälan</t>
        </is>
      </c>
      <c r="C139" t="inlineStr">
        <is>
          <t>Föryngringsavverkning</t>
        </is>
      </c>
      <c r="D139" s="1" t="n">
        <v>45377</v>
      </c>
      <c r="E139" s="1" t="n">
        <v>46307</v>
      </c>
      <c r="F139" t="inlineStr">
        <is>
          <t>NORRBOTTENS LÄN</t>
        </is>
      </c>
      <c r="G139" t="inlineStr">
        <is>
          <t>GÄLLIVARE</t>
        </is>
      </c>
      <c r="H139" t="inlineStr">
        <is>
          <t>SCA</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73335-2021</t>
        </is>
      </c>
      <c r="B140" t="inlineStr">
        <is>
          <t>avverkningsanmälan</t>
        </is>
      </c>
      <c r="C140" t="inlineStr">
        <is>
          <t>Föryngringsavverkning</t>
        </is>
      </c>
      <c r="D140" s="1" t="n">
        <v>44550</v>
      </c>
      <c r="E140" s="1" t="n">
        <v>46307</v>
      </c>
      <c r="F140" t="inlineStr">
        <is>
          <t>NORRBOTTENS LÄN</t>
        </is>
      </c>
      <c r="G140" t="inlineStr">
        <is>
          <t>GÄLLIVARE</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41843-2024</t>
        </is>
      </c>
      <c r="B141" t="inlineStr">
        <is>
          <t>avverkningsanmälan</t>
        </is>
      </c>
      <c r="C141" t="inlineStr">
        <is>
          <t>Föryngringsavverkning</t>
        </is>
      </c>
      <c r="D141" s="1" t="n">
        <v>45561</v>
      </c>
      <c r="E141" s="1" t="n">
        <v>46307</v>
      </c>
      <c r="F141" t="inlineStr">
        <is>
          <t>NORRBOTTENS LÄN</t>
        </is>
      </c>
      <c r="G141" t="inlineStr">
        <is>
          <t>GÄLLIVARE</t>
        </is>
      </c>
      <c r="I141" t="n">
        <v>3.1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25493-2024</t>
        </is>
      </c>
      <c r="B142" t="inlineStr">
        <is>
          <t>avverkningsanmälan</t>
        </is>
      </c>
      <c r="C142" t="inlineStr">
        <is>
          <t>Föryngringsavverkning</t>
        </is>
      </c>
      <c r="D142" s="1" t="n">
        <v>45463</v>
      </c>
      <c r="E142" s="1" t="n">
        <v>46307</v>
      </c>
      <c r="F142" t="inlineStr">
        <is>
          <t>NORRBOTTENS LÄN</t>
        </is>
      </c>
      <c r="G142" t="inlineStr">
        <is>
          <t>GÄLLIVARE</t>
        </is>
      </c>
      <c r="I142" t="n">
        <v>5.5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30026-2023</t>
        </is>
      </c>
      <c r="B143" t="inlineStr">
        <is>
          <t>avverkningsanmälan</t>
        </is>
      </c>
      <c r="C143" t="inlineStr">
        <is>
          <t>Föryngringsavverkning</t>
        </is>
      </c>
      <c r="D143" s="1" t="n">
        <v>45110</v>
      </c>
      <c r="E143" s="1" t="n">
        <v>46307</v>
      </c>
      <c r="F143" t="inlineStr">
        <is>
          <t>NORRBOTTENS LÄN</t>
        </is>
      </c>
      <c r="G143" t="inlineStr">
        <is>
          <t>GÄLLIVARE</t>
        </is>
      </c>
      <c r="H143" t="inlineStr">
        <is>
          <t>Sveaskog</t>
        </is>
      </c>
      <c r="I143" t="n">
        <v>13.1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59194-2022</t>
        </is>
      </c>
      <c r="B144" t="inlineStr">
        <is>
          <t>avverkningsanmälan</t>
        </is>
      </c>
      <c r="C144" t="inlineStr">
        <is>
          <t>Föryngringsavverkning</t>
        </is>
      </c>
      <c r="D144" s="1" t="n">
        <v>44904</v>
      </c>
      <c r="E144" s="1" t="n">
        <v>46307</v>
      </c>
      <c r="F144" t="inlineStr">
        <is>
          <t>NORRBOTTENS LÄN</t>
        </is>
      </c>
      <c r="G144" t="inlineStr">
        <is>
          <t>GÄLLIVARE</t>
        </is>
      </c>
      <c r="I144" t="n">
        <v>3.4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27666-2024</t>
        </is>
      </c>
      <c r="B145" t="inlineStr">
        <is>
          <t>avverkningsanmälan</t>
        </is>
      </c>
      <c r="C145" t="inlineStr">
        <is>
          <t>Avverkning för annat ändamål</t>
        </is>
      </c>
      <c r="D145" s="1" t="n">
        <v>45474</v>
      </c>
      <c r="E145" s="1" t="n">
        <v>46307</v>
      </c>
      <c r="F145" t="inlineStr">
        <is>
          <t>NORRBOTTENS LÄN</t>
        </is>
      </c>
      <c r="G145" t="inlineStr">
        <is>
          <t>GÄLLIVARE</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4768-2023</t>
        </is>
      </c>
      <c r="B146" t="inlineStr">
        <is>
          <t>avverkningsanmälan</t>
        </is>
      </c>
      <c r="C146" t="inlineStr">
        <is>
          <t>Föryngringsavverkning</t>
        </is>
      </c>
      <c r="D146" s="1" t="n">
        <v>44953</v>
      </c>
      <c r="E146" s="1" t="n">
        <v>46307</v>
      </c>
      <c r="F146" t="inlineStr">
        <is>
          <t>NORRBOTTENS LÄN</t>
        </is>
      </c>
      <c r="G146" t="inlineStr">
        <is>
          <t>GÄLLIVARE</t>
        </is>
      </c>
      <c r="I146" t="n">
        <v>7.9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4756-2023</t>
        </is>
      </c>
      <c r="B147" t="inlineStr">
        <is>
          <t>avverkningsanmälan</t>
        </is>
      </c>
      <c r="C147" t="inlineStr">
        <is>
          <t>Föryngringsavverkning</t>
        </is>
      </c>
      <c r="D147" s="1" t="n">
        <v>44953</v>
      </c>
      <c r="E147" s="1" t="n">
        <v>46307</v>
      </c>
      <c r="F147" t="inlineStr">
        <is>
          <t>NORRBOTTENS LÄN</t>
        </is>
      </c>
      <c r="G147" t="inlineStr">
        <is>
          <t>GÄLLIVARE</t>
        </is>
      </c>
      <c r="I147" t="n">
        <v>4.2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44690-2023</t>
        </is>
      </c>
      <c r="B148" t="inlineStr">
        <is>
          <t>avverkningsanmälan</t>
        </is>
      </c>
      <c r="C148" t="inlineStr">
        <is>
          <t>Föryngringsavverkning</t>
        </is>
      </c>
      <c r="D148" s="1" t="n">
        <v>45189</v>
      </c>
      <c r="E148" s="1" t="n">
        <v>46307</v>
      </c>
      <c r="F148" t="inlineStr">
        <is>
          <t>NORRBOTTENS LÄN</t>
        </is>
      </c>
      <c r="G148" t="inlineStr">
        <is>
          <t>GÄLLIVARE</t>
        </is>
      </c>
      <c r="I148" t="n">
        <v>8.6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25488-2024</t>
        </is>
      </c>
      <c r="B149" t="inlineStr">
        <is>
          <t>avverkningsanmälan</t>
        </is>
      </c>
      <c r="C149" t="inlineStr">
        <is>
          <t>Föryngringsavverkning</t>
        </is>
      </c>
      <c r="D149" s="1" t="n">
        <v>45463</v>
      </c>
      <c r="E149" s="1" t="n">
        <v>46307</v>
      </c>
      <c r="F149" t="inlineStr">
        <is>
          <t>NORRBOTTENS LÄN</t>
        </is>
      </c>
      <c r="G149" t="inlineStr">
        <is>
          <t>GÄLLIVARE</t>
        </is>
      </c>
      <c r="I149" t="n">
        <v>13.6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36251-2023</t>
        </is>
      </c>
      <c r="B150" t="inlineStr">
        <is>
          <t>avverkningsanmälan</t>
        </is>
      </c>
      <c r="C150" t="inlineStr">
        <is>
          <t>Föryngringsavverkning</t>
        </is>
      </c>
      <c r="D150" s="1" t="n">
        <v>45150</v>
      </c>
      <c r="E150" s="1" t="n">
        <v>46307</v>
      </c>
      <c r="F150" t="inlineStr">
        <is>
          <t>NORRBOTTENS LÄN</t>
        </is>
      </c>
      <c r="G150" t="inlineStr">
        <is>
          <t>GÄLLIVARE</t>
        </is>
      </c>
      <c r="H150" t="inlineStr">
        <is>
          <t>SCA</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36969-2023</t>
        </is>
      </c>
      <c r="B151" t="inlineStr">
        <is>
          <t>avverkningsanmälan</t>
        </is>
      </c>
      <c r="C151" t="inlineStr">
        <is>
          <t>Föryngringsavverkning</t>
        </is>
      </c>
      <c r="D151" s="1" t="n">
        <v>45154</v>
      </c>
      <c r="E151" s="1" t="n">
        <v>46307</v>
      </c>
      <c r="F151" t="inlineStr">
        <is>
          <t>NORRBOTTENS LÄN</t>
        </is>
      </c>
      <c r="G151" t="inlineStr">
        <is>
          <t>GÄLLIVARE</t>
        </is>
      </c>
      <c r="H151" t="inlineStr">
        <is>
          <t>SCA</t>
        </is>
      </c>
      <c r="I151" t="n">
        <v>10.8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39168-2025</t>
        </is>
      </c>
      <c r="B152" t="inlineStr">
        <is>
          <t>avverkningsanmälan</t>
        </is>
      </c>
      <c r="C152" t="inlineStr">
        <is>
          <t>Föryngringsavverkning</t>
        </is>
      </c>
      <c r="D152" s="1" t="n">
        <v>45888</v>
      </c>
      <c r="E152" s="1" t="n">
        <v>46307</v>
      </c>
      <c r="F152" t="inlineStr">
        <is>
          <t>NORRBOTTENS LÄN</t>
        </is>
      </c>
      <c r="G152" t="inlineStr">
        <is>
          <t>GÄLLIVARE</t>
        </is>
      </c>
      <c r="I152" t="n">
        <v>7.5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38896-2025</t>
        </is>
      </c>
      <c r="B153" t="inlineStr">
        <is>
          <t>avverkningsanmälan</t>
        </is>
      </c>
      <c r="C153" t="inlineStr">
        <is>
          <t>Föryngringsavverkning</t>
        </is>
      </c>
      <c r="D153" s="1" t="n">
        <v>45887</v>
      </c>
      <c r="E153" s="1" t="n">
        <v>46307</v>
      </c>
      <c r="F153" t="inlineStr">
        <is>
          <t>NORRBOTTENS LÄN</t>
        </is>
      </c>
      <c r="G153" t="inlineStr">
        <is>
          <t>GÄLLIVARE</t>
        </is>
      </c>
      <c r="I153" t="n">
        <v>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38895-2025</t>
        </is>
      </c>
      <c r="B154" t="inlineStr">
        <is>
          <t>avverkningsanmälan</t>
        </is>
      </c>
      <c r="C154" t="inlineStr">
        <is>
          <t>Föryngringsavverkning</t>
        </is>
      </c>
      <c r="D154" s="1" t="n">
        <v>45887</v>
      </c>
      <c r="E154" s="1" t="n">
        <v>46307</v>
      </c>
      <c r="F154" t="inlineStr">
        <is>
          <t>NORRBOTTENS LÄN</t>
        </is>
      </c>
      <c r="G154" t="inlineStr">
        <is>
          <t>GÄLLIVARE</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55221-2022</t>
        </is>
      </c>
      <c r="B155" t="inlineStr">
        <is>
          <t>avverkningsanmälan</t>
        </is>
      </c>
      <c r="C155" t="inlineStr">
        <is>
          <t>Föryngringsavverkning</t>
        </is>
      </c>
      <c r="D155" s="1" t="n">
        <v>44886</v>
      </c>
      <c r="E155" s="1" t="n">
        <v>46307</v>
      </c>
      <c r="F155" t="inlineStr">
        <is>
          <t>NORRBOTTENS LÄN</t>
        </is>
      </c>
      <c r="G155" t="inlineStr">
        <is>
          <t>GÄLLIVARE</t>
        </is>
      </c>
      <c r="H155" t="inlineStr">
        <is>
          <t>SCA</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62949-2023</t>
        </is>
      </c>
      <c r="B156" t="inlineStr">
        <is>
          <t>avverkningsanmälan</t>
        </is>
      </c>
      <c r="C156" t="inlineStr">
        <is>
          <t>Föryngringsavverkning</t>
        </is>
      </c>
      <c r="D156" s="1" t="n">
        <v>45272</v>
      </c>
      <c r="E156" s="1" t="n">
        <v>46307</v>
      </c>
      <c r="F156" t="inlineStr">
        <is>
          <t>NORRBOTTENS LÄN</t>
        </is>
      </c>
      <c r="G156" t="inlineStr">
        <is>
          <t>GÄLLIVARE</t>
        </is>
      </c>
      <c r="H156" t="inlineStr">
        <is>
          <t>Sveaskog</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51451-2023</t>
        </is>
      </c>
      <c r="B157" t="inlineStr">
        <is>
          <t>avverkningsanmälan</t>
        </is>
      </c>
      <c r="C157" t="inlineStr">
        <is>
          <t>Föryngringsavverkning</t>
        </is>
      </c>
      <c r="D157" s="1" t="n">
        <v>45215</v>
      </c>
      <c r="E157" s="1" t="n">
        <v>46307</v>
      </c>
      <c r="F157" t="inlineStr">
        <is>
          <t>NORRBOTTENS LÄN</t>
        </is>
      </c>
      <c r="G157" t="inlineStr">
        <is>
          <t>GÄLLIVARE</t>
        </is>
      </c>
      <c r="I157" t="n">
        <v>4.1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39414-2025</t>
        </is>
      </c>
      <c r="B158" t="inlineStr">
        <is>
          <t>avverkningsanmälan</t>
        </is>
      </c>
      <c r="C158" t="inlineStr">
        <is>
          <t>Föryngringsavverkning</t>
        </is>
      </c>
      <c r="D158" s="1" t="n">
        <v>45889</v>
      </c>
      <c r="E158" s="1" t="n">
        <v>46307</v>
      </c>
      <c r="F158" t="inlineStr">
        <is>
          <t>NORRBOTTENS LÄN</t>
        </is>
      </c>
      <c r="G158" t="inlineStr">
        <is>
          <t>GÄLLIVARE</t>
        </is>
      </c>
      <c r="H158" t="inlineStr">
        <is>
          <t>SCA</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39440-2025</t>
        </is>
      </c>
      <c r="B159" t="inlineStr">
        <is>
          <t>avverkningsanmälan</t>
        </is>
      </c>
      <c r="C159" t="inlineStr">
        <is>
          <t>Föryngringsavverkning</t>
        </is>
      </c>
      <c r="D159" s="1" t="n">
        <v>45889</v>
      </c>
      <c r="E159" s="1" t="n">
        <v>46307</v>
      </c>
      <c r="F159" t="inlineStr">
        <is>
          <t>NORRBOTTENS LÄN</t>
        </is>
      </c>
      <c r="G159" t="inlineStr">
        <is>
          <t>GÄLLIVARE</t>
        </is>
      </c>
      <c r="I159" t="n">
        <v>7.6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39413-2025</t>
        </is>
      </c>
      <c r="B160" t="inlineStr">
        <is>
          <t>avverkningsanmälan</t>
        </is>
      </c>
      <c r="C160" t="inlineStr">
        <is>
          <t>Föryngringsavverkning</t>
        </is>
      </c>
      <c r="D160" s="1" t="n">
        <v>45889</v>
      </c>
      <c r="E160" s="1" t="n">
        <v>46307</v>
      </c>
      <c r="F160" t="inlineStr">
        <is>
          <t>NORRBOTTENS LÄN</t>
        </is>
      </c>
      <c r="G160" t="inlineStr">
        <is>
          <t>GÄLLIVARE</t>
        </is>
      </c>
      <c r="H160" t="inlineStr">
        <is>
          <t>SCA</t>
        </is>
      </c>
      <c r="I160" t="n">
        <v>3.6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39261-2025</t>
        </is>
      </c>
      <c r="B161" t="inlineStr">
        <is>
          <t>avverkningsanmälan</t>
        </is>
      </c>
      <c r="C161" t="inlineStr">
        <is>
          <t>Föryngringsavverkning</t>
        </is>
      </c>
      <c r="D161" s="1" t="n">
        <v>45889</v>
      </c>
      <c r="E161" s="1" t="n">
        <v>46307</v>
      </c>
      <c r="F161" t="inlineStr">
        <is>
          <t>NORRBOTTENS LÄN</t>
        </is>
      </c>
      <c r="G161" t="inlineStr">
        <is>
          <t>GÄLLIVARE</t>
        </is>
      </c>
      <c r="I161" t="n">
        <v>6.8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41165-2025</t>
        </is>
      </c>
      <c r="B162" t="inlineStr">
        <is>
          <t>avverkningsanmälan</t>
        </is>
      </c>
      <c r="C162" t="inlineStr">
        <is>
          <t>Föryngringsavverkning</t>
        </is>
      </c>
      <c r="D162" s="1" t="n">
        <v>45898</v>
      </c>
      <c r="E162" s="1" t="n">
        <v>46307</v>
      </c>
      <c r="F162" t="inlineStr">
        <is>
          <t>NORRBOTTENS LÄN</t>
        </is>
      </c>
      <c r="G162" t="inlineStr">
        <is>
          <t>GÄLLIVARE</t>
        </is>
      </c>
      <c r="H162" t="inlineStr">
        <is>
          <t>Sveaskog</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41789-2025</t>
        </is>
      </c>
      <c r="B163" t="inlineStr">
        <is>
          <t>avverkningsanmälan</t>
        </is>
      </c>
      <c r="C163" t="inlineStr">
        <is>
          <t>Föryngringsavverkning</t>
        </is>
      </c>
      <c r="D163" s="1" t="n">
        <v>45902</v>
      </c>
      <c r="E163" s="1" t="n">
        <v>46307</v>
      </c>
      <c r="F163" t="inlineStr">
        <is>
          <t>NORRBOTTENS LÄN</t>
        </is>
      </c>
      <c r="G163" t="inlineStr">
        <is>
          <t>GÄLLIVARE</t>
        </is>
      </c>
      <c r="H163" t="inlineStr">
        <is>
          <t>SCA</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41791-2025</t>
        </is>
      </c>
      <c r="B164" t="inlineStr">
        <is>
          <t>avverkningsanmälan</t>
        </is>
      </c>
      <c r="C164" t="inlineStr">
        <is>
          <t>Föryngringsavverkning</t>
        </is>
      </c>
      <c r="D164" s="1" t="n">
        <v>45902</v>
      </c>
      <c r="E164" s="1" t="n">
        <v>46307</v>
      </c>
      <c r="F164" t="inlineStr">
        <is>
          <t>NORRBOTTENS LÄN</t>
        </is>
      </c>
      <c r="G164" t="inlineStr">
        <is>
          <t>GÄLLIVARE</t>
        </is>
      </c>
      <c r="H164" t="inlineStr">
        <is>
          <t>SCA</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41790-2025</t>
        </is>
      </c>
      <c r="B165" t="inlineStr">
        <is>
          <t>avverkningsanmälan</t>
        </is>
      </c>
      <c r="C165" t="inlineStr">
        <is>
          <t>Föryngringsavverkning</t>
        </is>
      </c>
      <c r="D165" s="1" t="n">
        <v>45902</v>
      </c>
      <c r="E165" s="1" t="n">
        <v>46307</v>
      </c>
      <c r="F165" t="inlineStr">
        <is>
          <t>NORRBOTTENS LÄN</t>
        </is>
      </c>
      <c r="G165" t="inlineStr">
        <is>
          <t>GÄLLIVARE</t>
        </is>
      </c>
      <c r="H165" t="inlineStr">
        <is>
          <t>SCA</t>
        </is>
      </c>
      <c r="I165" t="n">
        <v>10.3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41792-2025</t>
        </is>
      </c>
      <c r="B166" t="inlineStr">
        <is>
          <t>avverkningsanmälan</t>
        </is>
      </c>
      <c r="C166" t="inlineStr">
        <is>
          <t>Föryngringsavverkning</t>
        </is>
      </c>
      <c r="D166" s="1" t="n">
        <v>45902</v>
      </c>
      <c r="E166" s="1" t="n">
        <v>46307</v>
      </c>
      <c r="F166" t="inlineStr">
        <is>
          <t>NORRBOTTENS LÄN</t>
        </is>
      </c>
      <c r="G166" t="inlineStr">
        <is>
          <t>GÄLLIVARE</t>
        </is>
      </c>
      <c r="H166" t="inlineStr">
        <is>
          <t>SCA</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50554-2024</t>
        </is>
      </c>
      <c r="B167" t="inlineStr">
        <is>
          <t>avverkningsanmälan</t>
        </is>
      </c>
      <c r="C167" t="inlineStr">
        <is>
          <t>Föryngringsavverkning</t>
        </is>
      </c>
      <c r="D167" s="1" t="n">
        <v>45601</v>
      </c>
      <c r="E167" s="1" t="n">
        <v>46307</v>
      </c>
      <c r="F167" t="inlineStr">
        <is>
          <t>NORRBOTTENS LÄN</t>
        </is>
      </c>
      <c r="G167" t="inlineStr">
        <is>
          <t>GÄLLIVARE</t>
        </is>
      </c>
      <c r="H167" t="inlineStr">
        <is>
          <t>SCA</t>
        </is>
      </c>
      <c r="I167" t="n">
        <v>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7651-2025</t>
        </is>
      </c>
      <c r="B168" t="inlineStr">
        <is>
          <t>avverkningsanmälan</t>
        </is>
      </c>
      <c r="C168" t="inlineStr">
        <is>
          <t>Föryngringsavverkning</t>
        </is>
      </c>
      <c r="D168" s="1" t="n">
        <v>45705</v>
      </c>
      <c r="E168" s="1" t="n">
        <v>46307</v>
      </c>
      <c r="F168" t="inlineStr">
        <is>
          <t>NORRBOTTENS LÄN</t>
        </is>
      </c>
      <c r="G168" t="inlineStr">
        <is>
          <t>GÄLLIVARE</t>
        </is>
      </c>
      <c r="I168" t="n">
        <v>3.2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57442-2022</t>
        </is>
      </c>
      <c r="B169" t="inlineStr">
        <is>
          <t>avverkningsanmälan</t>
        </is>
      </c>
      <c r="C169" t="inlineStr">
        <is>
          <t>Föryngringsavverkning</t>
        </is>
      </c>
      <c r="D169" s="1" t="n">
        <v>44896</v>
      </c>
      <c r="E169" s="1" t="n">
        <v>46307</v>
      </c>
      <c r="F169" t="inlineStr">
        <is>
          <t>NORRBOTTENS LÄN</t>
        </is>
      </c>
      <c r="G169" t="inlineStr">
        <is>
          <t>GÄLLIVARE</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23613-2024</t>
        </is>
      </c>
      <c r="B170" t="inlineStr">
        <is>
          <t>avverkningsanmälan</t>
        </is>
      </c>
      <c r="C170" t="inlineStr">
        <is>
          <t>Avverkning för annat ändamål</t>
        </is>
      </c>
      <c r="D170" s="1" t="n">
        <v>45454</v>
      </c>
      <c r="E170" s="1" t="n">
        <v>46307</v>
      </c>
      <c r="F170" t="inlineStr">
        <is>
          <t>NORRBOTTENS LÄN</t>
        </is>
      </c>
      <c r="G170" t="inlineStr">
        <is>
          <t>GÄLLIVARE</t>
        </is>
      </c>
      <c r="I170" t="n">
        <v>2.9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42896-2025</t>
        </is>
      </c>
      <c r="B171" t="inlineStr">
        <is>
          <t>avverkningsanmälan</t>
        </is>
      </c>
      <c r="C171" t="inlineStr">
        <is>
          <t>Föryngringsavverkning</t>
        </is>
      </c>
      <c r="D171" s="1" t="n">
        <v>45908</v>
      </c>
      <c r="E171" s="1" t="n">
        <v>46307</v>
      </c>
      <c r="F171" t="inlineStr">
        <is>
          <t>NORRBOTTENS LÄN</t>
        </is>
      </c>
      <c r="G171" t="inlineStr">
        <is>
          <t>GÄLLIVARE</t>
        </is>
      </c>
      <c r="H171" t="inlineStr">
        <is>
          <t>Sveaskog</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42458-2025</t>
        </is>
      </c>
      <c r="B172" t="inlineStr">
        <is>
          <t>avverkningsanmälan</t>
        </is>
      </c>
      <c r="C172" t="inlineStr">
        <is>
          <t>Föryngringsavverkning</t>
        </is>
      </c>
      <c r="D172" s="1" t="n">
        <v>45905</v>
      </c>
      <c r="E172" s="1" t="n">
        <v>46307</v>
      </c>
      <c r="F172" t="inlineStr">
        <is>
          <t>NORRBOTTENS LÄN</t>
        </is>
      </c>
      <c r="G172" t="inlineStr">
        <is>
          <t>GÄLLIVARE</t>
        </is>
      </c>
      <c r="H172" t="inlineStr">
        <is>
          <t>Sveaskog</t>
        </is>
      </c>
      <c r="I172" t="n">
        <v>3.9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42895-2025</t>
        </is>
      </c>
      <c r="B173" t="inlineStr">
        <is>
          <t>avverkningsanmälan</t>
        </is>
      </c>
      <c r="C173" t="inlineStr">
        <is>
          <t>Föryngringsavverkning</t>
        </is>
      </c>
      <c r="D173" s="1" t="n">
        <v>45908</v>
      </c>
      <c r="E173" s="1" t="n">
        <v>46307</v>
      </c>
      <c r="F173" t="inlineStr">
        <is>
          <t>NORRBOTTENS LÄN</t>
        </is>
      </c>
      <c r="G173" t="inlineStr">
        <is>
          <t>GÄLLIVARE</t>
        </is>
      </c>
      <c r="H173" t="inlineStr">
        <is>
          <t>Sveaskog</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1609-2023</t>
        </is>
      </c>
      <c r="B174" t="inlineStr">
        <is>
          <t>avverkningsanmälan</t>
        </is>
      </c>
      <c r="C174" t="inlineStr">
        <is>
          <t>Avverkning för annat ändamål</t>
        </is>
      </c>
      <c r="D174" s="1" t="n">
        <v>44937</v>
      </c>
      <c r="E174" s="1" t="n">
        <v>46307</v>
      </c>
      <c r="F174" t="inlineStr">
        <is>
          <t>NORRBOTTENS LÄN</t>
        </is>
      </c>
      <c r="G174" t="inlineStr">
        <is>
          <t>GÄLLIVARE</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11290-2023</t>
        </is>
      </c>
      <c r="B175" t="inlineStr">
        <is>
          <t>avverkningsanmälan</t>
        </is>
      </c>
      <c r="C175" t="inlineStr">
        <is>
          <t>Föryngringsavverkning</t>
        </is>
      </c>
      <c r="D175" s="1" t="n">
        <v>44992</v>
      </c>
      <c r="E175" s="1" t="n">
        <v>46307</v>
      </c>
      <c r="F175" t="inlineStr">
        <is>
          <t>NORRBOTTENS LÄN</t>
        </is>
      </c>
      <c r="G175" t="inlineStr">
        <is>
          <t>GÄLLIVARE</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61783-2023</t>
        </is>
      </c>
      <c r="B176" t="inlineStr">
        <is>
          <t>avverkningsanmälan</t>
        </is>
      </c>
      <c r="C176" t="inlineStr">
        <is>
          <t>Föryngringsavverkning</t>
        </is>
      </c>
      <c r="D176" s="1" t="n">
        <v>45265</v>
      </c>
      <c r="E176" s="1" t="n">
        <v>46307</v>
      </c>
      <c r="F176" t="inlineStr">
        <is>
          <t>NORRBOTTENS LÄN</t>
        </is>
      </c>
      <c r="G176" t="inlineStr">
        <is>
          <t>GÄLLIVARE</t>
        </is>
      </c>
      <c r="H176" t="inlineStr">
        <is>
          <t>SCA</t>
        </is>
      </c>
      <c r="I176" t="n">
        <v>5.7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47166-2023</t>
        </is>
      </c>
      <c r="B177" t="inlineStr">
        <is>
          <t>avverkningsanmälan</t>
        </is>
      </c>
      <c r="C177" t="inlineStr">
        <is>
          <t>Föryngringsavverkning</t>
        </is>
      </c>
      <c r="D177" s="1" t="n">
        <v>45201</v>
      </c>
      <c r="E177" s="1" t="n">
        <v>46307</v>
      </c>
      <c r="F177" t="inlineStr">
        <is>
          <t>NORRBOTTENS LÄN</t>
        </is>
      </c>
      <c r="G177" t="inlineStr">
        <is>
          <t>GÄLLIVARE</t>
        </is>
      </c>
      <c r="H177" t="inlineStr">
        <is>
          <t>SCA</t>
        </is>
      </c>
      <c r="I177" t="n">
        <v>2.1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47613-2023</t>
        </is>
      </c>
      <c r="B178" t="inlineStr">
        <is>
          <t>avverkningsanmälan</t>
        </is>
      </c>
      <c r="C178" t="inlineStr">
        <is>
          <t>Avverkning för annat ändamål</t>
        </is>
      </c>
      <c r="D178" s="1" t="n">
        <v>45198</v>
      </c>
      <c r="E178" s="1" t="n">
        <v>46307</v>
      </c>
      <c r="F178" t="inlineStr">
        <is>
          <t>NORRBOTTENS LÄN</t>
        </is>
      </c>
      <c r="G178" t="inlineStr">
        <is>
          <t>GÄLLIVARE</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61795-2022</t>
        </is>
      </c>
      <c r="B179" t="inlineStr">
        <is>
          <t>avverkningsanmälan</t>
        </is>
      </c>
      <c r="C179" t="inlineStr">
        <is>
          <t>Avverkning för annat ändamål</t>
        </is>
      </c>
      <c r="D179" s="1" t="n">
        <v>44911</v>
      </c>
      <c r="E179" s="1" t="n">
        <v>46307</v>
      </c>
      <c r="F179" t="inlineStr">
        <is>
          <t>NORRBOTTENS LÄN</t>
        </is>
      </c>
      <c r="G179" t="inlineStr">
        <is>
          <t>GÄLLIVARE</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64372-2023</t>
        </is>
      </c>
      <c r="B180" t="inlineStr">
        <is>
          <t>avverkningsanmälan</t>
        </is>
      </c>
      <c r="C180" t="inlineStr">
        <is>
          <t>Avverkning för annat ändamål</t>
        </is>
      </c>
      <c r="D180" s="1" t="n">
        <v>45280</v>
      </c>
      <c r="E180" s="1" t="n">
        <v>46307</v>
      </c>
      <c r="F180" t="inlineStr">
        <is>
          <t>NORRBOTTENS LÄN</t>
        </is>
      </c>
      <c r="G180" t="inlineStr">
        <is>
          <t>GÄLLIVARE</t>
        </is>
      </c>
      <c r="I180" t="n">
        <v>3.3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29011-2024</t>
        </is>
      </c>
      <c r="B181" t="inlineStr">
        <is>
          <t>avverkningsanmälan</t>
        </is>
      </c>
      <c r="C181" t="inlineStr">
        <is>
          <t>Föryngringsavverkning</t>
        </is>
      </c>
      <c r="D181" s="1" t="n">
        <v>45481</v>
      </c>
      <c r="E181" s="1" t="n">
        <v>46307</v>
      </c>
      <c r="F181" t="inlineStr">
        <is>
          <t>NORRBOTTENS LÄN</t>
        </is>
      </c>
      <c r="G181" t="inlineStr">
        <is>
          <t>GÄLLIVARE</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10298-2023</t>
        </is>
      </c>
      <c r="B182" t="inlineStr">
        <is>
          <t>avverkningsanmälan</t>
        </is>
      </c>
      <c r="C182" t="inlineStr">
        <is>
          <t>Föryngringsavverkning</t>
        </is>
      </c>
      <c r="D182" s="1" t="n">
        <v>44986</v>
      </c>
      <c r="E182" s="1" t="n">
        <v>46307</v>
      </c>
      <c r="F182" t="inlineStr">
        <is>
          <t>NORRBOTTENS LÄN</t>
        </is>
      </c>
      <c r="G182" t="inlineStr">
        <is>
          <t>GÄLLIVARE</t>
        </is>
      </c>
      <c r="H182" t="inlineStr">
        <is>
          <t>SCA</t>
        </is>
      </c>
      <c r="I182" t="n">
        <v>3.3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41944-2024</t>
        </is>
      </c>
      <c r="B183" t="inlineStr">
        <is>
          <t>avverkningsanmälan</t>
        </is>
      </c>
      <c r="C183" t="inlineStr">
        <is>
          <t>Föryngringsavverkning</t>
        </is>
      </c>
      <c r="D183" s="1" t="n">
        <v>45561</v>
      </c>
      <c r="E183" s="1" t="n">
        <v>46307</v>
      </c>
      <c r="F183" t="inlineStr">
        <is>
          <t>NORRBOTTENS LÄN</t>
        </is>
      </c>
      <c r="G183" t="inlineStr">
        <is>
          <t>GÄLLIVARE</t>
        </is>
      </c>
      <c r="I183" t="n">
        <v>9.199999999999999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46318-2025</t>
        </is>
      </c>
      <c r="B184" t="inlineStr">
        <is>
          <t>avverkningsanmälan</t>
        </is>
      </c>
      <c r="C184" t="inlineStr">
        <is>
          <t>Föryngringsavverkning</t>
        </is>
      </c>
      <c r="D184" s="1" t="n">
        <v>45925</v>
      </c>
      <c r="E184" s="1" t="n">
        <v>46307</v>
      </c>
      <c r="F184" t="inlineStr">
        <is>
          <t>NORRBOTTENS LÄN</t>
        </is>
      </c>
      <c r="G184" t="inlineStr">
        <is>
          <t>GÄLLIVARE</t>
        </is>
      </c>
      <c r="I184" t="n">
        <v>10.2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39559-2022</t>
        </is>
      </c>
      <c r="B185" t="inlineStr">
        <is>
          <t>avverkningsanmälan</t>
        </is>
      </c>
      <c r="C185" t="inlineStr">
        <is>
          <t>Föryngringsavverkning</t>
        </is>
      </c>
      <c r="D185" s="1" t="n">
        <v>44818</v>
      </c>
      <c r="E185" s="1" t="n">
        <v>46307</v>
      </c>
      <c r="F185" t="inlineStr">
        <is>
          <t>NORRBOTTENS LÄN</t>
        </is>
      </c>
      <c r="G185" t="inlineStr">
        <is>
          <t>GÄLLIVARE</t>
        </is>
      </c>
      <c r="H185" t="inlineStr">
        <is>
          <t>Sveaskog</t>
        </is>
      </c>
      <c r="I185" t="n">
        <v>11.6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46418-2025</t>
        </is>
      </c>
      <c r="B186" t="inlineStr">
        <is>
          <t>avverkningsanmälan</t>
        </is>
      </c>
      <c r="C186" t="inlineStr">
        <is>
          <t>Föryngringsavverkning</t>
        </is>
      </c>
      <c r="D186" s="1" t="n">
        <v>45925</v>
      </c>
      <c r="E186" s="1" t="n">
        <v>46307</v>
      </c>
      <c r="F186" t="inlineStr">
        <is>
          <t>NORRBOTTENS LÄN</t>
        </is>
      </c>
      <c r="G186" t="inlineStr">
        <is>
          <t>GÄLLIVARE</t>
        </is>
      </c>
      <c r="H186" t="inlineStr">
        <is>
          <t>SCA</t>
        </is>
      </c>
      <c r="I186" t="n">
        <v>8.4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836-2025</t>
        </is>
      </c>
      <c r="B187" t="inlineStr">
        <is>
          <t>avverkningsanmälan</t>
        </is>
      </c>
      <c r="C187" t="inlineStr">
        <is>
          <t>Föryngringsavverkning</t>
        </is>
      </c>
      <c r="D187" s="1" t="n">
        <v>45665</v>
      </c>
      <c r="E187" s="1" t="n">
        <v>46307</v>
      </c>
      <c r="F187" t="inlineStr">
        <is>
          <t>NORRBOTTENS LÄN</t>
        </is>
      </c>
      <c r="G187" t="inlineStr">
        <is>
          <t>GÄLLIVARE</t>
        </is>
      </c>
      <c r="H187" t="inlineStr">
        <is>
          <t>Sveaskog</t>
        </is>
      </c>
      <c r="I187" t="n">
        <v>4.2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23607-2025</t>
        </is>
      </c>
      <c r="B188" t="inlineStr">
        <is>
          <t>avverkningsanmälan</t>
        </is>
      </c>
      <c r="C188" t="inlineStr">
        <is>
          <t>Föryngringsavverkning</t>
        </is>
      </c>
      <c r="D188" s="1" t="n">
        <v>45792</v>
      </c>
      <c r="E188" s="1" t="n">
        <v>46307</v>
      </c>
      <c r="F188" t="inlineStr">
        <is>
          <t>NORRBOTTENS LÄN</t>
        </is>
      </c>
      <c r="G188" t="inlineStr">
        <is>
          <t>GÄLLIVARE</t>
        </is>
      </c>
      <c r="H188" t="inlineStr">
        <is>
          <t>SCA</t>
        </is>
      </c>
      <c r="I188" t="n">
        <v>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23638-2025</t>
        </is>
      </c>
      <c r="B189" t="inlineStr">
        <is>
          <t>avverkningsanmälan</t>
        </is>
      </c>
      <c r="C189" t="inlineStr">
        <is>
          <t>Föryngringsavverkning</t>
        </is>
      </c>
      <c r="D189" s="1" t="n">
        <v>45792</v>
      </c>
      <c r="E189" s="1" t="n">
        <v>46307</v>
      </c>
      <c r="F189" t="inlineStr">
        <is>
          <t>NORRBOTTENS LÄN</t>
        </is>
      </c>
      <c r="G189" t="inlineStr">
        <is>
          <t>GÄLLIVARE</t>
        </is>
      </c>
      <c r="H189" t="inlineStr">
        <is>
          <t>Allmännings- och besparingsskogar</t>
        </is>
      </c>
      <c r="I189" t="n">
        <v>19.3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46386-2025</t>
        </is>
      </c>
      <c r="B190" t="inlineStr">
        <is>
          <t>avverkningsanmälan</t>
        </is>
      </c>
      <c r="C190" t="inlineStr">
        <is>
          <t>Föryngringsavverkning</t>
        </is>
      </c>
      <c r="D190" s="1" t="n">
        <v>45925</v>
      </c>
      <c r="E190" s="1" t="n">
        <v>46307</v>
      </c>
      <c r="F190" t="inlineStr">
        <is>
          <t>NORRBOTTENS LÄN</t>
        </is>
      </c>
      <c r="G190" t="inlineStr">
        <is>
          <t>GÄLLIVARE</t>
        </is>
      </c>
      <c r="H190" t="inlineStr">
        <is>
          <t>SCA</t>
        </is>
      </c>
      <c r="I190" t="n">
        <v>7.3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47190-2025</t>
        </is>
      </c>
      <c r="B191" t="inlineStr">
        <is>
          <t>avverkningsanmälan</t>
        </is>
      </c>
      <c r="C191" t="inlineStr">
        <is>
          <t>Avverkning för annat ändamål</t>
        </is>
      </c>
      <c r="D191" s="1" t="n">
        <v>45930</v>
      </c>
      <c r="E191" s="1" t="n">
        <v>46307</v>
      </c>
      <c r="F191" t="inlineStr">
        <is>
          <t>NORRBOTTENS LÄN</t>
        </is>
      </c>
      <c r="G191" t="inlineStr">
        <is>
          <t>GÄLLIVARE</t>
        </is>
      </c>
      <c r="H191" t="inlineStr">
        <is>
          <t>Sveaskog</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24139-2025</t>
        </is>
      </c>
      <c r="B192" t="inlineStr">
        <is>
          <t>avverkningsanmälan</t>
        </is>
      </c>
      <c r="C192" t="inlineStr">
        <is>
          <t>Föryngringsavverkning</t>
        </is>
      </c>
      <c r="D192" s="1" t="n">
        <v>45796</v>
      </c>
      <c r="E192" s="1" t="n">
        <v>46307</v>
      </c>
      <c r="F192" t="inlineStr">
        <is>
          <t>NORRBOTTENS LÄN</t>
        </is>
      </c>
      <c r="G192" t="inlineStr">
        <is>
          <t>GÄLLIVARE</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24125-2025</t>
        </is>
      </c>
      <c r="B193" t="inlineStr">
        <is>
          <t>avverkningsanmälan</t>
        </is>
      </c>
      <c r="C193" t="inlineStr">
        <is>
          <t>Föryngringsavverkning</t>
        </is>
      </c>
      <c r="D193" s="1" t="n">
        <v>45796</v>
      </c>
      <c r="E193" s="1" t="n">
        <v>46307</v>
      </c>
      <c r="F193" t="inlineStr">
        <is>
          <t>NORRBOTTENS LÄN</t>
        </is>
      </c>
      <c r="G193" t="inlineStr">
        <is>
          <t>GÄLLIVARE</t>
        </is>
      </c>
      <c r="H193" t="inlineStr">
        <is>
          <t>Allmännings- och besparingsskogar</t>
        </is>
      </c>
      <c r="I193" t="n">
        <v>7.4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44340-2024</t>
        </is>
      </c>
      <c r="B194" t="inlineStr">
        <is>
          <t>avverkningsanmälan</t>
        </is>
      </c>
      <c r="C194" t="inlineStr">
        <is>
          <t>Föryngringsavverkning</t>
        </is>
      </c>
      <c r="D194" s="1" t="n">
        <v>45573</v>
      </c>
      <c r="E194" s="1" t="n">
        <v>46307</v>
      </c>
      <c r="F194" t="inlineStr">
        <is>
          <t>NORRBOTTENS LÄN</t>
        </is>
      </c>
      <c r="G194" t="inlineStr">
        <is>
          <t>GÄLLIVARE</t>
        </is>
      </c>
      <c r="I194" t="n">
        <v>3.5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24624-2025</t>
        </is>
      </c>
      <c r="B195" t="inlineStr">
        <is>
          <t>avverkningsanmälan</t>
        </is>
      </c>
      <c r="C195" t="inlineStr">
        <is>
          <t>Föryngringsavverkning</t>
        </is>
      </c>
      <c r="D195" s="1" t="n">
        <v>45798</v>
      </c>
      <c r="E195" s="1" t="n">
        <v>46307</v>
      </c>
      <c r="F195" t="inlineStr">
        <is>
          <t>NORRBOTTENS LÄN</t>
        </is>
      </c>
      <c r="G195" t="inlineStr">
        <is>
          <t>GÄLLIVARE</t>
        </is>
      </c>
      <c r="H195" t="inlineStr">
        <is>
          <t>SCA</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24237-2025</t>
        </is>
      </c>
      <c r="B196" t="inlineStr">
        <is>
          <t>avverkningsanmälan</t>
        </is>
      </c>
      <c r="C196" t="inlineStr">
        <is>
          <t>Föryngringsavverkning</t>
        </is>
      </c>
      <c r="D196" s="1" t="n">
        <v>45797</v>
      </c>
      <c r="E196" s="1" t="n">
        <v>46307</v>
      </c>
      <c r="F196" t="inlineStr">
        <is>
          <t>NORRBOTTENS LÄN</t>
        </is>
      </c>
      <c r="G196" t="inlineStr">
        <is>
          <t>GÄLLIVARE</t>
        </is>
      </c>
      <c r="H196" t="inlineStr">
        <is>
          <t>SCA</t>
        </is>
      </c>
      <c r="I196" t="n">
        <v>2.3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4185-2023</t>
        </is>
      </c>
      <c r="B197" t="inlineStr">
        <is>
          <t>avverkningsanmälan</t>
        </is>
      </c>
      <c r="C197" t="inlineStr">
        <is>
          <t>Föryngringsavverkning</t>
        </is>
      </c>
      <c r="D197" s="1" t="n">
        <v>44953</v>
      </c>
      <c r="E197" s="1" t="n">
        <v>46307</v>
      </c>
      <c r="F197" t="inlineStr">
        <is>
          <t>NORRBOTTENS LÄN</t>
        </is>
      </c>
      <c r="G197" t="inlineStr">
        <is>
          <t>GÄLLIVARE</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45654-2024</t>
        </is>
      </c>
      <c r="B198" t="inlineStr">
        <is>
          <t>avverkningsanmälan</t>
        </is>
      </c>
      <c r="C198" t="inlineStr">
        <is>
          <t>Avverkning för annat ändamål</t>
        </is>
      </c>
      <c r="D198" s="1" t="n">
        <v>45579</v>
      </c>
      <c r="E198" s="1" t="n">
        <v>46307</v>
      </c>
      <c r="F198" t="inlineStr">
        <is>
          <t>NORRBOTTENS LÄN</t>
        </is>
      </c>
      <c r="G198" t="inlineStr">
        <is>
          <t>GÄLLIVARE</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24276-2025</t>
        </is>
      </c>
      <c r="B199" t="inlineStr">
        <is>
          <t>avverkningsanmälan</t>
        </is>
      </c>
      <c r="C199" t="inlineStr">
        <is>
          <t>Föryngringsavverkning</t>
        </is>
      </c>
      <c r="D199" s="1" t="n">
        <v>45797</v>
      </c>
      <c r="E199" s="1" t="n">
        <v>46307</v>
      </c>
      <c r="F199" t="inlineStr">
        <is>
          <t>NORRBOTTENS LÄN</t>
        </is>
      </c>
      <c r="G199" t="inlineStr">
        <is>
          <t>GÄLLIVARE</t>
        </is>
      </c>
      <c r="H199" t="inlineStr">
        <is>
          <t>SCA</t>
        </is>
      </c>
      <c r="I199" t="n">
        <v>9.6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5709-2023</t>
        </is>
      </c>
      <c r="B200" t="inlineStr">
        <is>
          <t>avverkningsanmälan</t>
        </is>
      </c>
      <c r="C200" t="inlineStr">
        <is>
          <t>Föryngringsavverkning</t>
        </is>
      </c>
      <c r="D200" s="1" t="n">
        <v>44960</v>
      </c>
      <c r="E200" s="1" t="n">
        <v>46307</v>
      </c>
      <c r="F200" t="inlineStr">
        <is>
          <t>NORRBOTTENS LÄN</t>
        </is>
      </c>
      <c r="G200" t="inlineStr">
        <is>
          <t>GÄLLIVARE</t>
        </is>
      </c>
      <c r="H200" t="inlineStr">
        <is>
          <t>SCA</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49877-2023</t>
        </is>
      </c>
      <c r="B201" t="inlineStr">
        <is>
          <t>avverkningsanmälan</t>
        </is>
      </c>
      <c r="C201" t="inlineStr">
        <is>
          <t>Föryngringsavverkning</t>
        </is>
      </c>
      <c r="D201" s="1" t="n">
        <v>45212</v>
      </c>
      <c r="E201" s="1" t="n">
        <v>46307</v>
      </c>
      <c r="F201" t="inlineStr">
        <is>
          <t>NORRBOTTENS LÄN</t>
        </is>
      </c>
      <c r="G201" t="inlineStr">
        <is>
          <t>GÄLLIVARE</t>
        </is>
      </c>
      <c r="H201" t="inlineStr">
        <is>
          <t>SCA</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39060-2024</t>
        </is>
      </c>
      <c r="B202" t="inlineStr">
        <is>
          <t>avverkningsanmälan</t>
        </is>
      </c>
      <c r="C202" t="inlineStr">
        <is>
          <t>Föryngringsavverkning</t>
        </is>
      </c>
      <c r="D202" s="1" t="n">
        <v>45548</v>
      </c>
      <c r="E202" s="1" t="n">
        <v>46307</v>
      </c>
      <c r="F202" t="inlineStr">
        <is>
          <t>NORRBOTTENS LÄN</t>
        </is>
      </c>
      <c r="G202" t="inlineStr">
        <is>
          <t>GÄLLIVARE</t>
        </is>
      </c>
      <c r="H202" t="inlineStr">
        <is>
          <t>Sveaskog</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48626-2025</t>
        </is>
      </c>
      <c r="B203" t="inlineStr">
        <is>
          <t>avverkningsanmälan</t>
        </is>
      </c>
      <c r="C203" t="inlineStr">
        <is>
          <t>Föryngringsavverkning</t>
        </is>
      </c>
      <c r="D203" s="1" t="n">
        <v>45936</v>
      </c>
      <c r="E203" s="1" t="n">
        <v>46307</v>
      </c>
      <c r="F203" t="inlineStr">
        <is>
          <t>NORRBOTTENS LÄN</t>
        </is>
      </c>
      <c r="G203" t="inlineStr">
        <is>
          <t>GÄLLIVARE</t>
        </is>
      </c>
      <c r="H203" t="inlineStr">
        <is>
          <t>SCA</t>
        </is>
      </c>
      <c r="I203" t="n">
        <v>3.2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48627-2025</t>
        </is>
      </c>
      <c r="B204" t="inlineStr">
        <is>
          <t>avverkningsanmälan</t>
        </is>
      </c>
      <c r="C204" t="inlineStr">
        <is>
          <t>Föryngringsavverkning</t>
        </is>
      </c>
      <c r="D204" s="1" t="n">
        <v>45936</v>
      </c>
      <c r="E204" s="1" t="n">
        <v>46307</v>
      </c>
      <c r="F204" t="inlineStr">
        <is>
          <t>NORRBOTTENS LÄN</t>
        </is>
      </c>
      <c r="G204" t="inlineStr">
        <is>
          <t>GÄLLIVARE</t>
        </is>
      </c>
      <c r="H204" t="inlineStr">
        <is>
          <t>SCA</t>
        </is>
      </c>
      <c r="I204" t="n">
        <v>6.2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47239-2023</t>
        </is>
      </c>
      <c r="B205" t="inlineStr">
        <is>
          <t>avverkningsanmälan</t>
        </is>
      </c>
      <c r="C205" t="inlineStr">
        <is>
          <t>Föryngringsavverkning</t>
        </is>
      </c>
      <c r="D205" s="1" t="n">
        <v>45196</v>
      </c>
      <c r="E205" s="1" t="n">
        <v>46307</v>
      </c>
      <c r="F205" t="inlineStr">
        <is>
          <t>NORRBOTTENS LÄN</t>
        </is>
      </c>
      <c r="G205" t="inlineStr">
        <is>
          <t>GÄLLIVARE</t>
        </is>
      </c>
      <c r="H205" t="inlineStr">
        <is>
          <t>Övriga statliga verk och myndigheter</t>
        </is>
      </c>
      <c r="I205" t="n">
        <v>65.40000000000001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47239-2023</t>
        </is>
      </c>
      <c r="B206" t="inlineStr">
        <is>
          <t>avverkningsanmälan</t>
        </is>
      </c>
      <c r="C206" t="inlineStr">
        <is>
          <t>Föryngringsavverkning</t>
        </is>
      </c>
      <c r="D206" s="1" t="n">
        <v>45196</v>
      </c>
      <c r="E206" s="1" t="n">
        <v>46307</v>
      </c>
      <c r="F206" t="inlineStr">
        <is>
          <t>NORRBOTTENS LÄN</t>
        </is>
      </c>
      <c r="G206" t="inlineStr">
        <is>
          <t>GÄLLIVARE</t>
        </is>
      </c>
      <c r="H206" t="inlineStr">
        <is>
          <t>Övriga statliga verk och myndigheter</t>
        </is>
      </c>
      <c r="I206" t="n">
        <v>3.6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53893-2024</t>
        </is>
      </c>
      <c r="B207" t="inlineStr">
        <is>
          <t>avverkningsanmälan</t>
        </is>
      </c>
      <c r="C207" t="inlineStr">
        <is>
          <t>Föryngringsavverkning</t>
        </is>
      </c>
      <c r="D207" s="1" t="n">
        <v>45615</v>
      </c>
      <c r="E207" s="1" t="n">
        <v>46307</v>
      </c>
      <c r="F207" t="inlineStr">
        <is>
          <t>NORRBOTTENS LÄN</t>
        </is>
      </c>
      <c r="G207" t="inlineStr">
        <is>
          <t>GÄLLIVARE</t>
        </is>
      </c>
      <c r="I207" t="n">
        <v>3.4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25981-2025</t>
        </is>
      </c>
      <c r="B208" t="inlineStr">
        <is>
          <t>avverkningsanmälan</t>
        </is>
      </c>
      <c r="C208" t="inlineStr">
        <is>
          <t>Föryngringsavverkning</t>
        </is>
      </c>
      <c r="D208" s="1" t="n">
        <v>45804</v>
      </c>
      <c r="E208" s="1" t="n">
        <v>46307</v>
      </c>
      <c r="F208" t="inlineStr">
        <is>
          <t>NORRBOTTENS LÄN</t>
        </is>
      </c>
      <c r="G208" t="inlineStr">
        <is>
          <t>GÄLLIVARE</t>
        </is>
      </c>
      <c r="I208" t="n">
        <v>5.9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55034-2023</t>
        </is>
      </c>
      <c r="B209" t="inlineStr">
        <is>
          <t>avverkningsanmälan</t>
        </is>
      </c>
      <c r="C209" t="inlineStr">
        <is>
          <t>Föryngringsavverkning</t>
        </is>
      </c>
      <c r="D209" s="1" t="n">
        <v>45237</v>
      </c>
      <c r="E209" s="1" t="n">
        <v>46307</v>
      </c>
      <c r="F209" t="inlineStr">
        <is>
          <t>NORRBOTTENS LÄN</t>
        </is>
      </c>
      <c r="G209" t="inlineStr">
        <is>
          <t>GÄLLIVARE</t>
        </is>
      </c>
      <c r="H209" t="inlineStr">
        <is>
          <t>Sveaskog</t>
        </is>
      </c>
      <c r="I209" t="n">
        <v>3.2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26243-2025</t>
        </is>
      </c>
      <c r="B210" t="inlineStr">
        <is>
          <t>avverkningsanmälan</t>
        </is>
      </c>
      <c r="C210" t="inlineStr">
        <is>
          <t>Föryngringsavverkning</t>
        </is>
      </c>
      <c r="D210" s="1" t="n">
        <v>45805</v>
      </c>
      <c r="E210" s="1" t="n">
        <v>46307</v>
      </c>
      <c r="F210" t="inlineStr">
        <is>
          <t>NORRBOTTENS LÄN</t>
        </is>
      </c>
      <c r="G210" t="inlineStr">
        <is>
          <t>GÄLLIVARE</t>
        </is>
      </c>
      <c r="H210" t="inlineStr">
        <is>
          <t>SCA</t>
        </is>
      </c>
      <c r="I210" t="n">
        <v>3.3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26242-2025</t>
        </is>
      </c>
      <c r="B211" t="inlineStr">
        <is>
          <t>avverkningsanmälan</t>
        </is>
      </c>
      <c r="C211" t="inlineStr">
        <is>
          <t>Föryngringsavverkning</t>
        </is>
      </c>
      <c r="D211" s="1" t="n">
        <v>45805</v>
      </c>
      <c r="E211" s="1" t="n">
        <v>46307</v>
      </c>
      <c r="F211" t="inlineStr">
        <is>
          <t>NORRBOTTENS LÄN</t>
        </is>
      </c>
      <c r="G211" t="inlineStr">
        <is>
          <t>GÄLLIVARE</t>
        </is>
      </c>
      <c r="H211" t="inlineStr">
        <is>
          <t>SCA</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26208-2025</t>
        </is>
      </c>
      <c r="B212" t="inlineStr">
        <is>
          <t>avverkningsanmälan</t>
        </is>
      </c>
      <c r="C212" t="inlineStr">
        <is>
          <t>Föryngringsavverkning</t>
        </is>
      </c>
      <c r="D212" s="1" t="n">
        <v>45805</v>
      </c>
      <c r="E212" s="1" t="n">
        <v>46307</v>
      </c>
      <c r="F212" t="inlineStr">
        <is>
          <t>NORRBOTTENS LÄN</t>
        </is>
      </c>
      <c r="G212" t="inlineStr">
        <is>
          <t>GÄLLIVARE</t>
        </is>
      </c>
      <c r="H212" t="inlineStr">
        <is>
          <t>SCA</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26772-2025</t>
        </is>
      </c>
      <c r="B213" t="inlineStr">
        <is>
          <t>avverkningsanmälan</t>
        </is>
      </c>
      <c r="C213" t="inlineStr">
        <is>
          <t>Föryngringsavverkning</t>
        </is>
      </c>
      <c r="D213" s="1" t="n">
        <v>45810</v>
      </c>
      <c r="E213" s="1" t="n">
        <v>46307</v>
      </c>
      <c r="F213" t="inlineStr">
        <is>
          <t>NORRBOTTENS LÄN</t>
        </is>
      </c>
      <c r="G213" t="inlineStr">
        <is>
          <t>GÄLLIVARE</t>
        </is>
      </c>
      <c r="H213" t="inlineStr">
        <is>
          <t>SCA</t>
        </is>
      </c>
      <c r="I213" t="n">
        <v>6.8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50095-2024</t>
        </is>
      </c>
      <c r="B214" t="inlineStr">
        <is>
          <t>avverkningsanmälan</t>
        </is>
      </c>
      <c r="C214" t="inlineStr">
        <is>
          <t>Föryngringsavverkning</t>
        </is>
      </c>
      <c r="D214" s="1" t="n">
        <v>45600</v>
      </c>
      <c r="E214" s="1" t="n">
        <v>46307</v>
      </c>
      <c r="F214" t="inlineStr">
        <is>
          <t>NORRBOTTENS LÄN</t>
        </is>
      </c>
      <c r="G214" t="inlineStr">
        <is>
          <t>GÄLLIVARE</t>
        </is>
      </c>
      <c r="H214" t="inlineStr">
        <is>
          <t>Sveaskog</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36511-2024</t>
        </is>
      </c>
      <c r="B215" t="inlineStr">
        <is>
          <t>avverkningsanmälan</t>
        </is>
      </c>
      <c r="C215" t="inlineStr">
        <is>
          <t>Föryngringsavverkning</t>
        </is>
      </c>
      <c r="D215" s="1" t="n">
        <v>45537</v>
      </c>
      <c r="E215" s="1" t="n">
        <v>46307</v>
      </c>
      <c r="F215" t="inlineStr">
        <is>
          <t>NORRBOTTENS LÄN</t>
        </is>
      </c>
      <c r="G215" t="inlineStr">
        <is>
          <t>GÄLLIVARE</t>
        </is>
      </c>
      <c r="H215" t="inlineStr">
        <is>
          <t>Sveaskog</t>
        </is>
      </c>
      <c r="I215" t="n">
        <v>9.4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46857-2023</t>
        </is>
      </c>
      <c r="B216" t="inlineStr">
        <is>
          <t>avverkningsanmälan</t>
        </is>
      </c>
      <c r="C216" t="inlineStr">
        <is>
          <t>Föryngringsavverkning</t>
        </is>
      </c>
      <c r="D216" s="1" t="n">
        <v>45199</v>
      </c>
      <c r="E216" s="1" t="n">
        <v>46307</v>
      </c>
      <c r="F216" t="inlineStr">
        <is>
          <t>NORRBOTTENS LÄN</t>
        </is>
      </c>
      <c r="G216" t="inlineStr">
        <is>
          <t>GÄLLIVARE</t>
        </is>
      </c>
      <c r="H216" t="inlineStr">
        <is>
          <t>SCA</t>
        </is>
      </c>
      <c r="I216" t="n">
        <v>6.9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8018-2022</t>
        </is>
      </c>
      <c r="B217" t="inlineStr">
        <is>
          <t>avverkningsanmälan</t>
        </is>
      </c>
      <c r="C217" t="inlineStr">
        <is>
          <t>Föryngringsavverkning</t>
        </is>
      </c>
      <c r="D217" s="1" t="n">
        <v>44609</v>
      </c>
      <c r="E217" s="1" t="n">
        <v>46307</v>
      </c>
      <c r="F217" t="inlineStr">
        <is>
          <t>NORRBOTTENS LÄN</t>
        </is>
      </c>
      <c r="G217" t="inlineStr">
        <is>
          <t>GÄLLIVARE</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30781-2023</t>
        </is>
      </c>
      <c r="B218" t="inlineStr">
        <is>
          <t>avverkningsanmälan</t>
        </is>
      </c>
      <c r="C218" t="inlineStr">
        <is>
          <t>Föryngringsavverkning</t>
        </is>
      </c>
      <c r="D218" s="1" t="n">
        <v>45112</v>
      </c>
      <c r="E218" s="1" t="n">
        <v>46307</v>
      </c>
      <c r="F218" t="inlineStr">
        <is>
          <t>NORRBOTTENS LÄN</t>
        </is>
      </c>
      <c r="G218" t="inlineStr">
        <is>
          <t>GÄLLIVARE</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49664-2025</t>
        </is>
      </c>
      <c r="B219" t="inlineStr">
        <is>
          <t>avverkningsanmälan</t>
        </is>
      </c>
      <c r="C219" t="inlineStr">
        <is>
          <t>Föryngringsavverkning</t>
        </is>
      </c>
      <c r="D219" s="1" t="n">
        <v>45939</v>
      </c>
      <c r="E219" s="1" t="n">
        <v>46307</v>
      </c>
      <c r="F219" t="inlineStr">
        <is>
          <t>NORRBOTTENS LÄN</t>
        </is>
      </c>
      <c r="G219" t="inlineStr">
        <is>
          <t>GÄLLIVARE</t>
        </is>
      </c>
      <c r="H219" t="inlineStr">
        <is>
          <t>SCA</t>
        </is>
      </c>
      <c r="I219" t="n">
        <v>11.1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50063-2025</t>
        </is>
      </c>
      <c r="B220" t="inlineStr">
        <is>
          <t>avverkningsanmälan</t>
        </is>
      </c>
      <c r="C220" t="inlineStr">
        <is>
          <t>Föryngringsavverkning</t>
        </is>
      </c>
      <c r="D220" s="1" t="n">
        <v>45943</v>
      </c>
      <c r="E220" s="1" t="n">
        <v>46307</v>
      </c>
      <c r="F220" t="inlineStr">
        <is>
          <t>NORRBOTTENS LÄN</t>
        </is>
      </c>
      <c r="G220" t="inlineStr">
        <is>
          <t>GÄLLIVARE</t>
        </is>
      </c>
      <c r="I220" t="n">
        <v>9.300000000000001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50005-2025</t>
        </is>
      </c>
      <c r="B221" t="inlineStr">
        <is>
          <t>avverkningsanmälan</t>
        </is>
      </c>
      <c r="C221" t="inlineStr">
        <is>
          <t>Föryngringsavverkning</t>
        </is>
      </c>
      <c r="D221" s="1" t="n">
        <v>45943</v>
      </c>
      <c r="E221" s="1" t="n">
        <v>46307</v>
      </c>
      <c r="F221" t="inlineStr">
        <is>
          <t>NORRBOTTENS LÄN</t>
        </is>
      </c>
      <c r="G221" t="inlineStr">
        <is>
          <t>GÄLLIVARE</t>
        </is>
      </c>
      <c r="H221" t="inlineStr">
        <is>
          <t>SCA</t>
        </is>
      </c>
      <c r="I221" t="n">
        <v>4.2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25923-2024</t>
        </is>
      </c>
      <c r="B222" t="inlineStr">
        <is>
          <t>avverkningsanmälan</t>
        </is>
      </c>
      <c r="C222" t="inlineStr">
        <is>
          <t>Föryngringsavverkning</t>
        </is>
      </c>
      <c r="D222" s="1" t="n">
        <v>45467</v>
      </c>
      <c r="E222" s="1" t="n">
        <v>46307</v>
      </c>
      <c r="F222" t="inlineStr">
        <is>
          <t>NORRBOTTENS LÄN</t>
        </is>
      </c>
      <c r="G222" t="inlineStr">
        <is>
          <t>GÄLLIVARE</t>
        </is>
      </c>
      <c r="H222" t="inlineStr">
        <is>
          <t>Allmännings- och besparingsskogar</t>
        </is>
      </c>
      <c r="I222" t="n">
        <v>15.1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37021-2025</t>
        </is>
      </c>
      <c r="B223" t="inlineStr">
        <is>
          <t>avverkningsanmälan</t>
        </is>
      </c>
      <c r="C223" t="inlineStr">
        <is>
          <t>Föryngringsavverkning</t>
        </is>
      </c>
      <c r="D223" s="1" t="n">
        <v>45874</v>
      </c>
      <c r="E223" s="1" t="n">
        <v>46307</v>
      </c>
      <c r="F223" t="inlineStr">
        <is>
          <t>NORRBOTTENS LÄN</t>
        </is>
      </c>
      <c r="G223" t="inlineStr">
        <is>
          <t>GÄLLIVARE</t>
        </is>
      </c>
      <c r="H223" t="inlineStr">
        <is>
          <t>Allmännings- och besparingsskogar</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59926-2021</t>
        </is>
      </c>
      <c r="B224" t="inlineStr">
        <is>
          <t>avverkningsanmälan</t>
        </is>
      </c>
      <c r="C224" t="inlineStr">
        <is>
          <t>Avverkning för annat ändamål</t>
        </is>
      </c>
      <c r="D224" s="1" t="n">
        <v>44494</v>
      </c>
      <c r="E224" s="1" t="n">
        <v>46307</v>
      </c>
      <c r="F224" t="inlineStr">
        <is>
          <t>NORRBOTTENS LÄN</t>
        </is>
      </c>
      <c r="G224" t="inlineStr">
        <is>
          <t>GÄLLIVARE</t>
        </is>
      </c>
      <c r="H224" t="inlineStr">
        <is>
          <t>Allmännings- och besparingsskogar</t>
        </is>
      </c>
      <c r="I224" t="n">
        <v>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50772-2025</t>
        </is>
      </c>
      <c r="B225" t="inlineStr">
        <is>
          <t>avverkningsanmälan</t>
        </is>
      </c>
      <c r="C225" t="inlineStr">
        <is>
          <t>Föryngringsavverkning</t>
        </is>
      </c>
      <c r="D225" s="1" t="n">
        <v>45946</v>
      </c>
      <c r="E225" s="1" t="n">
        <v>46307</v>
      </c>
      <c r="F225" t="inlineStr">
        <is>
          <t>NORRBOTTENS LÄN</t>
        </is>
      </c>
      <c r="G225" t="inlineStr">
        <is>
          <t>GÄLLIVARE</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50773-2025</t>
        </is>
      </c>
      <c r="B226" t="inlineStr">
        <is>
          <t>avverkningsanmälan</t>
        </is>
      </c>
      <c r="C226" t="inlineStr">
        <is>
          <t>Föryngringsavverkning</t>
        </is>
      </c>
      <c r="D226" s="1" t="n">
        <v>45946</v>
      </c>
      <c r="E226" s="1" t="n">
        <v>46307</v>
      </c>
      <c r="F226" t="inlineStr">
        <is>
          <t>NORRBOTTENS LÄN</t>
        </is>
      </c>
      <c r="G226" t="inlineStr">
        <is>
          <t>GÄLLIVARE</t>
        </is>
      </c>
      <c r="I226" t="n">
        <v>21.8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28646-2023</t>
        </is>
      </c>
      <c r="B227" t="inlineStr">
        <is>
          <t>avverkningsanmälan</t>
        </is>
      </c>
      <c r="C227" t="inlineStr">
        <is>
          <t>Föryngringsavverkning</t>
        </is>
      </c>
      <c r="D227" s="1" t="n">
        <v>45096</v>
      </c>
      <c r="E227" s="1" t="n">
        <v>46307</v>
      </c>
      <c r="F227" t="inlineStr">
        <is>
          <t>NORRBOTTENS LÄN</t>
        </is>
      </c>
      <c r="G227" t="inlineStr">
        <is>
          <t>GÄLLIVARE</t>
        </is>
      </c>
      <c r="H227" t="inlineStr">
        <is>
          <t>Allmännings- och besparingsskogar</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33373-2023</t>
        </is>
      </c>
      <c r="B228" t="inlineStr">
        <is>
          <t>avverkningsanmälan</t>
        </is>
      </c>
      <c r="C228" t="inlineStr">
        <is>
          <t>Föryngringsavverkning</t>
        </is>
      </c>
      <c r="D228" s="1" t="n">
        <v>45117</v>
      </c>
      <c r="E228" s="1" t="n">
        <v>46307</v>
      </c>
      <c r="F228" t="inlineStr">
        <is>
          <t>NORRBOTTENS LÄN</t>
        </is>
      </c>
      <c r="G228" t="inlineStr">
        <is>
          <t>GÄLLIVARE</t>
        </is>
      </c>
      <c r="H228" t="inlineStr">
        <is>
          <t>Allmännings- och besparingsskogar</t>
        </is>
      </c>
      <c r="I228" t="n">
        <v>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36039-2023</t>
        </is>
      </c>
      <c r="B229" t="inlineStr">
        <is>
          <t>avverkningsanmälan</t>
        </is>
      </c>
      <c r="C229" t="inlineStr">
        <is>
          <t>Föryngringsavverkning</t>
        </is>
      </c>
      <c r="D229" s="1" t="n">
        <v>45148</v>
      </c>
      <c r="E229" s="1" t="n">
        <v>46307</v>
      </c>
      <c r="F229" t="inlineStr">
        <is>
          <t>NORRBOTTENS LÄN</t>
        </is>
      </c>
      <c r="G229" t="inlineStr">
        <is>
          <t>GÄLLIVARE</t>
        </is>
      </c>
      <c r="H229" t="inlineStr">
        <is>
          <t>Allmännings- och besparingsskogar</t>
        </is>
      </c>
      <c r="I229" t="n">
        <v>24.3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39756-2024</t>
        </is>
      </c>
      <c r="B230" t="inlineStr">
        <is>
          <t>avverkningsanmälan</t>
        </is>
      </c>
      <c r="C230" t="inlineStr">
        <is>
          <t>Föryngringsavverkning</t>
        </is>
      </c>
      <c r="D230" s="1" t="n">
        <v>45552</v>
      </c>
      <c r="E230" s="1" t="n">
        <v>46307</v>
      </c>
      <c r="F230" t="inlineStr">
        <is>
          <t>NORRBOTTENS LÄN</t>
        </is>
      </c>
      <c r="G230" t="inlineStr">
        <is>
          <t>GÄLLIVARE</t>
        </is>
      </c>
      <c r="H230" t="inlineStr">
        <is>
          <t>Allmännings- och besparingsskogar</t>
        </is>
      </c>
      <c r="I230" t="n">
        <v>8.300000000000001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39757-2024</t>
        </is>
      </c>
      <c r="B231" t="inlineStr">
        <is>
          <t>avverkningsanmälan</t>
        </is>
      </c>
      <c r="C231" t="inlineStr">
        <is>
          <t>Föryngringsavverkning</t>
        </is>
      </c>
      <c r="D231" s="1" t="n">
        <v>45552</v>
      </c>
      <c r="E231" s="1" t="n">
        <v>46307</v>
      </c>
      <c r="F231" t="inlineStr">
        <is>
          <t>NORRBOTTENS LÄN</t>
        </is>
      </c>
      <c r="G231" t="inlineStr">
        <is>
          <t>GÄLLIVARE</t>
        </is>
      </c>
      <c r="H231" t="inlineStr">
        <is>
          <t>Allmännings- och besparingsskogar</t>
        </is>
      </c>
      <c r="I231" t="n">
        <v>36.2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57909-2023</t>
        </is>
      </c>
      <c r="B232" t="inlineStr">
        <is>
          <t>avverkningsanmälan</t>
        </is>
      </c>
      <c r="C232" t="inlineStr">
        <is>
          <t>Avverkning för annat ändamål</t>
        </is>
      </c>
      <c r="D232" s="1" t="n">
        <v>45244</v>
      </c>
      <c r="E232" s="1" t="n">
        <v>46307</v>
      </c>
      <c r="F232" t="inlineStr">
        <is>
          <t>NORRBOTTENS LÄN</t>
        </is>
      </c>
      <c r="G232" t="inlineStr">
        <is>
          <t>GÄLLIVARE</t>
        </is>
      </c>
      <c r="H232" t="inlineStr">
        <is>
          <t>Allmännings- och besparingsskogar</t>
        </is>
      </c>
      <c r="I232" t="n">
        <v>4.5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37021-2025</t>
        </is>
      </c>
      <c r="B233" t="inlineStr">
        <is>
          <t>avverkningsanmälan</t>
        </is>
      </c>
      <c r="C233" t="inlineStr">
        <is>
          <t>Föryngringsavverkning</t>
        </is>
      </c>
      <c r="D233" s="1" t="n">
        <v>45874</v>
      </c>
      <c r="E233" s="1" t="n">
        <v>46307</v>
      </c>
      <c r="F233" t="inlineStr">
        <is>
          <t>NORRBOTTENS LÄN</t>
        </is>
      </c>
      <c r="G233" t="inlineStr">
        <is>
          <t>GÄLLIVARE</t>
        </is>
      </c>
      <c r="H233" t="inlineStr">
        <is>
          <t>Allmännings- och besparingsskogar</t>
        </is>
      </c>
      <c r="I233" t="n">
        <v>40.5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40146-2025</t>
        </is>
      </c>
      <c r="B234" t="inlineStr">
        <is>
          <t>avverkningsanmälan</t>
        </is>
      </c>
      <c r="C234" t="inlineStr">
        <is>
          <t>Avverkning för annat ändamål</t>
        </is>
      </c>
      <c r="D234" s="1" t="n">
        <v>45894</v>
      </c>
      <c r="E234" s="1" t="n">
        <v>46307</v>
      </c>
      <c r="F234" t="inlineStr">
        <is>
          <t>NORRBOTTENS LÄN</t>
        </is>
      </c>
      <c r="G234" t="inlineStr">
        <is>
          <t>GÄLLIVARE</t>
        </is>
      </c>
      <c r="H234" t="inlineStr">
        <is>
          <t>Allmännings- och besparingsskogar</t>
        </is>
      </c>
      <c r="I234" t="n">
        <v>6.6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50763-2025</t>
        </is>
      </c>
      <c r="B235" t="inlineStr">
        <is>
          <t>avverkningsanmälan</t>
        </is>
      </c>
      <c r="C235" t="inlineStr">
        <is>
          <t>Föryngringsavverkning</t>
        </is>
      </c>
      <c r="D235" s="1" t="n">
        <v>45946</v>
      </c>
      <c r="E235" s="1" t="n">
        <v>46307</v>
      </c>
      <c r="F235" t="inlineStr">
        <is>
          <t>NORRBOTTENS LÄN</t>
        </is>
      </c>
      <c r="G235" t="inlineStr">
        <is>
          <t>GÄLLIVARE</t>
        </is>
      </c>
      <c r="I235" t="n">
        <v>7.9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25467-2024</t>
        </is>
      </c>
      <c r="B236" t="inlineStr">
        <is>
          <t>avverkningsanmälan</t>
        </is>
      </c>
      <c r="C236" t="inlineStr">
        <is>
          <t>Föryngringsavverkning</t>
        </is>
      </c>
      <c r="D236" s="1" t="n">
        <v>45463</v>
      </c>
      <c r="E236" s="1" t="n">
        <v>46307</v>
      </c>
      <c r="F236" t="inlineStr">
        <is>
          <t>NORRBOTTENS LÄN</t>
        </is>
      </c>
      <c r="G236" t="inlineStr">
        <is>
          <t>GÄLLIVARE</t>
        </is>
      </c>
      <c r="I236" t="n">
        <v>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50771-2025</t>
        </is>
      </c>
      <c r="B237" t="inlineStr">
        <is>
          <t>avverkningsanmälan</t>
        </is>
      </c>
      <c r="C237" t="inlineStr">
        <is>
          <t>Föryngringsavverkning</t>
        </is>
      </c>
      <c r="D237" s="1" t="n">
        <v>45946</v>
      </c>
      <c r="E237" s="1" t="n">
        <v>46307</v>
      </c>
      <c r="F237" t="inlineStr">
        <is>
          <t>NORRBOTTENS LÄN</t>
        </is>
      </c>
      <c r="G237" t="inlineStr">
        <is>
          <t>GÄLLIVARE</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25941-2024</t>
        </is>
      </c>
      <c r="B238" t="inlineStr">
        <is>
          <t>avverkningsanmälan</t>
        </is>
      </c>
      <c r="C238" t="inlineStr">
        <is>
          <t>Föryngringsavverkning</t>
        </is>
      </c>
      <c r="D238" s="1" t="n">
        <v>45467</v>
      </c>
      <c r="E238" s="1" t="n">
        <v>46307</v>
      </c>
      <c r="F238" t="inlineStr">
        <is>
          <t>NORRBOTTENS LÄN</t>
        </is>
      </c>
      <c r="G238" t="inlineStr">
        <is>
          <t>GÄLLIVARE</t>
        </is>
      </c>
      <c r="H238" t="inlineStr">
        <is>
          <t>Allmännings- och besparingsskogar</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15373-2024</t>
        </is>
      </c>
      <c r="B239" t="inlineStr">
        <is>
          <t>avverkningsanmälan</t>
        </is>
      </c>
      <c r="C239" t="inlineStr">
        <is>
          <t>Avverkning för annat ändamål</t>
        </is>
      </c>
      <c r="D239" s="1" t="n">
        <v>45400</v>
      </c>
      <c r="E239" s="1" t="n">
        <v>46307</v>
      </c>
      <c r="F239" t="inlineStr">
        <is>
          <t>NORRBOTTENS LÄN</t>
        </is>
      </c>
      <c r="G239" t="inlineStr">
        <is>
          <t>GÄLLIVARE</t>
        </is>
      </c>
      <c r="I239" t="n">
        <v>4.1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51494-2025</t>
        </is>
      </c>
      <c r="B240" t="inlineStr">
        <is>
          <t>avverkningsanmälan</t>
        </is>
      </c>
      <c r="C240" t="inlineStr">
        <is>
          <t>Föryngringsavverkning</t>
        </is>
      </c>
      <c r="D240" s="1" t="n">
        <v>45950</v>
      </c>
      <c r="E240" s="1" t="n">
        <v>46307</v>
      </c>
      <c r="F240" t="inlineStr">
        <is>
          <t>NORRBOTTENS LÄN</t>
        </is>
      </c>
      <c r="G240" t="inlineStr">
        <is>
          <t>GÄLLIVARE</t>
        </is>
      </c>
      <c r="H240" t="inlineStr">
        <is>
          <t>SCA</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21556-2023</t>
        </is>
      </c>
      <c r="B241" t="inlineStr">
        <is>
          <t>avverkningsanmälan</t>
        </is>
      </c>
      <c r="C241" t="inlineStr">
        <is>
          <t>Avverkning för annat ändamål</t>
        </is>
      </c>
      <c r="D241" s="1" t="n">
        <v>45063</v>
      </c>
      <c r="E241" s="1" t="n">
        <v>46307</v>
      </c>
      <c r="F241" t="inlineStr">
        <is>
          <t>NORRBOTTENS LÄN</t>
        </is>
      </c>
      <c r="G241" t="inlineStr">
        <is>
          <t>GÄLLIVARE</t>
        </is>
      </c>
      <c r="I241" t="n">
        <v>6.8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17418-2024</t>
        </is>
      </c>
      <c r="B242" t="inlineStr">
        <is>
          <t>avverkningsanmälan</t>
        </is>
      </c>
      <c r="C242" t="inlineStr">
        <is>
          <t>Föryngringsavverkning</t>
        </is>
      </c>
      <c r="D242" s="1" t="n">
        <v>45414</v>
      </c>
      <c r="E242" s="1" t="n">
        <v>46307</v>
      </c>
      <c r="F242" t="inlineStr">
        <is>
          <t>NORRBOTTENS LÄN</t>
        </is>
      </c>
      <c r="G242" t="inlineStr">
        <is>
          <t>GÄLLIVARE</t>
        </is>
      </c>
      <c r="H242" t="inlineStr">
        <is>
          <t>SCA</t>
        </is>
      </c>
      <c r="I242" t="n">
        <v>48.6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28580-2025</t>
        </is>
      </c>
      <c r="B243" t="inlineStr">
        <is>
          <t>avverkningsanmälan</t>
        </is>
      </c>
      <c r="C243" t="inlineStr">
        <is>
          <t>Föryngringsavverkning</t>
        </is>
      </c>
      <c r="D243" s="1" t="n">
        <v>45819</v>
      </c>
      <c r="E243" s="1" t="n">
        <v>46307</v>
      </c>
      <c r="F243" t="inlineStr">
        <is>
          <t>NORRBOTTENS LÄN</t>
        </is>
      </c>
      <c r="G243" t="inlineStr">
        <is>
          <t>GÄLLIVARE</t>
        </is>
      </c>
      <c r="I243" t="n">
        <v>11.9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51480-2025</t>
        </is>
      </c>
      <c r="B244" t="inlineStr">
        <is>
          <t>avverkningsanmälan</t>
        </is>
      </c>
      <c r="C244" t="inlineStr">
        <is>
          <t>Föryngringsavverkning</t>
        </is>
      </c>
      <c r="D244" s="1" t="n">
        <v>45950</v>
      </c>
      <c r="E244" s="1" t="n">
        <v>46307</v>
      </c>
      <c r="F244" t="inlineStr">
        <is>
          <t>NORRBOTTENS LÄN</t>
        </is>
      </c>
      <c r="G244" t="inlineStr">
        <is>
          <t>GÄLLIVARE</t>
        </is>
      </c>
      <c r="H244" t="inlineStr">
        <is>
          <t>Naturvårdsverket</t>
        </is>
      </c>
      <c r="I244" t="n">
        <v>8.5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51524-2025</t>
        </is>
      </c>
      <c r="B245" t="inlineStr">
        <is>
          <t>avverkningsanmälan</t>
        </is>
      </c>
      <c r="C245" t="inlineStr">
        <is>
          <t>Föryngringsavverkning</t>
        </is>
      </c>
      <c r="D245" s="1" t="n">
        <v>45950</v>
      </c>
      <c r="E245" s="1" t="n">
        <v>46307</v>
      </c>
      <c r="F245" t="inlineStr">
        <is>
          <t>NORRBOTTENS LÄN</t>
        </is>
      </c>
      <c r="G245" t="inlineStr">
        <is>
          <t>GÄLLIVARE</t>
        </is>
      </c>
      <c r="I245" t="n">
        <v>5.4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35730-2023</t>
        </is>
      </c>
      <c r="B246" t="inlineStr">
        <is>
          <t>avverkningsanmälan</t>
        </is>
      </c>
      <c r="C246" t="inlineStr">
        <is>
          <t>Föryngringsavverkning</t>
        </is>
      </c>
      <c r="D246" s="1" t="n">
        <v>45147</v>
      </c>
      <c r="E246" s="1" t="n">
        <v>46307</v>
      </c>
      <c r="F246" t="inlineStr">
        <is>
          <t>NORRBOTTENS LÄN</t>
        </is>
      </c>
      <c r="G246" t="inlineStr">
        <is>
          <t>GÄLLIVARE</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35362-2023</t>
        </is>
      </c>
      <c r="B247" t="inlineStr">
        <is>
          <t>avverkningsanmälan</t>
        </is>
      </c>
      <c r="C247" t="inlineStr">
        <is>
          <t>Avverkning för annat ändamål</t>
        </is>
      </c>
      <c r="D247" s="1" t="n">
        <v>45146</v>
      </c>
      <c r="E247" s="1" t="n">
        <v>46307</v>
      </c>
      <c r="F247" t="inlineStr">
        <is>
          <t>NORRBOTTENS LÄN</t>
        </is>
      </c>
      <c r="G247" t="inlineStr">
        <is>
          <t>GÄLLIVARE</t>
        </is>
      </c>
      <c r="H247" t="inlineStr">
        <is>
          <t>Sveaskog</t>
        </is>
      </c>
      <c r="I247" t="n">
        <v>4.5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58776-2022</t>
        </is>
      </c>
      <c r="B248" t="inlineStr">
        <is>
          <t>avverkningsanmälan</t>
        </is>
      </c>
      <c r="C248" t="inlineStr">
        <is>
          <t>Föryngringsavverkning</t>
        </is>
      </c>
      <c r="D248" s="1" t="n">
        <v>44895</v>
      </c>
      <c r="E248" s="1" t="n">
        <v>46307</v>
      </c>
      <c r="F248" t="inlineStr">
        <is>
          <t>NORRBOTTENS LÄN</t>
        </is>
      </c>
      <c r="G248" t="inlineStr">
        <is>
          <t>GÄLLIVARE</t>
        </is>
      </c>
      <c r="I248" t="n">
        <v>12.1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29383-2025</t>
        </is>
      </c>
      <c r="B249" t="inlineStr">
        <is>
          <t>avverkningsanmälan</t>
        </is>
      </c>
      <c r="C249" t="inlineStr">
        <is>
          <t>Avverkning för annat ändamål</t>
        </is>
      </c>
      <c r="D249" s="1" t="n">
        <v>45824</v>
      </c>
      <c r="E249" s="1" t="n">
        <v>46307</v>
      </c>
      <c r="F249" t="inlineStr">
        <is>
          <t>NORRBOTTENS LÄN</t>
        </is>
      </c>
      <c r="G249" t="inlineStr">
        <is>
          <t>GÄLLIVARE</t>
        </is>
      </c>
      <c r="H249" t="inlineStr">
        <is>
          <t>Allmännings- och besparingsskogar</t>
        </is>
      </c>
      <c r="I249" t="n">
        <v>3.7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51454-2025</t>
        </is>
      </c>
      <c r="B250" t="inlineStr">
        <is>
          <t>avverkningsanmälan</t>
        </is>
      </c>
      <c r="C250" t="inlineStr">
        <is>
          <t>Föryngringsavverkning</t>
        </is>
      </c>
      <c r="D250" s="1" t="n">
        <v>45950</v>
      </c>
      <c r="E250" s="1" t="n">
        <v>46307</v>
      </c>
      <c r="F250" t="inlineStr">
        <is>
          <t>NORRBOTTENS LÄN</t>
        </is>
      </c>
      <c r="G250" t="inlineStr">
        <is>
          <t>GÄLLIVARE</t>
        </is>
      </c>
      <c r="H250" t="inlineStr">
        <is>
          <t>Naturvårdsverket</t>
        </is>
      </c>
      <c r="I250" t="n">
        <v>2.8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51453-2025</t>
        </is>
      </c>
      <c r="B251" t="inlineStr">
        <is>
          <t>avverkningsanmälan</t>
        </is>
      </c>
      <c r="C251" t="inlineStr">
        <is>
          <t>Föryngringsavverkning</t>
        </is>
      </c>
      <c r="D251" s="1" t="n">
        <v>45950</v>
      </c>
      <c r="E251" s="1" t="n">
        <v>46307</v>
      </c>
      <c r="F251" t="inlineStr">
        <is>
          <t>NORRBOTTENS LÄN</t>
        </is>
      </c>
      <c r="G251" t="inlineStr">
        <is>
          <t>GÄLLIVARE</t>
        </is>
      </c>
      <c r="H251" t="inlineStr">
        <is>
          <t>Naturvårdsverket</t>
        </is>
      </c>
      <c r="I251" t="n">
        <v>4.9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41873-2024</t>
        </is>
      </c>
      <c r="B252" t="inlineStr">
        <is>
          <t>avverkningsanmälan</t>
        </is>
      </c>
      <c r="C252" t="inlineStr">
        <is>
          <t>Föryngringsavverkning</t>
        </is>
      </c>
      <c r="D252" s="1" t="n">
        <v>45561</v>
      </c>
      <c r="E252" s="1" t="n">
        <v>46307</v>
      </c>
      <c r="F252" t="inlineStr">
        <is>
          <t>NORRBOTTENS LÄN</t>
        </is>
      </c>
      <c r="G252" t="inlineStr">
        <is>
          <t>GÄLLIVARE</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41917-2024</t>
        </is>
      </c>
      <c r="B253" t="inlineStr">
        <is>
          <t>avverkningsanmälan</t>
        </is>
      </c>
      <c r="C253" t="inlineStr">
        <is>
          <t>Föryngringsavverkning</t>
        </is>
      </c>
      <c r="D253" s="1" t="n">
        <v>45561</v>
      </c>
      <c r="E253" s="1" t="n">
        <v>46307</v>
      </c>
      <c r="F253" t="inlineStr">
        <is>
          <t>NORRBOTTENS LÄN</t>
        </is>
      </c>
      <c r="G253" t="inlineStr">
        <is>
          <t>GÄLLIVARE</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30305-2025</t>
        </is>
      </c>
      <c r="B254" t="inlineStr">
        <is>
          <t>avverkningsanmälan</t>
        </is>
      </c>
      <c r="C254" t="inlineStr">
        <is>
          <t>Föryngringsavverkning</t>
        </is>
      </c>
      <c r="D254" s="1" t="n">
        <v>45827</v>
      </c>
      <c r="E254" s="1" t="n">
        <v>46307</v>
      </c>
      <c r="F254" t="inlineStr">
        <is>
          <t>NORRBOTTENS LÄN</t>
        </is>
      </c>
      <c r="G254" t="inlineStr">
        <is>
          <t>GÄLLIVARE</t>
        </is>
      </c>
      <c r="H254" t="inlineStr">
        <is>
          <t>Sveaskog</t>
        </is>
      </c>
      <c r="I254" t="n">
        <v>33.6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51871-2025</t>
        </is>
      </c>
      <c r="B255" t="inlineStr">
        <is>
          <t>avverkningsanmälan</t>
        </is>
      </c>
      <c r="C255" t="inlineStr">
        <is>
          <t>Föryngringsavverkning</t>
        </is>
      </c>
      <c r="D255" s="1" t="n">
        <v>45952</v>
      </c>
      <c r="E255" s="1" t="n">
        <v>46307</v>
      </c>
      <c r="F255" t="inlineStr">
        <is>
          <t>NORRBOTTENS LÄN</t>
        </is>
      </c>
      <c r="G255" t="inlineStr">
        <is>
          <t>GÄLLIVARE</t>
        </is>
      </c>
      <c r="H255" t="inlineStr">
        <is>
          <t>SCA</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51881-2025</t>
        </is>
      </c>
      <c r="B256" t="inlineStr">
        <is>
          <t>avverkningsanmälan</t>
        </is>
      </c>
      <c r="C256" t="inlineStr">
        <is>
          <t>Föryngringsavverkning</t>
        </is>
      </c>
      <c r="D256" s="1" t="n">
        <v>45952</v>
      </c>
      <c r="E256" s="1" t="n">
        <v>46307</v>
      </c>
      <c r="F256" t="inlineStr">
        <is>
          <t>NORRBOTTENS LÄN</t>
        </is>
      </c>
      <c r="G256" t="inlineStr">
        <is>
          <t>GÄLLIVARE</t>
        </is>
      </c>
      <c r="H256" t="inlineStr">
        <is>
          <t>SCA</t>
        </is>
      </c>
      <c r="I256" t="n">
        <v>7.4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31097-2025</t>
        </is>
      </c>
      <c r="B257" t="inlineStr">
        <is>
          <t>avverkningsanmälan</t>
        </is>
      </c>
      <c r="C257" t="inlineStr">
        <is>
          <t>Föryngringsavverkning</t>
        </is>
      </c>
      <c r="D257" s="1" t="n">
        <v>45832</v>
      </c>
      <c r="E257" s="1" t="n">
        <v>46307</v>
      </c>
      <c r="F257" t="inlineStr">
        <is>
          <t>NORRBOTTENS LÄN</t>
        </is>
      </c>
      <c r="G257" t="inlineStr">
        <is>
          <t>GÄLLIVARE</t>
        </is>
      </c>
      <c r="I257" t="n">
        <v>6.6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51904-2025</t>
        </is>
      </c>
      <c r="B258" t="inlineStr">
        <is>
          <t>avverkningsanmälan</t>
        </is>
      </c>
      <c r="C258" t="inlineStr">
        <is>
          <t>Föryngringsavverkning</t>
        </is>
      </c>
      <c r="D258" s="1" t="n">
        <v>45952</v>
      </c>
      <c r="E258" s="1" t="n">
        <v>46307</v>
      </c>
      <c r="F258" t="inlineStr">
        <is>
          <t>NORRBOTTENS LÄN</t>
        </is>
      </c>
      <c r="G258" t="inlineStr">
        <is>
          <t>GÄLLIVARE</t>
        </is>
      </c>
      <c r="H258" t="inlineStr">
        <is>
          <t>SCA</t>
        </is>
      </c>
      <c r="I258" t="n">
        <v>4.4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52581-2025</t>
        </is>
      </c>
      <c r="B259" t="inlineStr">
        <is>
          <t>avverkningsanmälan</t>
        </is>
      </c>
      <c r="C259" t="inlineStr">
        <is>
          <t>Föryngringsavverkning</t>
        </is>
      </c>
      <c r="D259" s="1" t="n">
        <v>45954</v>
      </c>
      <c r="E259" s="1" t="n">
        <v>46307</v>
      </c>
      <c r="F259" t="inlineStr">
        <is>
          <t>NORRBOTTENS LÄN</t>
        </is>
      </c>
      <c r="G259" t="inlineStr">
        <is>
          <t>GÄLLIVARE</t>
        </is>
      </c>
      <c r="I259" t="n">
        <v>2.7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52574-2025</t>
        </is>
      </c>
      <c r="B260" t="inlineStr">
        <is>
          <t>avverkningsanmälan</t>
        </is>
      </c>
      <c r="C260" t="inlineStr">
        <is>
          <t>Föryngringsavverkning</t>
        </is>
      </c>
      <c r="D260" s="1" t="n">
        <v>45954</v>
      </c>
      <c r="E260" s="1" t="n">
        <v>46307</v>
      </c>
      <c r="F260" t="inlineStr">
        <is>
          <t>NORRBOTTENS LÄN</t>
        </is>
      </c>
      <c r="G260" t="inlineStr">
        <is>
          <t>GÄLLIVARE</t>
        </is>
      </c>
      <c r="I260" t="n">
        <v>22.1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52641-2025</t>
        </is>
      </c>
      <c r="B261" t="inlineStr">
        <is>
          <t>avverkningsanmälan</t>
        </is>
      </c>
      <c r="C261" t="inlineStr">
        <is>
          <t>Föryngringsavverkning</t>
        </is>
      </c>
      <c r="D261" s="1" t="n">
        <v>45955</v>
      </c>
      <c r="E261" s="1" t="n">
        <v>46307</v>
      </c>
      <c r="F261" t="inlineStr">
        <is>
          <t>NORRBOTTENS LÄN</t>
        </is>
      </c>
      <c r="G261" t="inlineStr">
        <is>
          <t>GÄLLIVARE</t>
        </is>
      </c>
      <c r="H261" t="inlineStr">
        <is>
          <t>SCA</t>
        </is>
      </c>
      <c r="I261" t="n">
        <v>3.4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52716-2025</t>
        </is>
      </c>
      <c r="B262" t="inlineStr">
        <is>
          <t>avverkningsanmälan</t>
        </is>
      </c>
      <c r="C262" t="inlineStr">
        <is>
          <t>Föryngringsavverkning</t>
        </is>
      </c>
      <c r="D262" s="1" t="n">
        <v>45957</v>
      </c>
      <c r="E262" s="1" t="n">
        <v>46307</v>
      </c>
      <c r="F262" t="inlineStr">
        <is>
          <t>NORRBOTTENS LÄN</t>
        </is>
      </c>
      <c r="G262" t="inlineStr">
        <is>
          <t>GÄLLIVARE</t>
        </is>
      </c>
      <c r="I262" t="n">
        <v>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52910-2025</t>
        </is>
      </c>
      <c r="B263" t="inlineStr">
        <is>
          <t>avverkningsanmälan</t>
        </is>
      </c>
      <c r="C263" t="inlineStr">
        <is>
          <t>Avverkning för annat ändamål</t>
        </is>
      </c>
      <c r="D263" s="1" t="n">
        <v>45957</v>
      </c>
      <c r="E263" s="1" t="n">
        <v>46307</v>
      </c>
      <c r="F263" t="inlineStr">
        <is>
          <t>NORRBOTTENS LÄN</t>
        </is>
      </c>
      <c r="G263" t="inlineStr">
        <is>
          <t>GÄLLIVARE</t>
        </is>
      </c>
      <c r="H263" t="inlineStr">
        <is>
          <t>Sveaskog</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53696-2025</t>
        </is>
      </c>
      <c r="B264" t="inlineStr">
        <is>
          <t>avverkningsanmälan</t>
        </is>
      </c>
      <c r="C264" t="inlineStr">
        <is>
          <t>Föryngringsavverkning</t>
        </is>
      </c>
      <c r="D264" s="1" t="n">
        <v>45960</v>
      </c>
      <c r="E264" s="1" t="n">
        <v>46307</v>
      </c>
      <c r="F264" t="inlineStr">
        <is>
          <t>NORRBOTTENS LÄN</t>
        </is>
      </c>
      <c r="G264" t="inlineStr">
        <is>
          <t>GÄLLIVARE</t>
        </is>
      </c>
      <c r="H264" t="inlineStr">
        <is>
          <t>Sveaskog</t>
        </is>
      </c>
      <c r="I264" t="n">
        <v>13.4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31652-2025</t>
        </is>
      </c>
      <c r="B265" t="inlineStr">
        <is>
          <t>avverkningsanmälan</t>
        </is>
      </c>
      <c r="C265" t="inlineStr">
        <is>
          <t>Föryngringsavverkning</t>
        </is>
      </c>
      <c r="D265" s="1" t="n">
        <v>45834</v>
      </c>
      <c r="E265" s="1" t="n">
        <v>46307</v>
      </c>
      <c r="F265" t="inlineStr">
        <is>
          <t>NORRBOTTENS LÄN</t>
        </is>
      </c>
      <c r="G265" t="inlineStr">
        <is>
          <t>GÄLLIVARE</t>
        </is>
      </c>
      <c r="H265" t="inlineStr">
        <is>
          <t>SCA</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64262-2023</t>
        </is>
      </c>
      <c r="B266" t="inlineStr">
        <is>
          <t>avverkningsanmälan</t>
        </is>
      </c>
      <c r="C266" t="inlineStr">
        <is>
          <t>Föryngringsavverkning</t>
        </is>
      </c>
      <c r="D266" s="1" t="n">
        <v>45279</v>
      </c>
      <c r="E266" s="1" t="n">
        <v>46307</v>
      </c>
      <c r="F266" t="inlineStr">
        <is>
          <t>NORRBOTTENS LÄN</t>
        </is>
      </c>
      <c r="G266" t="inlineStr">
        <is>
          <t>GÄLLIVARE</t>
        </is>
      </c>
      <c r="I266" t="n">
        <v>3.5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31643-2025</t>
        </is>
      </c>
      <c r="B267" t="inlineStr">
        <is>
          <t>avverkningsanmälan</t>
        </is>
      </c>
      <c r="C267" t="inlineStr">
        <is>
          <t>Föryngringsavverkning</t>
        </is>
      </c>
      <c r="D267" s="1" t="n">
        <v>45834</v>
      </c>
      <c r="E267" s="1" t="n">
        <v>46307</v>
      </c>
      <c r="F267" t="inlineStr">
        <is>
          <t>NORRBOTTENS LÄN</t>
        </is>
      </c>
      <c r="G267" t="inlineStr">
        <is>
          <t>GÄLLIVARE</t>
        </is>
      </c>
      <c r="H267" t="inlineStr">
        <is>
          <t>SCA</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31644-2025</t>
        </is>
      </c>
      <c r="B268" t="inlineStr">
        <is>
          <t>avverkningsanmälan</t>
        </is>
      </c>
      <c r="C268" t="inlineStr">
        <is>
          <t>Föryngringsavverkning</t>
        </is>
      </c>
      <c r="D268" s="1" t="n">
        <v>45834</v>
      </c>
      <c r="E268" s="1" t="n">
        <v>46307</v>
      </c>
      <c r="F268" t="inlineStr">
        <is>
          <t>NORRBOTTENS LÄN</t>
        </is>
      </c>
      <c r="G268" t="inlineStr">
        <is>
          <t>GÄLLIVARE</t>
        </is>
      </c>
      <c r="H268" t="inlineStr">
        <is>
          <t>SCA</t>
        </is>
      </c>
      <c r="I268" t="n">
        <v>2.9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31650-2025</t>
        </is>
      </c>
      <c r="B269" t="inlineStr">
        <is>
          <t>avverkningsanmälan</t>
        </is>
      </c>
      <c r="C269" t="inlineStr">
        <is>
          <t>Föryngringsavverkning</t>
        </is>
      </c>
      <c r="D269" s="1" t="n">
        <v>45834</v>
      </c>
      <c r="E269" s="1" t="n">
        <v>46307</v>
      </c>
      <c r="F269" t="inlineStr">
        <is>
          <t>NORRBOTTENS LÄN</t>
        </is>
      </c>
      <c r="G269" t="inlineStr">
        <is>
          <t>GÄLLIVARE</t>
        </is>
      </c>
      <c r="H269" t="inlineStr">
        <is>
          <t>SCA</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31430-2025</t>
        </is>
      </c>
      <c r="B270" t="inlineStr">
        <is>
          <t>avverkningsanmälan</t>
        </is>
      </c>
      <c r="C270" t="inlineStr">
        <is>
          <t>Avverkning för annat ändamål</t>
        </is>
      </c>
      <c r="D270" s="1" t="n">
        <v>45833</v>
      </c>
      <c r="E270" s="1" t="n">
        <v>46307</v>
      </c>
      <c r="F270" t="inlineStr">
        <is>
          <t>NORRBOTTENS LÄN</t>
        </is>
      </c>
      <c r="G270" t="inlineStr">
        <is>
          <t>GÄLLIVARE</t>
        </is>
      </c>
      <c r="H270" t="inlineStr">
        <is>
          <t>Sveaskog</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31553-2025</t>
        </is>
      </c>
      <c r="B271" t="inlineStr">
        <is>
          <t>avverkningsanmälan</t>
        </is>
      </c>
      <c r="C271" t="inlineStr">
        <is>
          <t>Föryngringsavverkning</t>
        </is>
      </c>
      <c r="D271" s="1" t="n">
        <v>45833</v>
      </c>
      <c r="E271" s="1" t="n">
        <v>46307</v>
      </c>
      <c r="F271" t="inlineStr">
        <is>
          <t>NORRBOTTENS LÄN</t>
        </is>
      </c>
      <c r="G271" t="inlineStr">
        <is>
          <t>GÄLLIVARE</t>
        </is>
      </c>
      <c r="H271" t="inlineStr">
        <is>
          <t>Allmännings- och besparingsskogar</t>
        </is>
      </c>
      <c r="I271" t="n">
        <v>40.8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33226-2025</t>
        </is>
      </c>
      <c r="B272" t="inlineStr">
        <is>
          <t>avverkningsanmälan</t>
        </is>
      </c>
      <c r="C272" t="inlineStr">
        <is>
          <t>Föryngringsavverkning</t>
        </is>
      </c>
      <c r="D272" s="1" t="n">
        <v>45840</v>
      </c>
      <c r="E272" s="1" t="n">
        <v>46307</v>
      </c>
      <c r="F272" t="inlineStr">
        <is>
          <t>NORRBOTTENS LÄN</t>
        </is>
      </c>
      <c r="G272" t="inlineStr">
        <is>
          <t>GÄLLIVARE</t>
        </is>
      </c>
      <c r="H272" t="inlineStr">
        <is>
          <t>SCA</t>
        </is>
      </c>
      <c r="I272" t="n">
        <v>10.8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24564-2022</t>
        </is>
      </c>
      <c r="B273" t="inlineStr">
        <is>
          <t>avverkningsanmälan</t>
        </is>
      </c>
      <c r="C273" t="inlineStr">
        <is>
          <t>Föryngringsavverkning</t>
        </is>
      </c>
      <c r="D273" s="1" t="n">
        <v>44726</v>
      </c>
      <c r="E273" s="1" t="n">
        <v>46307</v>
      </c>
      <c r="F273" t="inlineStr">
        <is>
          <t>NORRBOTTENS LÄN</t>
        </is>
      </c>
      <c r="G273" t="inlineStr">
        <is>
          <t>GÄLLIVARE</t>
        </is>
      </c>
      <c r="I273" t="n">
        <v>12.9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47239-2023</t>
        </is>
      </c>
      <c r="B274" t="inlineStr">
        <is>
          <t>avverkningsanmälan</t>
        </is>
      </c>
      <c r="C274" t="inlineStr">
        <is>
          <t>Föryngringsavverkning</t>
        </is>
      </c>
      <c r="D274" s="1" t="n">
        <v>45196</v>
      </c>
      <c r="E274" s="1" t="n">
        <v>46307</v>
      </c>
      <c r="F274" t="inlineStr">
        <is>
          <t>NORRBOTTENS LÄN</t>
        </is>
      </c>
      <c r="G274" t="inlineStr">
        <is>
          <t>GÄLLIVARE</t>
        </is>
      </c>
      <c r="H274" t="inlineStr">
        <is>
          <t>Övriga statliga verk och myndigheter</t>
        </is>
      </c>
      <c r="I274" t="n">
        <v>28.1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33307-2025</t>
        </is>
      </c>
      <c r="B275" t="inlineStr">
        <is>
          <t>avverkningsanmälan</t>
        </is>
      </c>
      <c r="C275" t="inlineStr">
        <is>
          <t>Avverkning för annat ändamål</t>
        </is>
      </c>
      <c r="D275" s="1" t="n">
        <v>45841</v>
      </c>
      <c r="E275" s="1" t="n">
        <v>46307</v>
      </c>
      <c r="F275" t="inlineStr">
        <is>
          <t>NORRBOTTENS LÄN</t>
        </is>
      </c>
      <c r="G275" t="inlineStr">
        <is>
          <t>GÄLLIVARE</t>
        </is>
      </c>
      <c r="H275" t="inlineStr">
        <is>
          <t>Sveaskog</t>
        </is>
      </c>
      <c r="I275" t="n">
        <v>2.8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8190-2025</t>
        </is>
      </c>
      <c r="B276" t="inlineStr">
        <is>
          <t>avverkningsanmälan</t>
        </is>
      </c>
      <c r="C276" t="inlineStr">
        <is>
          <t>Föryngringsavverkning</t>
        </is>
      </c>
      <c r="D276" s="1" t="n">
        <v>45708</v>
      </c>
      <c r="E276" s="1" t="n">
        <v>46307</v>
      </c>
      <c r="F276" t="inlineStr">
        <is>
          <t>NORRBOTTENS LÄN</t>
        </is>
      </c>
      <c r="G276" t="inlineStr">
        <is>
          <t>GÄLLIVARE</t>
        </is>
      </c>
      <c r="H276" t="inlineStr">
        <is>
          <t>SCA</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53821-2024</t>
        </is>
      </c>
      <c r="B277" t="inlineStr">
        <is>
          <t>avverkningsanmälan</t>
        </is>
      </c>
      <c r="C277" t="inlineStr">
        <is>
          <t>Föryngringsavverkning</t>
        </is>
      </c>
      <c r="D277" s="1" t="n">
        <v>45615</v>
      </c>
      <c r="E277" s="1" t="n">
        <v>46307</v>
      </c>
      <c r="F277" t="inlineStr">
        <is>
          <t>NORRBOTTENS LÄN</t>
        </is>
      </c>
      <c r="G277" t="inlineStr">
        <is>
          <t>GÄLLIVARE</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47162-2023</t>
        </is>
      </c>
      <c r="B278" t="inlineStr">
        <is>
          <t>avverkningsanmälan</t>
        </is>
      </c>
      <c r="C278" t="inlineStr">
        <is>
          <t>Föryngringsavverkning</t>
        </is>
      </c>
      <c r="D278" s="1" t="n">
        <v>45201</v>
      </c>
      <c r="E278" s="1" t="n">
        <v>46307</v>
      </c>
      <c r="F278" t="inlineStr">
        <is>
          <t>NORRBOTTENS LÄN</t>
        </is>
      </c>
      <c r="G278" t="inlineStr">
        <is>
          <t>GÄLLIVARE</t>
        </is>
      </c>
      <c r="H278" t="inlineStr">
        <is>
          <t>SCA</t>
        </is>
      </c>
      <c r="I278" t="n">
        <v>8.1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29140-2022</t>
        </is>
      </c>
      <c r="B279" t="inlineStr">
        <is>
          <t>avverkningsanmälan</t>
        </is>
      </c>
      <c r="C279" t="inlineStr">
        <is>
          <t>Föryngringsavverkning</t>
        </is>
      </c>
      <c r="D279" s="1" t="n">
        <v>44750</v>
      </c>
      <c r="E279" s="1" t="n">
        <v>46307</v>
      </c>
      <c r="F279" t="inlineStr">
        <is>
          <t>NORRBOTTENS LÄN</t>
        </is>
      </c>
      <c r="G279" t="inlineStr">
        <is>
          <t>GÄLLIVARE</t>
        </is>
      </c>
      <c r="I279" t="n">
        <v>13.6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34129-2025</t>
        </is>
      </c>
      <c r="B280" t="inlineStr">
        <is>
          <t>avverkningsanmälan</t>
        </is>
      </c>
      <c r="C280" t="inlineStr">
        <is>
          <t>Avverkning för annat ändamål</t>
        </is>
      </c>
      <c r="D280" s="1" t="n">
        <v>45845</v>
      </c>
      <c r="E280" s="1" t="n">
        <v>46307</v>
      </c>
      <c r="F280" t="inlineStr">
        <is>
          <t>NORRBOTTENS LÄN</t>
        </is>
      </c>
      <c r="G280" t="inlineStr">
        <is>
          <t>GÄLLIVARE</t>
        </is>
      </c>
      <c r="I280" t="n">
        <v>3.5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33980-2025</t>
        </is>
      </c>
      <c r="B281" t="inlineStr">
        <is>
          <t>avverkningsanmälan</t>
        </is>
      </c>
      <c r="C281" t="inlineStr">
        <is>
          <t>Föryngringsavverkning</t>
        </is>
      </c>
      <c r="D281" s="1" t="n">
        <v>45843</v>
      </c>
      <c r="E281" s="1" t="n">
        <v>46307</v>
      </c>
      <c r="F281" t="inlineStr">
        <is>
          <t>NORRBOTTENS LÄN</t>
        </is>
      </c>
      <c r="G281" t="inlineStr">
        <is>
          <t>GÄLLIVARE</t>
        </is>
      </c>
      <c r="H281" t="inlineStr">
        <is>
          <t>SCA</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34130-2025</t>
        </is>
      </c>
      <c r="B282" t="inlineStr">
        <is>
          <t>avverkningsanmälan</t>
        </is>
      </c>
      <c r="C282" t="inlineStr">
        <is>
          <t>Föryngringsavverkning</t>
        </is>
      </c>
      <c r="D282" s="1" t="n">
        <v>45845</v>
      </c>
      <c r="E282" s="1" t="n">
        <v>46307</v>
      </c>
      <c r="F282" t="inlineStr">
        <is>
          <t>NORRBOTTENS LÄN</t>
        </is>
      </c>
      <c r="G282" t="inlineStr">
        <is>
          <t>GÄLLIVARE</t>
        </is>
      </c>
      <c r="I282" t="n">
        <v>6.2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55780-2025</t>
        </is>
      </c>
      <c r="B283" t="inlineStr">
        <is>
          <t>avverkningsanmälan</t>
        </is>
      </c>
      <c r="C283" t="inlineStr">
        <is>
          <t>Föryngringsavverkning</t>
        </is>
      </c>
      <c r="D283" s="1" t="n">
        <v>45972</v>
      </c>
      <c r="E283" s="1" t="n">
        <v>46307</v>
      </c>
      <c r="F283" t="inlineStr">
        <is>
          <t>NORRBOTTENS LÄN</t>
        </is>
      </c>
      <c r="G283" t="inlineStr">
        <is>
          <t>GÄLLIVARE</t>
        </is>
      </c>
      <c r="H283" t="inlineStr">
        <is>
          <t>Sveaskog</t>
        </is>
      </c>
      <c r="I283" t="n">
        <v>16.8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36979-2023</t>
        </is>
      </c>
      <c r="B284" t="inlineStr">
        <is>
          <t>avverkningsanmälan</t>
        </is>
      </c>
      <c r="C284" t="inlineStr">
        <is>
          <t>Föryngringsavverkning</t>
        </is>
      </c>
      <c r="D284" s="1" t="n">
        <v>45154</v>
      </c>
      <c r="E284" s="1" t="n">
        <v>46307</v>
      </c>
      <c r="F284" t="inlineStr">
        <is>
          <t>NORRBOTTENS LÄN</t>
        </is>
      </c>
      <c r="G284" t="inlineStr">
        <is>
          <t>GÄLLIVARE</t>
        </is>
      </c>
      <c r="H284" t="inlineStr">
        <is>
          <t>SCA</t>
        </is>
      </c>
      <c r="I284" t="n">
        <v>6.5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11783-2025</t>
        </is>
      </c>
      <c r="B285" t="inlineStr">
        <is>
          <t>avverkningsanmälan</t>
        </is>
      </c>
      <c r="C285" t="inlineStr">
        <is>
          <t>Föryngringsavverkning</t>
        </is>
      </c>
      <c r="D285" s="1" t="n">
        <v>45727</v>
      </c>
      <c r="E285" s="1" t="n">
        <v>46307</v>
      </c>
      <c r="F285" t="inlineStr">
        <is>
          <t>NORRBOTTENS LÄN</t>
        </is>
      </c>
      <c r="G285" t="inlineStr">
        <is>
          <t>GÄLLIVARE</t>
        </is>
      </c>
      <c r="H285" t="inlineStr">
        <is>
          <t>SCA</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47048-2023</t>
        </is>
      </c>
      <c r="B286" t="inlineStr">
        <is>
          <t>avverkningsanmälan</t>
        </is>
      </c>
      <c r="C286" t="inlineStr">
        <is>
          <t>Föryngringsavverkning</t>
        </is>
      </c>
      <c r="D286" s="1" t="n">
        <v>45201</v>
      </c>
      <c r="E286" s="1" t="n">
        <v>46307</v>
      </c>
      <c r="F286" t="inlineStr">
        <is>
          <t>NORRBOTTENS LÄN</t>
        </is>
      </c>
      <c r="G286" t="inlineStr">
        <is>
          <t>GÄLLIVARE</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57208-2021</t>
        </is>
      </c>
      <c r="B287" t="inlineStr">
        <is>
          <t>avverkningsanmälan</t>
        </is>
      </c>
      <c r="C287" t="inlineStr">
        <is>
          <t>Föryngringsavverkning</t>
        </is>
      </c>
      <c r="D287" s="1" t="n">
        <v>44482</v>
      </c>
      <c r="E287" s="1" t="n">
        <v>46307</v>
      </c>
      <c r="F287" t="inlineStr">
        <is>
          <t>NORRBOTTENS LÄN</t>
        </is>
      </c>
      <c r="G287" t="inlineStr">
        <is>
          <t>GÄLLIVARE</t>
        </is>
      </c>
      <c r="H287" t="inlineStr">
        <is>
          <t>SCA</t>
        </is>
      </c>
      <c r="I287" t="n">
        <v>3.3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35474-2025</t>
        </is>
      </c>
      <c r="B288" t="inlineStr">
        <is>
          <t>avverkningsanmälan</t>
        </is>
      </c>
      <c r="C288" t="inlineStr">
        <is>
          <t>Föryngringsavverkning</t>
        </is>
      </c>
      <c r="D288" s="1" t="n">
        <v>45855</v>
      </c>
      <c r="E288" s="1" t="n">
        <v>46307</v>
      </c>
      <c r="F288" t="inlineStr">
        <is>
          <t>NORRBOTTENS LÄN</t>
        </is>
      </c>
      <c r="G288" t="inlineStr">
        <is>
          <t>GÄLLIVARE</t>
        </is>
      </c>
      <c r="H288" t="inlineStr">
        <is>
          <t>Allmännings- och besparingsskogar</t>
        </is>
      </c>
      <c r="I288" t="n">
        <v>28.5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35470-2025</t>
        </is>
      </c>
      <c r="B289" t="inlineStr">
        <is>
          <t>avverkningsanmälan</t>
        </is>
      </c>
      <c r="C289" t="inlineStr">
        <is>
          <t>Föryngringsavverkning</t>
        </is>
      </c>
      <c r="D289" s="1" t="n">
        <v>45855</v>
      </c>
      <c r="E289" s="1" t="n">
        <v>46307</v>
      </c>
      <c r="F289" t="inlineStr">
        <is>
          <t>NORRBOTTENS LÄN</t>
        </is>
      </c>
      <c r="G289" t="inlineStr">
        <is>
          <t>GÄLLIVARE</t>
        </is>
      </c>
      <c r="H289" t="inlineStr">
        <is>
          <t>Allmännings- och besparingsskogar</t>
        </is>
      </c>
      <c r="I289" t="n">
        <v>9.4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44982-2023</t>
        </is>
      </c>
      <c r="B290" t="inlineStr">
        <is>
          <t>avverkningsanmälan</t>
        </is>
      </c>
      <c r="C290" t="inlineStr">
        <is>
          <t>Föryngringsavverkning</t>
        </is>
      </c>
      <c r="D290" s="1" t="n">
        <v>45190</v>
      </c>
      <c r="E290" s="1" t="n">
        <v>46307</v>
      </c>
      <c r="F290" t="inlineStr">
        <is>
          <t>NORRBOTTENS LÄN</t>
        </is>
      </c>
      <c r="G290" t="inlineStr">
        <is>
          <t>GÄLLIVARE</t>
        </is>
      </c>
      <c r="H290" t="inlineStr">
        <is>
          <t>SCA</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35471-2025</t>
        </is>
      </c>
      <c r="B291" t="inlineStr">
        <is>
          <t>avverkningsanmälan</t>
        </is>
      </c>
      <c r="C291" t="inlineStr">
        <is>
          <t>Föryngringsavverkning</t>
        </is>
      </c>
      <c r="D291" s="1" t="n">
        <v>45855</v>
      </c>
      <c r="E291" s="1" t="n">
        <v>46307</v>
      </c>
      <c r="F291" t="inlineStr">
        <is>
          <t>NORRBOTTENS LÄN</t>
        </is>
      </c>
      <c r="G291" t="inlineStr">
        <is>
          <t>GÄLLIVARE</t>
        </is>
      </c>
      <c r="H291" t="inlineStr">
        <is>
          <t>Allmännings- och besparingsskogar</t>
        </is>
      </c>
      <c r="I291" t="n">
        <v>9.699999999999999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36250-2023</t>
        </is>
      </c>
      <c r="B292" t="inlineStr">
        <is>
          <t>avverkningsanmälan</t>
        </is>
      </c>
      <c r="C292" t="inlineStr">
        <is>
          <t>Föryngringsavverkning</t>
        </is>
      </c>
      <c r="D292" s="1" t="n">
        <v>45150</v>
      </c>
      <c r="E292" s="1" t="n">
        <v>46307</v>
      </c>
      <c r="F292" t="inlineStr">
        <is>
          <t>NORRBOTTENS LÄN</t>
        </is>
      </c>
      <c r="G292" t="inlineStr">
        <is>
          <t>GÄLLIVARE</t>
        </is>
      </c>
      <c r="H292" t="inlineStr">
        <is>
          <t>SCA</t>
        </is>
      </c>
      <c r="I292" t="n">
        <v>14.6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2135-2024</t>
        </is>
      </c>
      <c r="B293" t="inlineStr">
        <is>
          <t>avverkningsanmälan</t>
        </is>
      </c>
      <c r="C293" t="inlineStr">
        <is>
          <t>Föryngringsavverkning</t>
        </is>
      </c>
      <c r="D293" s="1" t="n">
        <v>45309</v>
      </c>
      <c r="E293" s="1" t="n">
        <v>46307</v>
      </c>
      <c r="F293" t="inlineStr">
        <is>
          <t>NORRBOTTENS LÄN</t>
        </is>
      </c>
      <c r="G293" t="inlineStr">
        <is>
          <t>GÄLLIVARE</t>
        </is>
      </c>
      <c r="I293" t="n">
        <v>2.7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11782-2025</t>
        </is>
      </c>
      <c r="B294" t="inlineStr">
        <is>
          <t>avverkningsanmälan</t>
        </is>
      </c>
      <c r="C294" t="inlineStr">
        <is>
          <t>Föryngringsavverkning</t>
        </is>
      </c>
      <c r="D294" s="1" t="n">
        <v>45727</v>
      </c>
      <c r="E294" s="1" t="n">
        <v>46307</v>
      </c>
      <c r="F294" t="inlineStr">
        <is>
          <t>NORRBOTTENS LÄN</t>
        </is>
      </c>
      <c r="G294" t="inlineStr">
        <is>
          <t>GÄLLIVARE</t>
        </is>
      </c>
      <c r="H294" t="inlineStr">
        <is>
          <t>SCA</t>
        </is>
      </c>
      <c r="I294" t="n">
        <v>6.8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36552-2025</t>
        </is>
      </c>
      <c r="B295" t="inlineStr">
        <is>
          <t>avverkningsanmälan</t>
        </is>
      </c>
      <c r="C295" t="inlineStr">
        <is>
          <t>Föryngringsavverkning</t>
        </is>
      </c>
      <c r="D295" s="1" t="n">
        <v>45870</v>
      </c>
      <c r="E295" s="1" t="n">
        <v>46307</v>
      </c>
      <c r="F295" t="inlineStr">
        <is>
          <t>NORRBOTTENS LÄN</t>
        </is>
      </c>
      <c r="G295" t="inlineStr">
        <is>
          <t>GÄLLIVARE</t>
        </is>
      </c>
      <c r="H295" t="inlineStr">
        <is>
          <t>SCA</t>
        </is>
      </c>
      <c r="I295" t="n">
        <v>9.4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36560-2025</t>
        </is>
      </c>
      <c r="B296" t="inlineStr">
        <is>
          <t>avverkningsanmälan</t>
        </is>
      </c>
      <c r="C296" t="inlineStr">
        <is>
          <t>Föryngringsavverkning</t>
        </is>
      </c>
      <c r="D296" s="1" t="n">
        <v>45870</v>
      </c>
      <c r="E296" s="1" t="n">
        <v>46307</v>
      </c>
      <c r="F296" t="inlineStr">
        <is>
          <t>NORRBOTTENS LÄN</t>
        </is>
      </c>
      <c r="G296" t="inlineStr">
        <is>
          <t>GÄLLIVARE</t>
        </is>
      </c>
      <c r="I296" t="n">
        <v>6.9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36568-2025</t>
        </is>
      </c>
      <c r="B297" t="inlineStr">
        <is>
          <t>avverkningsanmälan</t>
        </is>
      </c>
      <c r="C297" t="inlineStr">
        <is>
          <t>Föryngringsavverkning</t>
        </is>
      </c>
      <c r="D297" s="1" t="n">
        <v>45870</v>
      </c>
      <c r="E297" s="1" t="n">
        <v>46307</v>
      </c>
      <c r="F297" t="inlineStr">
        <is>
          <t>NORRBOTTENS LÄN</t>
        </is>
      </c>
      <c r="G297" t="inlineStr">
        <is>
          <t>GÄLLIVARE</t>
        </is>
      </c>
      <c r="H297" t="inlineStr">
        <is>
          <t>SCA</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36554-2025</t>
        </is>
      </c>
      <c r="B298" t="inlineStr">
        <is>
          <t>avverkningsanmälan</t>
        </is>
      </c>
      <c r="C298" t="inlineStr">
        <is>
          <t>Föryngringsavverkning</t>
        </is>
      </c>
      <c r="D298" s="1" t="n">
        <v>45870</v>
      </c>
      <c r="E298" s="1" t="n">
        <v>46307</v>
      </c>
      <c r="F298" t="inlineStr">
        <is>
          <t>NORRBOTTENS LÄN</t>
        </is>
      </c>
      <c r="G298" t="inlineStr">
        <is>
          <t>GÄLLIVARE</t>
        </is>
      </c>
      <c r="H298" t="inlineStr">
        <is>
          <t>SCA</t>
        </is>
      </c>
      <c r="I298" t="n">
        <v>8.1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10948-2025</t>
        </is>
      </c>
      <c r="B299" t="inlineStr">
        <is>
          <t>avverkningsanmälan</t>
        </is>
      </c>
      <c r="C299" t="inlineStr">
        <is>
          <t>Föryngringsavverkning</t>
        </is>
      </c>
      <c r="D299" s="1" t="n">
        <v>45723</v>
      </c>
      <c r="E299" s="1" t="n">
        <v>46307</v>
      </c>
      <c r="F299" t="inlineStr">
        <is>
          <t>NORRBOTTENS LÄN</t>
        </is>
      </c>
      <c r="G299" t="inlineStr">
        <is>
          <t>GÄLLIVARE</t>
        </is>
      </c>
      <c r="H299" t="inlineStr">
        <is>
          <t>SCA</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44983-2023</t>
        </is>
      </c>
      <c r="B300" t="inlineStr">
        <is>
          <t>avverkningsanmälan</t>
        </is>
      </c>
      <c r="C300" t="inlineStr">
        <is>
          <t>Föryngringsavverkning</t>
        </is>
      </c>
      <c r="D300" s="1" t="n">
        <v>45190</v>
      </c>
      <c r="E300" s="1" t="n">
        <v>46307</v>
      </c>
      <c r="F300" t="inlineStr">
        <is>
          <t>NORRBOTTENS LÄN</t>
        </is>
      </c>
      <c r="G300" t="inlineStr">
        <is>
          <t>GÄLLIVARE</t>
        </is>
      </c>
      <c r="H300" t="inlineStr">
        <is>
          <t>SCA</t>
        </is>
      </c>
      <c r="I300" t="n">
        <v>2.6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61190-2023</t>
        </is>
      </c>
      <c r="B301" t="inlineStr">
        <is>
          <t>avverkningsanmälan</t>
        </is>
      </c>
      <c r="C301" t="inlineStr">
        <is>
          <t>Föryngringsavverkning</t>
        </is>
      </c>
      <c r="D301" s="1" t="n">
        <v>45264</v>
      </c>
      <c r="E301" s="1" t="n">
        <v>46307</v>
      </c>
      <c r="F301" t="inlineStr">
        <is>
          <t>NORRBOTTENS LÄN</t>
        </is>
      </c>
      <c r="G301" t="inlineStr">
        <is>
          <t>GÄLLIVARE</t>
        </is>
      </c>
      <c r="H301" t="inlineStr">
        <is>
          <t>Sveaskog</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36868-2025</t>
        </is>
      </c>
      <c r="B302" t="inlineStr">
        <is>
          <t>avverkningsanmälan</t>
        </is>
      </c>
      <c r="C302" t="inlineStr">
        <is>
          <t>Föryngringsavverkning</t>
        </is>
      </c>
      <c r="D302" s="1" t="n">
        <v>45874</v>
      </c>
      <c r="E302" s="1" t="n">
        <v>46307</v>
      </c>
      <c r="F302" t="inlineStr">
        <is>
          <t>NORRBOTTENS LÄN</t>
        </is>
      </c>
      <c r="G302" t="inlineStr">
        <is>
          <t>GÄLLIVARE</t>
        </is>
      </c>
      <c r="H302" t="inlineStr">
        <is>
          <t>SCA</t>
        </is>
      </c>
      <c r="I302" t="n">
        <v>3.9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14975-2025</t>
        </is>
      </c>
      <c r="B303" t="inlineStr">
        <is>
          <t>avverkningsanmälan</t>
        </is>
      </c>
      <c r="C303" t="inlineStr">
        <is>
          <t>Föryngringsavverkning</t>
        </is>
      </c>
      <c r="D303" s="1" t="n">
        <v>45743</v>
      </c>
      <c r="E303" s="1" t="n">
        <v>46307</v>
      </c>
      <c r="F303" t="inlineStr">
        <is>
          <t>NORRBOTTENS LÄN</t>
        </is>
      </c>
      <c r="G303" t="inlineStr">
        <is>
          <t>GÄLLIVARE</t>
        </is>
      </c>
      <c r="H303" t="inlineStr">
        <is>
          <t>SCA</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29254-2024</t>
        </is>
      </c>
      <c r="B304" t="inlineStr">
        <is>
          <t>avverkningsanmälan</t>
        </is>
      </c>
      <c r="C304" t="inlineStr">
        <is>
          <t>Föryngringsavverkning</t>
        </is>
      </c>
      <c r="D304" s="1" t="n">
        <v>45482</v>
      </c>
      <c r="E304" s="1" t="n">
        <v>46307</v>
      </c>
      <c r="F304" t="inlineStr">
        <is>
          <t>NORRBOTTENS LÄN</t>
        </is>
      </c>
      <c r="G304" t="inlineStr">
        <is>
          <t>GÄLLIVARE</t>
        </is>
      </c>
      <c r="H304" t="inlineStr">
        <is>
          <t>SCA</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57349-2025</t>
        </is>
      </c>
      <c r="B305" t="inlineStr">
        <is>
          <t>avverkningsanmälan</t>
        </is>
      </c>
      <c r="C305" t="inlineStr">
        <is>
          <t>Föryngringsavverkning</t>
        </is>
      </c>
      <c r="D305" s="1" t="n">
        <v>45980</v>
      </c>
      <c r="E305" s="1" t="n">
        <v>46307</v>
      </c>
      <c r="F305" t="inlineStr">
        <is>
          <t>NORRBOTTENS LÄN</t>
        </is>
      </c>
      <c r="G305" t="inlineStr">
        <is>
          <t>GÄLLIVARE</t>
        </is>
      </c>
      <c r="I305" t="n">
        <v>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59172-2022</t>
        </is>
      </c>
      <c r="B306" t="inlineStr">
        <is>
          <t>avverkningsanmälan</t>
        </is>
      </c>
      <c r="C306" t="inlineStr">
        <is>
          <t>Föryngringsavverkning</t>
        </is>
      </c>
      <c r="D306" s="1" t="n">
        <v>44904</v>
      </c>
      <c r="E306" s="1" t="n">
        <v>46307</v>
      </c>
      <c r="F306" t="inlineStr">
        <is>
          <t>NORRBOTTENS LÄN</t>
        </is>
      </c>
      <c r="G306" t="inlineStr">
        <is>
          <t>GÄLLIVARE</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24457-2025</t>
        </is>
      </c>
      <c r="B307" t="inlineStr">
        <is>
          <t>avverkningsanmälan</t>
        </is>
      </c>
      <c r="C307" t="inlineStr">
        <is>
          <t>Föryngringsavverkning</t>
        </is>
      </c>
      <c r="D307" s="1" t="n">
        <v>45798</v>
      </c>
      <c r="E307" s="1" t="n">
        <v>46307</v>
      </c>
      <c r="F307" t="inlineStr">
        <is>
          <t>NORRBOTTENS LÄN</t>
        </is>
      </c>
      <c r="G307" t="inlineStr">
        <is>
          <t>GÄLLIVARE</t>
        </is>
      </c>
      <c r="H307" t="inlineStr">
        <is>
          <t>SCA</t>
        </is>
      </c>
      <c r="I307" t="n">
        <v>10.9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57353-2025</t>
        </is>
      </c>
      <c r="B308" t="inlineStr">
        <is>
          <t>avverkningsanmälan</t>
        </is>
      </c>
      <c r="C308" t="inlineStr">
        <is>
          <t>Föryngringsavverkning</t>
        </is>
      </c>
      <c r="D308" s="1" t="n">
        <v>45980</v>
      </c>
      <c r="E308" s="1" t="n">
        <v>46307</v>
      </c>
      <c r="F308" t="inlineStr">
        <is>
          <t>NORRBOTTENS LÄN</t>
        </is>
      </c>
      <c r="G308" t="inlineStr">
        <is>
          <t>GÄLLIVARE</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36790-2025</t>
        </is>
      </c>
      <c r="B309" t="inlineStr">
        <is>
          <t>avverkningsanmälan</t>
        </is>
      </c>
      <c r="C309" t="inlineStr">
        <is>
          <t>Föryngringsavverkning</t>
        </is>
      </c>
      <c r="D309" s="1" t="n">
        <v>45873</v>
      </c>
      <c r="E309" s="1" t="n">
        <v>46307</v>
      </c>
      <c r="F309" t="inlineStr">
        <is>
          <t>NORRBOTTENS LÄN</t>
        </is>
      </c>
      <c r="G309" t="inlineStr">
        <is>
          <t>GÄLLIVARE</t>
        </is>
      </c>
      <c r="H309" t="inlineStr">
        <is>
          <t>SCA</t>
        </is>
      </c>
      <c r="I309" t="n">
        <v>5.2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52887-2023</t>
        </is>
      </c>
      <c r="B310" t="inlineStr">
        <is>
          <t>avverkningsanmälan</t>
        </is>
      </c>
      <c r="C310" t="inlineStr">
        <is>
          <t>Föryngringsavverkning</t>
        </is>
      </c>
      <c r="D310" s="1" t="n">
        <v>45219</v>
      </c>
      <c r="E310" s="1" t="n">
        <v>46307</v>
      </c>
      <c r="F310" t="inlineStr">
        <is>
          <t>NORRBOTTENS LÄN</t>
        </is>
      </c>
      <c r="G310" t="inlineStr">
        <is>
          <t>GÄLLIVARE</t>
        </is>
      </c>
      <c r="H310" t="inlineStr">
        <is>
          <t>Övriga statliga verk och myndigheter</t>
        </is>
      </c>
      <c r="I310" t="n">
        <v>23.1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57367-2025</t>
        </is>
      </c>
      <c r="B311" t="inlineStr">
        <is>
          <t>avverkningsanmälan</t>
        </is>
      </c>
      <c r="C311" t="inlineStr">
        <is>
          <t>Föryngringsavverkning</t>
        </is>
      </c>
      <c r="D311" s="1" t="n">
        <v>45980</v>
      </c>
      <c r="E311" s="1" t="n">
        <v>46307</v>
      </c>
      <c r="F311" t="inlineStr">
        <is>
          <t>NORRBOTTENS LÄN</t>
        </is>
      </c>
      <c r="G311" t="inlineStr">
        <is>
          <t>GÄLLIVARE</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20259-2025</t>
        </is>
      </c>
      <c r="B312" t="inlineStr">
        <is>
          <t>avverkningsanmälan</t>
        </is>
      </c>
      <c r="C312" t="inlineStr">
        <is>
          <t>Föryngringsavverkning</t>
        </is>
      </c>
      <c r="D312" s="1" t="n">
        <v>45773</v>
      </c>
      <c r="E312" s="1" t="n">
        <v>46307</v>
      </c>
      <c r="F312" t="inlineStr">
        <is>
          <t>NORRBOTTENS LÄN</t>
        </is>
      </c>
      <c r="G312" t="inlineStr">
        <is>
          <t>GÄLLIVARE</t>
        </is>
      </c>
      <c r="H312" t="inlineStr">
        <is>
          <t>SCA</t>
        </is>
      </c>
      <c r="I312" t="n">
        <v>25.2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37652-2025</t>
        </is>
      </c>
      <c r="B313" t="inlineStr">
        <is>
          <t>avverkningsanmälan</t>
        </is>
      </c>
      <c r="C313" t="inlineStr">
        <is>
          <t>Föryngringsavverkning</t>
        </is>
      </c>
      <c r="D313" s="1" t="n">
        <v>45880</v>
      </c>
      <c r="E313" s="1" t="n">
        <v>46307</v>
      </c>
      <c r="F313" t="inlineStr">
        <is>
          <t>NORRBOTTENS LÄN</t>
        </is>
      </c>
      <c r="G313" t="inlineStr">
        <is>
          <t>GÄLLIVARE</t>
        </is>
      </c>
      <c r="H313" t="inlineStr">
        <is>
          <t>SCA</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38204-2025</t>
        </is>
      </c>
      <c r="B314" t="inlineStr">
        <is>
          <t>avverkningsanmälan</t>
        </is>
      </c>
      <c r="C314" t="inlineStr">
        <is>
          <t>Föryngringsavverkning</t>
        </is>
      </c>
      <c r="D314" s="1" t="n">
        <v>45882</v>
      </c>
      <c r="E314" s="1" t="n">
        <v>46307</v>
      </c>
      <c r="F314" t="inlineStr">
        <is>
          <t>NORRBOTTENS LÄN</t>
        </is>
      </c>
      <c r="G314" t="inlineStr">
        <is>
          <t>GÄLLIVARE</t>
        </is>
      </c>
      <c r="H314" t="inlineStr">
        <is>
          <t>SCA</t>
        </is>
      </c>
      <c r="I314" t="n">
        <v>4.2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46271-2023</t>
        </is>
      </c>
      <c r="B315" t="inlineStr">
        <is>
          <t>avverkningsanmälan</t>
        </is>
      </c>
      <c r="C315" t="inlineStr">
        <is>
          <t>Föryngringsavverkning</t>
        </is>
      </c>
      <c r="D315" s="1" t="n">
        <v>45196</v>
      </c>
      <c r="E315" s="1" t="n">
        <v>46307</v>
      </c>
      <c r="F315" t="inlineStr">
        <is>
          <t>NORRBOTTENS LÄN</t>
        </is>
      </c>
      <c r="G315" t="inlineStr">
        <is>
          <t>GÄLLIVARE</t>
        </is>
      </c>
      <c r="H315" t="inlineStr">
        <is>
          <t>SCA</t>
        </is>
      </c>
      <c r="I315" t="n">
        <v>4.7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37961-2025</t>
        </is>
      </c>
      <c r="B316" t="inlineStr">
        <is>
          <t>avverkningsanmälan</t>
        </is>
      </c>
      <c r="C316" t="inlineStr">
        <is>
          <t>Föryngringsavverkning</t>
        </is>
      </c>
      <c r="D316" s="1" t="n">
        <v>45881</v>
      </c>
      <c r="E316" s="1" t="n">
        <v>46307</v>
      </c>
      <c r="F316" t="inlineStr">
        <is>
          <t>NORRBOTTENS LÄN</t>
        </is>
      </c>
      <c r="G316" t="inlineStr">
        <is>
          <t>GÄLLIVARE</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38049-2025</t>
        </is>
      </c>
      <c r="B317" t="inlineStr">
        <is>
          <t>avverkningsanmälan</t>
        </is>
      </c>
      <c r="C317" t="inlineStr">
        <is>
          <t>Föryngringsavverkning</t>
        </is>
      </c>
      <c r="D317" s="1" t="n">
        <v>45882</v>
      </c>
      <c r="E317" s="1" t="n">
        <v>46307</v>
      </c>
      <c r="F317" t="inlineStr">
        <is>
          <t>NORRBOTTENS LÄN</t>
        </is>
      </c>
      <c r="G317" t="inlineStr">
        <is>
          <t>GÄLLIVARE</t>
        </is>
      </c>
      <c r="H317" t="inlineStr">
        <is>
          <t>SCA</t>
        </is>
      </c>
      <c r="I317" t="n">
        <v>11.2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14666-2025</t>
        </is>
      </c>
      <c r="B318" t="inlineStr">
        <is>
          <t>avverkningsanmälan</t>
        </is>
      </c>
      <c r="C318" t="inlineStr">
        <is>
          <t>Föryngringsavverkning</t>
        </is>
      </c>
      <c r="D318" s="1" t="n">
        <v>45742</v>
      </c>
      <c r="E318" s="1" t="n">
        <v>46307</v>
      </c>
      <c r="F318" t="inlineStr">
        <is>
          <t>NORRBOTTENS LÄN</t>
        </is>
      </c>
      <c r="G318" t="inlineStr">
        <is>
          <t>GÄLLIVARE</t>
        </is>
      </c>
      <c r="I318" t="n">
        <v>3.7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14628-2026</t>
        </is>
      </c>
      <c r="B319" t="inlineStr">
        <is>
          <t>avverkningsanmälan</t>
        </is>
      </c>
      <c r="C319" t="inlineStr">
        <is>
          <t>Föryngringsavverkning</t>
        </is>
      </c>
      <c r="D319" s="1" t="n">
        <v>46101</v>
      </c>
      <c r="E319" s="1" t="n">
        <v>46307</v>
      </c>
      <c r="F319" t="inlineStr">
        <is>
          <t>NORRBOTTENS LÄN</t>
        </is>
      </c>
      <c r="G319" t="inlineStr">
        <is>
          <t>GÄLLIVARE</t>
        </is>
      </c>
      <c r="I319" t="n">
        <v>5.2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838-2025</t>
        </is>
      </c>
      <c r="B320" t="inlineStr">
        <is>
          <t>avverkningsanmälan</t>
        </is>
      </c>
      <c r="C320" t="inlineStr">
        <is>
          <t>Föryngringsavverkning</t>
        </is>
      </c>
      <c r="D320" s="1" t="n">
        <v>45665</v>
      </c>
      <c r="E320" s="1" t="n">
        <v>46307</v>
      </c>
      <c r="F320" t="inlineStr">
        <is>
          <t>NORRBOTTENS LÄN</t>
        </is>
      </c>
      <c r="G320" t="inlineStr">
        <is>
          <t>GÄLLIVARE</t>
        </is>
      </c>
      <c r="H320" t="inlineStr">
        <is>
          <t>Sveaskog</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58255-2025</t>
        </is>
      </c>
      <c r="B321" t="inlineStr">
        <is>
          <t>avverkningsanmälan</t>
        </is>
      </c>
      <c r="C321" t="inlineStr">
        <is>
          <t>Föryngringsavverkning</t>
        </is>
      </c>
      <c r="D321" s="1" t="n">
        <v>45985</v>
      </c>
      <c r="E321" s="1" t="n">
        <v>46307</v>
      </c>
      <c r="F321" t="inlineStr">
        <is>
          <t>NORRBOTTENS LÄN</t>
        </is>
      </c>
      <c r="G321" t="inlineStr">
        <is>
          <t>GÄLLIVARE</t>
        </is>
      </c>
      <c r="H321" t="inlineStr">
        <is>
          <t>Sveaskog</t>
        </is>
      </c>
      <c r="I321" t="n">
        <v>28.9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14389-2026</t>
        </is>
      </c>
      <c r="B322" t="inlineStr">
        <is>
          <t>avverkningsanmälan</t>
        </is>
      </c>
      <c r="C322" t="inlineStr">
        <is>
          <t>Föryngringsavverkning</t>
        </is>
      </c>
      <c r="D322" s="1" t="n">
        <v>46100</v>
      </c>
      <c r="E322" s="1" t="n">
        <v>46307</v>
      </c>
      <c r="F322" t="inlineStr">
        <is>
          <t>NORRBOTTENS LÄN</t>
        </is>
      </c>
      <c r="G322" t="inlineStr">
        <is>
          <t>GÄLLIVARE</t>
        </is>
      </c>
      <c r="H322" t="inlineStr">
        <is>
          <t>SCA</t>
        </is>
      </c>
      <c r="I322" t="n">
        <v>4.3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58688-2025</t>
        </is>
      </c>
      <c r="B323" t="inlineStr">
        <is>
          <t>avverkningsanmälan</t>
        </is>
      </c>
      <c r="C323" t="inlineStr">
        <is>
          <t>Föryngringsavverkning</t>
        </is>
      </c>
      <c r="D323" s="1" t="n">
        <v>45986</v>
      </c>
      <c r="E323" s="1" t="n">
        <v>46307</v>
      </c>
      <c r="F323" t="inlineStr">
        <is>
          <t>NORRBOTTENS LÄN</t>
        </is>
      </c>
      <c r="G323" t="inlineStr">
        <is>
          <t>GÄLLIVARE</t>
        </is>
      </c>
      <c r="H323" t="inlineStr">
        <is>
          <t>SCA</t>
        </is>
      </c>
      <c r="I323" t="n">
        <v>4.7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14818-2026</t>
        </is>
      </c>
      <c r="B324" t="inlineStr">
        <is>
          <t>avverkningsanmälan</t>
        </is>
      </c>
      <c r="C324" t="inlineStr">
        <is>
          <t>Föryngringsavverkning</t>
        </is>
      </c>
      <c r="D324" s="1" t="n">
        <v>46104</v>
      </c>
      <c r="E324" s="1" t="n">
        <v>46307</v>
      </c>
      <c r="F324" t="inlineStr">
        <is>
          <t>NORRBOTTENS LÄN</t>
        </is>
      </c>
      <c r="G324" t="inlineStr">
        <is>
          <t>GÄLLIVARE</t>
        </is>
      </c>
      <c r="H324" t="inlineStr">
        <is>
          <t>SCA</t>
        </is>
      </c>
      <c r="I324" t="n">
        <v>6.2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42612-2023</t>
        </is>
      </c>
      <c r="B325" t="inlineStr">
        <is>
          <t>avverkningsanmälan</t>
        </is>
      </c>
      <c r="C325" t="inlineStr">
        <is>
          <t>Föryngringsavverkning</t>
        </is>
      </c>
      <c r="D325" s="1" t="n">
        <v>45176</v>
      </c>
      <c r="E325" s="1" t="n">
        <v>46307</v>
      </c>
      <c r="F325" t="inlineStr">
        <is>
          <t>NORRBOTTENS LÄN</t>
        </is>
      </c>
      <c r="G325" t="inlineStr">
        <is>
          <t>GÄLLIVARE</t>
        </is>
      </c>
      <c r="I325" t="n">
        <v>3.9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16068-2023</t>
        </is>
      </c>
      <c r="B326" t="inlineStr">
        <is>
          <t>avverkningsanmälan</t>
        </is>
      </c>
      <c r="C326" t="inlineStr">
        <is>
          <t>Föryngringsavverkning</t>
        </is>
      </c>
      <c r="D326" s="1" t="n">
        <v>45027</v>
      </c>
      <c r="E326" s="1" t="n">
        <v>46307</v>
      </c>
      <c r="F326" t="inlineStr">
        <is>
          <t>NORRBOTTENS LÄN</t>
        </is>
      </c>
      <c r="G326" t="inlineStr">
        <is>
          <t>GÄLLIVARE</t>
        </is>
      </c>
      <c r="I326" t="n">
        <v>4.1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6459-2023</t>
        </is>
      </c>
      <c r="B327" t="inlineStr">
        <is>
          <t>avverkningsanmälan</t>
        </is>
      </c>
      <c r="C327" t="inlineStr">
        <is>
          <t>Föryngringsavverkning</t>
        </is>
      </c>
      <c r="D327" s="1" t="n">
        <v>44965</v>
      </c>
      <c r="E327" s="1" t="n">
        <v>46307</v>
      </c>
      <c r="F327" t="inlineStr">
        <is>
          <t>NORRBOTTENS LÄN</t>
        </is>
      </c>
      <c r="G327" t="inlineStr">
        <is>
          <t>GÄLLIVARE</t>
        </is>
      </c>
      <c r="H327" t="inlineStr">
        <is>
          <t>SCA</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17030-2026</t>
        </is>
      </c>
      <c r="B328" t="inlineStr">
        <is>
          <t>avverkningsanmälan</t>
        </is>
      </c>
      <c r="C328" t="inlineStr">
        <is>
          <t>Föryngringsavverkning</t>
        </is>
      </c>
      <c r="D328" s="1" t="n">
        <v>46114</v>
      </c>
      <c r="E328" s="1" t="n">
        <v>46307</v>
      </c>
      <c r="F328" t="inlineStr">
        <is>
          <t>NORRBOTTENS LÄN</t>
        </is>
      </c>
      <c r="G328" t="inlineStr">
        <is>
          <t>GÄLLIVARE</t>
        </is>
      </c>
      <c r="H328" t="inlineStr">
        <is>
          <t>SCA</t>
        </is>
      </c>
      <c r="I328" t="n">
        <v>3.4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17315-2026</t>
        </is>
      </c>
      <c r="B329" t="inlineStr">
        <is>
          <t>avverkningsanmälan</t>
        </is>
      </c>
      <c r="C329" t="inlineStr">
        <is>
          <t>Föryngringsavverkning</t>
        </is>
      </c>
      <c r="D329" s="1" t="n">
        <v>46119</v>
      </c>
      <c r="E329" s="1" t="n">
        <v>46307</v>
      </c>
      <c r="F329" t="inlineStr">
        <is>
          <t>NORRBOTTENS LÄN</t>
        </is>
      </c>
      <c r="G329" t="inlineStr">
        <is>
          <t>GÄLLIVARE</t>
        </is>
      </c>
      <c r="H329" t="inlineStr">
        <is>
          <t>SCA</t>
        </is>
      </c>
      <c r="I329" t="n">
        <v>23.8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17779-2026</t>
        </is>
      </c>
      <c r="B330" t="inlineStr">
        <is>
          <t>avverkningsanmälan</t>
        </is>
      </c>
      <c r="C330" t="inlineStr">
        <is>
          <t>Föryngringsavverkning</t>
        </is>
      </c>
      <c r="D330" s="1" t="n">
        <v>46122</v>
      </c>
      <c r="E330" s="1" t="n">
        <v>46307</v>
      </c>
      <c r="F330" t="inlineStr">
        <is>
          <t>NORRBOTTENS LÄN</t>
        </is>
      </c>
      <c r="G330" t="inlineStr">
        <is>
          <t>GÄLLIVARE</t>
        </is>
      </c>
      <c r="I330" t="n">
        <v>4.2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18512-2026</t>
        </is>
      </c>
      <c r="B331" t="inlineStr">
        <is>
          <t>avverkningsanmälan</t>
        </is>
      </c>
      <c r="C331" t="inlineStr">
        <is>
          <t>Föryngringsavverkning</t>
        </is>
      </c>
      <c r="D331" s="1" t="n">
        <v>46127</v>
      </c>
      <c r="E331" s="1" t="n">
        <v>46307</v>
      </c>
      <c r="F331" t="inlineStr">
        <is>
          <t>NORRBOTTENS LÄN</t>
        </is>
      </c>
      <c r="G331" t="inlineStr">
        <is>
          <t>GÄLLIVARE</t>
        </is>
      </c>
      <c r="H331" t="inlineStr">
        <is>
          <t>SCA</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60863-2025</t>
        </is>
      </c>
      <c r="B332" t="inlineStr">
        <is>
          <t>avverkningsanmälan</t>
        </is>
      </c>
      <c r="C332" t="inlineStr">
        <is>
          <t>Föryngringsavverkning</t>
        </is>
      </c>
      <c r="D332" s="1" t="n">
        <v>45999</v>
      </c>
      <c r="E332" s="1" t="n">
        <v>46307</v>
      </c>
      <c r="F332" t="inlineStr">
        <is>
          <t>NORRBOTTENS LÄN</t>
        </is>
      </c>
      <c r="G332" t="inlineStr">
        <is>
          <t>GÄLLIVARE</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60982-2025</t>
        </is>
      </c>
      <c r="B333" t="inlineStr">
        <is>
          <t>avverkningsanmälan</t>
        </is>
      </c>
      <c r="C333" t="inlineStr">
        <is>
          <t>Föryngringsavverkning</t>
        </is>
      </c>
      <c r="D333" s="1" t="n">
        <v>45999</v>
      </c>
      <c r="E333" s="1" t="n">
        <v>46307</v>
      </c>
      <c r="F333" t="inlineStr">
        <is>
          <t>NORRBOTTENS LÄN</t>
        </is>
      </c>
      <c r="G333" t="inlineStr">
        <is>
          <t>GÄLLIVARE</t>
        </is>
      </c>
      <c r="I333" t="n">
        <v>2.5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60857-2025</t>
        </is>
      </c>
      <c r="B334" t="inlineStr">
        <is>
          <t>avverkningsanmälan</t>
        </is>
      </c>
      <c r="C334" t="inlineStr">
        <is>
          <t>Föryngringsavverkning</t>
        </is>
      </c>
      <c r="D334" s="1" t="n">
        <v>45999</v>
      </c>
      <c r="E334" s="1" t="n">
        <v>46307</v>
      </c>
      <c r="F334" t="inlineStr">
        <is>
          <t>NORRBOTTENS LÄN</t>
        </is>
      </c>
      <c r="G334" t="inlineStr">
        <is>
          <t>GÄLLIVARE</t>
        </is>
      </c>
      <c r="I334" t="n">
        <v>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60845-2025</t>
        </is>
      </c>
      <c r="B335" t="inlineStr">
        <is>
          <t>avverkningsanmälan</t>
        </is>
      </c>
      <c r="C335" t="inlineStr">
        <is>
          <t>Föryngringsavverkning</t>
        </is>
      </c>
      <c r="D335" s="1" t="n">
        <v>45999</v>
      </c>
      <c r="E335" s="1" t="n">
        <v>46307</v>
      </c>
      <c r="F335" t="inlineStr">
        <is>
          <t>NORRBOTTENS LÄN</t>
        </is>
      </c>
      <c r="G335" t="inlineStr">
        <is>
          <t>GÄLLIVARE</t>
        </is>
      </c>
      <c r="I335" t="n">
        <v>41.3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60923-2025</t>
        </is>
      </c>
      <c r="B336" t="inlineStr">
        <is>
          <t>avverkningsanmälan</t>
        </is>
      </c>
      <c r="C336" t="inlineStr">
        <is>
          <t>Föryngringsavverkning</t>
        </is>
      </c>
      <c r="D336" s="1" t="n">
        <v>45999</v>
      </c>
      <c r="E336" s="1" t="n">
        <v>46307</v>
      </c>
      <c r="F336" t="inlineStr">
        <is>
          <t>NORRBOTTENS LÄN</t>
        </is>
      </c>
      <c r="G336" t="inlineStr">
        <is>
          <t>GÄLLIVARE</t>
        </is>
      </c>
      <c r="I336" t="n">
        <v>25.5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61668-2025</t>
        </is>
      </c>
      <c r="B337" t="inlineStr">
        <is>
          <t>avverkningsanmälan</t>
        </is>
      </c>
      <c r="C337" t="inlineStr">
        <is>
          <t>Föryngringsavverkning</t>
        </is>
      </c>
      <c r="D337" s="1" t="n">
        <v>46002</v>
      </c>
      <c r="E337" s="1" t="n">
        <v>46307</v>
      </c>
      <c r="F337" t="inlineStr">
        <is>
          <t>NORRBOTTENS LÄN</t>
        </is>
      </c>
      <c r="G337" t="inlineStr">
        <is>
          <t>GÄLLIVARE</t>
        </is>
      </c>
      <c r="I337" t="n">
        <v>13.6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18403-2026</t>
        </is>
      </c>
      <c r="B338" t="inlineStr">
        <is>
          <t>avverkningsanmälan</t>
        </is>
      </c>
      <c r="C338" t="inlineStr">
        <is>
          <t>Föryngringsavverkning</t>
        </is>
      </c>
      <c r="D338" s="1" t="n">
        <v>46126</v>
      </c>
      <c r="E338" s="1" t="n">
        <v>46307</v>
      </c>
      <c r="F338" t="inlineStr">
        <is>
          <t>NORRBOTTENS LÄN</t>
        </is>
      </c>
      <c r="G338" t="inlineStr">
        <is>
          <t>GÄLLIVARE</t>
        </is>
      </c>
      <c r="I338" t="n">
        <v>17.4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61352-2025</t>
        </is>
      </c>
      <c r="B339" t="inlineStr">
        <is>
          <t>avverkningsanmälan</t>
        </is>
      </c>
      <c r="C339" t="inlineStr">
        <is>
          <t>Föryngringsavverkning</t>
        </is>
      </c>
      <c r="D339" s="1" t="n">
        <v>46001</v>
      </c>
      <c r="E339" s="1" t="n">
        <v>46307</v>
      </c>
      <c r="F339" t="inlineStr">
        <is>
          <t>NORRBOTTENS LÄN</t>
        </is>
      </c>
      <c r="G339" t="inlineStr">
        <is>
          <t>GÄLLIVARE</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63155-2021</t>
        </is>
      </c>
      <c r="B340" t="inlineStr">
        <is>
          <t>avverkningsanmälan</t>
        </is>
      </c>
      <c r="C340" t="inlineStr">
        <is>
          <t>Föryngringsavverkning</t>
        </is>
      </c>
      <c r="D340" s="1" t="n">
        <v>44505</v>
      </c>
      <c r="E340" s="1" t="n">
        <v>46307</v>
      </c>
      <c r="F340" t="inlineStr">
        <is>
          <t>NORRBOTTENS LÄN</t>
        </is>
      </c>
      <c r="G340" t="inlineStr">
        <is>
          <t>GÄLLIVARE</t>
        </is>
      </c>
      <c r="H340" t="inlineStr">
        <is>
          <t>SCA</t>
        </is>
      </c>
      <c r="I340" t="n">
        <v>3.8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19683-2026</t>
        </is>
      </c>
      <c r="B341" t="inlineStr">
        <is>
          <t>avverkningsanmälan</t>
        </is>
      </c>
      <c r="C341" t="inlineStr">
        <is>
          <t>Föryngringsavverkning</t>
        </is>
      </c>
      <c r="D341" s="1" t="n">
        <v>46134</v>
      </c>
      <c r="E341" s="1" t="n">
        <v>46307</v>
      </c>
      <c r="F341" t="inlineStr">
        <is>
          <t>NORRBOTTENS LÄN</t>
        </is>
      </c>
      <c r="G341" t="inlineStr">
        <is>
          <t>GÄLLIVARE</t>
        </is>
      </c>
      <c r="H341" t="inlineStr">
        <is>
          <t>SCA</t>
        </is>
      </c>
      <c r="I341" t="n">
        <v>7.3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6271-2024</t>
        </is>
      </c>
      <c r="B342" t="inlineStr">
        <is>
          <t>avverkningsanmälan</t>
        </is>
      </c>
      <c r="C342" t="inlineStr">
        <is>
          <t>Föryngringsavverkning</t>
        </is>
      </c>
      <c r="D342" s="1" t="n">
        <v>45337</v>
      </c>
      <c r="E342" s="1" t="n">
        <v>46307</v>
      </c>
      <c r="F342" t="inlineStr">
        <is>
          <t>NORRBOTTENS LÄN</t>
        </is>
      </c>
      <c r="G342" t="inlineStr">
        <is>
          <t>GÄLLIVARE</t>
        </is>
      </c>
      <c r="I342" t="n">
        <v>14.7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6272-2024</t>
        </is>
      </c>
      <c r="B343" t="inlineStr">
        <is>
          <t>avverkningsanmälan</t>
        </is>
      </c>
      <c r="C343" t="inlineStr">
        <is>
          <t>Föryngringsavverkning</t>
        </is>
      </c>
      <c r="D343" s="1" t="n">
        <v>45337</v>
      </c>
      <c r="E343" s="1" t="n">
        <v>46307</v>
      </c>
      <c r="F343" t="inlineStr">
        <is>
          <t>NORRBOTTENS LÄN</t>
        </is>
      </c>
      <c r="G343" t="inlineStr">
        <is>
          <t>GÄLLIVARE</t>
        </is>
      </c>
      <c r="I343" t="n">
        <v>5.3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19573-2026</t>
        </is>
      </c>
      <c r="B344" t="inlineStr">
        <is>
          <t>avverkningsanmälan</t>
        </is>
      </c>
      <c r="C344" t="inlineStr">
        <is>
          <t>Föryngringsavverkning</t>
        </is>
      </c>
      <c r="D344" s="1" t="n">
        <v>46134</v>
      </c>
      <c r="E344" s="1" t="n">
        <v>46307</v>
      </c>
      <c r="F344" t="inlineStr">
        <is>
          <t>NORRBOTTENS LÄN</t>
        </is>
      </c>
      <c r="G344" t="inlineStr">
        <is>
          <t>GÄLLIVARE</t>
        </is>
      </c>
      <c r="H344" t="inlineStr">
        <is>
          <t>SCA</t>
        </is>
      </c>
      <c r="I344" t="n">
        <v>16.8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53785-2022</t>
        </is>
      </c>
      <c r="B345" t="inlineStr">
        <is>
          <t>avverkningsanmälan</t>
        </is>
      </c>
      <c r="C345" t="inlineStr">
        <is>
          <t>Föryngringsavverkning</t>
        </is>
      </c>
      <c r="D345" s="1" t="n">
        <v>44875</v>
      </c>
      <c r="E345" s="1" t="n">
        <v>46307</v>
      </c>
      <c r="F345" t="inlineStr">
        <is>
          <t>NORRBOTTENS LÄN</t>
        </is>
      </c>
      <c r="G345" t="inlineStr">
        <is>
          <t>GÄLLIVARE</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61916-2025</t>
        </is>
      </c>
      <c r="B346" t="inlineStr">
        <is>
          <t>avverkningsanmälan</t>
        </is>
      </c>
      <c r="C346" t="inlineStr">
        <is>
          <t>Föryngringsavverkning</t>
        </is>
      </c>
      <c r="D346" s="1" t="n">
        <v>46003</v>
      </c>
      <c r="E346" s="1" t="n">
        <v>46307</v>
      </c>
      <c r="F346" t="inlineStr">
        <is>
          <t>NORRBOTTENS LÄN</t>
        </is>
      </c>
      <c r="G346" t="inlineStr">
        <is>
          <t>GÄLLIVARE</t>
        </is>
      </c>
      <c r="I346" t="n">
        <v>91.90000000000001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19381-2026</t>
        </is>
      </c>
      <c r="B347" t="inlineStr">
        <is>
          <t>avverkningsanmälan</t>
        </is>
      </c>
      <c r="C347" t="inlineStr">
        <is>
          <t>Föryngringsavverkning</t>
        </is>
      </c>
      <c r="D347" s="1" t="n">
        <v>46133</v>
      </c>
      <c r="E347" s="1" t="n">
        <v>46307</v>
      </c>
      <c r="F347" t="inlineStr">
        <is>
          <t>NORRBOTTENS LÄN</t>
        </is>
      </c>
      <c r="G347" t="inlineStr">
        <is>
          <t>GÄLLIVARE</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4135-2022</t>
        </is>
      </c>
      <c r="B348" t="inlineStr">
        <is>
          <t>avverkningsanmälan</t>
        </is>
      </c>
      <c r="C348" t="inlineStr">
        <is>
          <t>Föryngringsavverkning</t>
        </is>
      </c>
      <c r="D348" s="1" t="n">
        <v>44588</v>
      </c>
      <c r="E348" s="1" t="n">
        <v>46307</v>
      </c>
      <c r="F348" t="inlineStr">
        <is>
          <t>NORRBOTTENS LÄN</t>
        </is>
      </c>
      <c r="G348" t="inlineStr">
        <is>
          <t>GÄLLIVARE</t>
        </is>
      </c>
      <c r="I348" t="n">
        <v>2.8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10652-2022</t>
        </is>
      </c>
      <c r="B349" t="inlineStr">
        <is>
          <t>avverkningsanmälan</t>
        </is>
      </c>
      <c r="C349" t="inlineStr">
        <is>
          <t>Avverkning för annat ändamål</t>
        </is>
      </c>
      <c r="D349" s="1" t="n">
        <v>44624</v>
      </c>
      <c r="E349" s="1" t="n">
        <v>46307</v>
      </c>
      <c r="F349" t="inlineStr">
        <is>
          <t>NORRBOTTENS LÄN</t>
        </is>
      </c>
      <c r="G349" t="inlineStr">
        <is>
          <t>GÄLLIVARE</t>
        </is>
      </c>
      <c r="I349" t="n">
        <v>7.9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2244-2023</t>
        </is>
      </c>
      <c r="B350" t="inlineStr">
        <is>
          <t>avverkningsanmälan</t>
        </is>
      </c>
      <c r="C350" t="inlineStr">
        <is>
          <t>Föryngringsavverkning</t>
        </is>
      </c>
      <c r="D350" s="1" t="n">
        <v>44942</v>
      </c>
      <c r="E350" s="1" t="n">
        <v>46307</v>
      </c>
      <c r="F350" t="inlineStr">
        <is>
          <t>NORRBOTTENS LÄN</t>
        </is>
      </c>
      <c r="G350" t="inlineStr">
        <is>
          <t>GÄLLIVARE</t>
        </is>
      </c>
      <c r="I350" t="n">
        <v>21.1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62677-2025</t>
        </is>
      </c>
      <c r="B351" t="inlineStr">
        <is>
          <t>avverkningsanmälan</t>
        </is>
      </c>
      <c r="C351" t="inlineStr">
        <is>
          <t>Föryngringsavverkning</t>
        </is>
      </c>
      <c r="D351" s="1" t="n">
        <v>46008</v>
      </c>
      <c r="E351" s="1" t="n">
        <v>46307</v>
      </c>
      <c r="F351" t="inlineStr">
        <is>
          <t>NORRBOTTENS LÄN</t>
        </is>
      </c>
      <c r="G351" t="inlineStr">
        <is>
          <t>GÄLLIVARE</t>
        </is>
      </c>
      <c r="I351" t="n">
        <v>10.7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2276-2023</t>
        </is>
      </c>
      <c r="B352" t="inlineStr">
        <is>
          <t>avverkningsanmälan</t>
        </is>
      </c>
      <c r="C352" t="inlineStr">
        <is>
          <t>Föryngringsavverkning</t>
        </is>
      </c>
      <c r="D352" s="1" t="n">
        <v>44942</v>
      </c>
      <c r="E352" s="1" t="n">
        <v>46307</v>
      </c>
      <c r="F352" t="inlineStr">
        <is>
          <t>NORRBOTTENS LÄN</t>
        </is>
      </c>
      <c r="G352" t="inlineStr">
        <is>
          <t>GÄLLIVARE</t>
        </is>
      </c>
      <c r="I352" t="n">
        <v>2.8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62923-2025</t>
        </is>
      </c>
      <c r="B353" t="inlineStr">
        <is>
          <t>avverkningsanmälan</t>
        </is>
      </c>
      <c r="C353" t="inlineStr">
        <is>
          <t>Föryngringsavverkning</t>
        </is>
      </c>
      <c r="D353" s="1" t="n">
        <v>46008</v>
      </c>
      <c r="E353" s="1" t="n">
        <v>46307</v>
      </c>
      <c r="F353" t="inlineStr">
        <is>
          <t>NORRBOTTENS LÄN</t>
        </is>
      </c>
      <c r="G353" t="inlineStr">
        <is>
          <t>GÄLLIVARE</t>
        </is>
      </c>
      <c r="I353" t="n">
        <v>3.8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41927-2024</t>
        </is>
      </c>
      <c r="B354" t="inlineStr">
        <is>
          <t>avverkningsanmälan</t>
        </is>
      </c>
      <c r="C354" t="inlineStr">
        <is>
          <t>Föryngringsavverkning</t>
        </is>
      </c>
      <c r="D354" s="1" t="n">
        <v>45561</v>
      </c>
      <c r="E354" s="1" t="n">
        <v>46307</v>
      </c>
      <c r="F354" t="inlineStr">
        <is>
          <t>NORRBOTTENS LÄN</t>
        </is>
      </c>
      <c r="G354" t="inlineStr">
        <is>
          <t>GÄLLIVARE</t>
        </is>
      </c>
      <c r="I354" t="n">
        <v>11.2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63551-2025</t>
        </is>
      </c>
      <c r="B355" t="inlineStr">
        <is>
          <t>avverkningsanmälan</t>
        </is>
      </c>
      <c r="C355" t="inlineStr">
        <is>
          <t>Föryngringsavverkning</t>
        </is>
      </c>
      <c r="D355" s="1" t="n">
        <v>46013</v>
      </c>
      <c r="E355" s="1" t="n">
        <v>46307</v>
      </c>
      <c r="F355" t="inlineStr">
        <is>
          <t>NORRBOTTENS LÄN</t>
        </is>
      </c>
      <c r="G355" t="inlineStr">
        <is>
          <t>GÄLLIVARE</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63523-2025</t>
        </is>
      </c>
      <c r="B356" t="inlineStr">
        <is>
          <t>avverkningsanmälan</t>
        </is>
      </c>
      <c r="C356" t="inlineStr">
        <is>
          <t>Föryngringsavverkning</t>
        </is>
      </c>
      <c r="D356" s="1" t="n">
        <v>46013</v>
      </c>
      <c r="E356" s="1" t="n">
        <v>46307</v>
      </c>
      <c r="F356" t="inlineStr">
        <is>
          <t>NORRBOTTENS LÄN</t>
        </is>
      </c>
      <c r="G356" t="inlineStr">
        <is>
          <t>GÄLLIVARE</t>
        </is>
      </c>
      <c r="I356" t="n">
        <v>13.7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64052-2025</t>
        </is>
      </c>
      <c r="B357" t="inlineStr">
        <is>
          <t>avverkningsanmälan</t>
        </is>
      </c>
      <c r="C357" t="inlineStr">
        <is>
          <t>Föryngringsavverkning</t>
        </is>
      </c>
      <c r="D357" s="1" t="n">
        <v>46021</v>
      </c>
      <c r="E357" s="1" t="n">
        <v>46307</v>
      </c>
      <c r="F357" t="inlineStr">
        <is>
          <t>NORRBOTTENS LÄN</t>
        </is>
      </c>
      <c r="G357" t="inlineStr">
        <is>
          <t>GÄLLIVARE</t>
        </is>
      </c>
      <c r="H357" t="inlineStr">
        <is>
          <t>SCA</t>
        </is>
      </c>
      <c r="I357" t="n">
        <v>3.2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51570-2024</t>
        </is>
      </c>
      <c r="B358" t="inlineStr">
        <is>
          <t>avverkningsanmälan</t>
        </is>
      </c>
      <c r="C358" t="inlineStr">
        <is>
          <t>Föryngringsavverkning</t>
        </is>
      </c>
      <c r="D358" s="1" t="n">
        <v>45604</v>
      </c>
      <c r="E358" s="1" t="n">
        <v>46307</v>
      </c>
      <c r="F358" t="inlineStr">
        <is>
          <t>NORRBOTTENS LÄN</t>
        </is>
      </c>
      <c r="G358" t="inlineStr">
        <is>
          <t>GÄLLIVARE</t>
        </is>
      </c>
      <c r="I358" t="n">
        <v>6.1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1089-2026</t>
        </is>
      </c>
      <c r="B359" t="inlineStr">
        <is>
          <t>avverkningsanmälan</t>
        </is>
      </c>
      <c r="C359" t="inlineStr">
        <is>
          <t>Föryngringsavverkning</t>
        </is>
      </c>
      <c r="D359" s="1" t="n">
        <v>46030</v>
      </c>
      <c r="E359" s="1" t="n">
        <v>46307</v>
      </c>
      <c r="F359" t="inlineStr">
        <is>
          <t>NORRBOTTENS LÄN</t>
        </is>
      </c>
      <c r="G359" t="inlineStr">
        <is>
          <t>GÄLLIVARE</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705-2026</t>
        </is>
      </c>
      <c r="B360" t="inlineStr">
        <is>
          <t>avverkningsanmälan</t>
        </is>
      </c>
      <c r="C360" t="inlineStr">
        <is>
          <t>Föryngringsavverkning</t>
        </is>
      </c>
      <c r="D360" s="1" t="n">
        <v>46029</v>
      </c>
      <c r="E360" s="1" t="n">
        <v>46307</v>
      </c>
      <c r="F360" t="inlineStr">
        <is>
          <t>NORRBOTTENS LÄN</t>
        </is>
      </c>
      <c r="G360" t="inlineStr">
        <is>
          <t>GÄLLIVARE</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1086-2026</t>
        </is>
      </c>
      <c r="B361" t="inlineStr">
        <is>
          <t>avverkningsanmälan</t>
        </is>
      </c>
      <c r="C361" t="inlineStr">
        <is>
          <t>Föryngringsavverkning</t>
        </is>
      </c>
      <c r="D361" s="1" t="n">
        <v>46030</v>
      </c>
      <c r="E361" s="1" t="n">
        <v>46307</v>
      </c>
      <c r="F361" t="inlineStr">
        <is>
          <t>NORRBOTTENS LÄN</t>
        </is>
      </c>
      <c r="G361" t="inlineStr">
        <is>
          <t>GÄLLIVARE</t>
        </is>
      </c>
      <c r="I361" t="n">
        <v>4.9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1087-2026</t>
        </is>
      </c>
      <c r="B362" t="inlineStr">
        <is>
          <t>avverkningsanmälan</t>
        </is>
      </c>
      <c r="C362" t="inlineStr">
        <is>
          <t>Föryngringsavverkning</t>
        </is>
      </c>
      <c r="D362" s="1" t="n">
        <v>46030</v>
      </c>
      <c r="E362" s="1" t="n">
        <v>46307</v>
      </c>
      <c r="F362" t="inlineStr">
        <is>
          <t>NORRBOTTENS LÄN</t>
        </is>
      </c>
      <c r="G362" t="inlineStr">
        <is>
          <t>GÄLLIVARE</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1088-2026</t>
        </is>
      </c>
      <c r="B363" t="inlineStr">
        <is>
          <t>avverkningsanmälan</t>
        </is>
      </c>
      <c r="C363" t="inlineStr">
        <is>
          <t>Föryngringsavverkning</t>
        </is>
      </c>
      <c r="D363" s="1" t="n">
        <v>46030</v>
      </c>
      <c r="E363" s="1" t="n">
        <v>46307</v>
      </c>
      <c r="F363" t="inlineStr">
        <is>
          <t>NORRBOTTENS LÄN</t>
        </is>
      </c>
      <c r="G363" t="inlineStr">
        <is>
          <t>GÄLLIVARE</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1612-2026</t>
        </is>
      </c>
      <c r="B364" t="inlineStr">
        <is>
          <t>avverkningsanmälan</t>
        </is>
      </c>
      <c r="C364" t="inlineStr">
        <is>
          <t>Föryngringsavverkning</t>
        </is>
      </c>
      <c r="D364" s="1" t="n">
        <v>46034</v>
      </c>
      <c r="E364" s="1" t="n">
        <v>46307</v>
      </c>
      <c r="F364" t="inlineStr">
        <is>
          <t>NORRBOTTENS LÄN</t>
        </is>
      </c>
      <c r="G364" t="inlineStr">
        <is>
          <t>GÄLLIVARE</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1304-2026</t>
        </is>
      </c>
      <c r="B365" t="inlineStr">
        <is>
          <t>avverkningsanmälan</t>
        </is>
      </c>
      <c r="C365" t="inlineStr">
        <is>
          <t>Föryngringsavverkning</t>
        </is>
      </c>
      <c r="D365" s="1" t="n">
        <v>46031</v>
      </c>
      <c r="E365" s="1" t="n">
        <v>46307</v>
      </c>
      <c r="F365" t="inlineStr">
        <is>
          <t>NORRBOTTENS LÄN</t>
        </is>
      </c>
      <c r="G365" t="inlineStr">
        <is>
          <t>GÄLLIVARE</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1594-2026</t>
        </is>
      </c>
      <c r="B366" t="inlineStr">
        <is>
          <t>avverkningsanmälan</t>
        </is>
      </c>
      <c r="C366" t="inlineStr">
        <is>
          <t>Föryngringsavverkning</t>
        </is>
      </c>
      <c r="D366" s="1" t="n">
        <v>46034</v>
      </c>
      <c r="E366" s="1" t="n">
        <v>46307</v>
      </c>
      <c r="F366" t="inlineStr">
        <is>
          <t>NORRBOTTENS LÄN</t>
        </is>
      </c>
      <c r="G366" t="inlineStr">
        <is>
          <t>GÄLLIVARE</t>
        </is>
      </c>
      <c r="I366" t="n">
        <v>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4918-2025</t>
        </is>
      </c>
      <c r="B367" t="inlineStr">
        <is>
          <t>avverkningsanmälan</t>
        </is>
      </c>
      <c r="C367" t="inlineStr">
        <is>
          <t>Föryngringsavverkning</t>
        </is>
      </c>
      <c r="D367" s="1" t="n">
        <v>45688</v>
      </c>
      <c r="E367" s="1" t="n">
        <v>46307</v>
      </c>
      <c r="F367" t="inlineStr">
        <is>
          <t>NORRBOTTENS LÄN</t>
        </is>
      </c>
      <c r="G367" t="inlineStr">
        <is>
          <t>GÄLLIVARE</t>
        </is>
      </c>
      <c r="H367" t="inlineStr">
        <is>
          <t>SCA</t>
        </is>
      </c>
      <c r="I367" t="n">
        <v>6.9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56259-2023</t>
        </is>
      </c>
      <c r="B368" t="inlineStr">
        <is>
          <t>avverkningsanmälan</t>
        </is>
      </c>
      <c r="C368" t="inlineStr">
        <is>
          <t>Föryngringsavverkning</t>
        </is>
      </c>
      <c r="D368" s="1" t="n">
        <v>45240</v>
      </c>
      <c r="E368" s="1" t="n">
        <v>46307</v>
      </c>
      <c r="F368" t="inlineStr">
        <is>
          <t>NORRBOTTENS LÄN</t>
        </is>
      </c>
      <c r="G368" t="inlineStr">
        <is>
          <t>GÄLLIVARE</t>
        </is>
      </c>
      <c r="H368" t="inlineStr">
        <is>
          <t>SCA</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1631-2026</t>
        </is>
      </c>
      <c r="B369" t="inlineStr">
        <is>
          <t>avverkningsanmälan</t>
        </is>
      </c>
      <c r="C369" t="inlineStr">
        <is>
          <t>Föryngringsavverkning</t>
        </is>
      </c>
      <c r="D369" s="1" t="n">
        <v>46034</v>
      </c>
      <c r="E369" s="1" t="n">
        <v>46307</v>
      </c>
      <c r="F369" t="inlineStr">
        <is>
          <t>NORRBOTTENS LÄN</t>
        </is>
      </c>
      <c r="G369" t="inlineStr">
        <is>
          <t>GÄLLIVARE</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7693-2022</t>
        </is>
      </c>
      <c r="B370" t="inlineStr">
        <is>
          <t>avverkningsanmälan</t>
        </is>
      </c>
      <c r="C370" t="inlineStr">
        <is>
          <t>Föryngringsavverkning</t>
        </is>
      </c>
      <c r="D370" s="1" t="n">
        <v>44607</v>
      </c>
      <c r="E370" s="1" t="n">
        <v>46307</v>
      </c>
      <c r="F370" t="inlineStr">
        <is>
          <t>NORRBOTTENS LÄN</t>
        </is>
      </c>
      <c r="G370" t="inlineStr">
        <is>
          <t>GÄLLIVARE</t>
        </is>
      </c>
      <c r="H370" t="inlineStr">
        <is>
          <t>SCA</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32936-2025</t>
        </is>
      </c>
      <c r="B371" t="inlineStr">
        <is>
          <t>avverkningsanmälan</t>
        </is>
      </c>
      <c r="C371" t="inlineStr">
        <is>
          <t>Föryngringsavverkning</t>
        </is>
      </c>
      <c r="D371" s="1" t="n">
        <v>45839</v>
      </c>
      <c r="E371" s="1" t="n">
        <v>46307</v>
      </c>
      <c r="F371" t="inlineStr">
        <is>
          <t>NORRBOTTENS LÄN</t>
        </is>
      </c>
      <c r="G371" t="inlineStr">
        <is>
          <t>GÄLLIVARE</t>
        </is>
      </c>
      <c r="I371" t="n">
        <v>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44981-2023</t>
        </is>
      </c>
      <c r="B372" t="inlineStr">
        <is>
          <t>avverkningsanmälan</t>
        </is>
      </c>
      <c r="C372" t="inlineStr">
        <is>
          <t>Föryngringsavverkning</t>
        </is>
      </c>
      <c r="D372" s="1" t="n">
        <v>45190</v>
      </c>
      <c r="E372" s="1" t="n">
        <v>46307</v>
      </c>
      <c r="F372" t="inlineStr">
        <is>
          <t>NORRBOTTENS LÄN</t>
        </is>
      </c>
      <c r="G372" t="inlineStr">
        <is>
          <t>GÄLLIVARE</t>
        </is>
      </c>
      <c r="H372" t="inlineStr">
        <is>
          <t>SCA</t>
        </is>
      </c>
      <c r="I372" t="n">
        <v>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54281-2024</t>
        </is>
      </c>
      <c r="B373" t="inlineStr">
        <is>
          <t>avverkningsanmälan</t>
        </is>
      </c>
      <c r="C373" t="inlineStr">
        <is>
          <t>Avverkning för annat ändamål</t>
        </is>
      </c>
      <c r="D373" s="1" t="n">
        <v>45616</v>
      </c>
      <c r="E373" s="1" t="n">
        <v>46307</v>
      </c>
      <c r="F373" t="inlineStr">
        <is>
          <t>NORRBOTTENS LÄN</t>
        </is>
      </c>
      <c r="G373" t="inlineStr">
        <is>
          <t>GÄLLIVARE</t>
        </is>
      </c>
      <c r="I373" t="n">
        <v>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1834-2026</t>
        </is>
      </c>
      <c r="B374" t="inlineStr">
        <is>
          <t>avverkningsanmälan</t>
        </is>
      </c>
      <c r="C374" t="inlineStr">
        <is>
          <t>Föryngringsavverkning</t>
        </is>
      </c>
      <c r="D374" s="1" t="n">
        <v>46035</v>
      </c>
      <c r="E374" s="1" t="n">
        <v>46307</v>
      </c>
      <c r="F374" t="inlineStr">
        <is>
          <t>NORRBOTTENS LÄN</t>
        </is>
      </c>
      <c r="G374" t="inlineStr">
        <is>
          <t>GÄLLIVARE</t>
        </is>
      </c>
      <c r="I374" t="n">
        <v>17.4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2798-2026</t>
        </is>
      </c>
      <c r="B375" t="inlineStr">
        <is>
          <t>avverkningsanmälan</t>
        </is>
      </c>
      <c r="C375" t="inlineStr">
        <is>
          <t>Föryngringsavverkning</t>
        </is>
      </c>
      <c r="D375" s="1" t="n">
        <v>46038</v>
      </c>
      <c r="E375" s="1" t="n">
        <v>46307</v>
      </c>
      <c r="F375" t="inlineStr">
        <is>
          <t>NORRBOTTENS LÄN</t>
        </is>
      </c>
      <c r="G375" t="inlineStr">
        <is>
          <t>GÄLLIVARE</t>
        </is>
      </c>
      <c r="I375" t="n">
        <v>5.2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1657-2026</t>
        </is>
      </c>
      <c r="B376" t="inlineStr">
        <is>
          <t>avverkningsanmälan</t>
        </is>
      </c>
      <c r="C376" t="inlineStr">
        <is>
          <t>Föryngringsavverkning</t>
        </is>
      </c>
      <c r="D376" s="1" t="n">
        <v>46034</v>
      </c>
      <c r="E376" s="1" t="n">
        <v>46307</v>
      </c>
      <c r="F376" t="inlineStr">
        <is>
          <t>NORRBOTTENS LÄN</t>
        </is>
      </c>
      <c r="G376" t="inlineStr">
        <is>
          <t>GÄLLIVARE</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46056-2023</t>
        </is>
      </c>
      <c r="B377" t="inlineStr">
        <is>
          <t>avverkningsanmälan</t>
        </is>
      </c>
      <c r="C377" t="inlineStr">
        <is>
          <t>Avverkning för annat ändamål</t>
        </is>
      </c>
      <c r="D377" s="1" t="n">
        <v>45196</v>
      </c>
      <c r="E377" s="1" t="n">
        <v>46307</v>
      </c>
      <c r="F377" t="inlineStr">
        <is>
          <t>NORRBOTTENS LÄN</t>
        </is>
      </c>
      <c r="G377" t="inlineStr">
        <is>
          <t>GÄLLIVARE</t>
        </is>
      </c>
      <c r="I377" t="n">
        <v>3.9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49873-2023</t>
        </is>
      </c>
      <c r="B378" t="inlineStr">
        <is>
          <t>avverkningsanmälan</t>
        </is>
      </c>
      <c r="C378" t="inlineStr">
        <is>
          <t>Föryngringsavverkning</t>
        </is>
      </c>
      <c r="D378" s="1" t="n">
        <v>45212</v>
      </c>
      <c r="E378" s="1" t="n">
        <v>46307</v>
      </c>
      <c r="F378" t="inlineStr">
        <is>
          <t>NORRBOTTENS LÄN</t>
        </is>
      </c>
      <c r="G378" t="inlineStr">
        <is>
          <t>GÄLLIVARE</t>
        </is>
      </c>
      <c r="H378" t="inlineStr">
        <is>
          <t>SCA</t>
        </is>
      </c>
      <c r="I378" t="n">
        <v>4.2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20415-2026</t>
        </is>
      </c>
      <c r="B379" t="inlineStr">
        <is>
          <t>avverkningsanmälan</t>
        </is>
      </c>
      <c r="C379" t="inlineStr">
        <is>
          <t>Föryngringsavverkning</t>
        </is>
      </c>
      <c r="D379" s="1" t="n">
        <v>46140</v>
      </c>
      <c r="E379" s="1" t="n">
        <v>46307</v>
      </c>
      <c r="F379" t="inlineStr">
        <is>
          <t>NORRBOTTENS LÄN</t>
        </is>
      </c>
      <c r="G379" t="inlineStr">
        <is>
          <t>GÄLLIVARE</t>
        </is>
      </c>
      <c r="H379" t="inlineStr">
        <is>
          <t>SCA</t>
        </is>
      </c>
      <c r="I379" t="n">
        <v>7.3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59703-2024</t>
        </is>
      </c>
      <c r="B380" t="inlineStr">
        <is>
          <t>avverkningsanmälan</t>
        </is>
      </c>
      <c r="C380" t="inlineStr">
        <is>
          <t>Föryngringsavverkning</t>
        </is>
      </c>
      <c r="D380" s="1" t="n">
        <v>45639</v>
      </c>
      <c r="E380" s="1" t="n">
        <v>46307</v>
      </c>
      <c r="F380" t="inlineStr">
        <is>
          <t>NORRBOTTENS LÄN</t>
        </is>
      </c>
      <c r="G380" t="inlineStr">
        <is>
          <t>GÄLLIVARE</t>
        </is>
      </c>
      <c r="H380" t="inlineStr">
        <is>
          <t>Sveaskog</t>
        </is>
      </c>
      <c r="I380" t="n">
        <v>3.7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7042-2026</t>
        </is>
      </c>
      <c r="B381" t="inlineStr">
        <is>
          <t>avverkningsanmälan</t>
        </is>
      </c>
      <c r="C381" t="inlineStr">
        <is>
          <t>Föryngringsavverkning</t>
        </is>
      </c>
      <c r="D381" s="1" t="n">
        <v>46057</v>
      </c>
      <c r="E381" s="1" t="n">
        <v>46307</v>
      </c>
      <c r="F381" t="inlineStr">
        <is>
          <t>NORRBOTTENS LÄN</t>
        </is>
      </c>
      <c r="G381" t="inlineStr">
        <is>
          <t>GÄLLIVARE</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31647-2025</t>
        </is>
      </c>
      <c r="B382" t="inlineStr">
        <is>
          <t>avverkningsanmälan</t>
        </is>
      </c>
      <c r="C382" t="inlineStr">
        <is>
          <t>Föryngringsavverkning</t>
        </is>
      </c>
      <c r="D382" s="1" t="n">
        <v>45834</v>
      </c>
      <c r="E382" s="1" t="n">
        <v>46307</v>
      </c>
      <c r="F382" t="inlineStr">
        <is>
          <t>NORRBOTTENS LÄN</t>
        </is>
      </c>
      <c r="G382" t="inlineStr">
        <is>
          <t>GÄLLIVARE</t>
        </is>
      </c>
      <c r="H382" t="inlineStr">
        <is>
          <t>SCA</t>
        </is>
      </c>
      <c r="I382" t="n">
        <v>2.2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20660-2026</t>
        </is>
      </c>
      <c r="B383" t="inlineStr">
        <is>
          <t>avverkningsanmälan</t>
        </is>
      </c>
      <c r="C383" t="inlineStr">
        <is>
          <t>Föryngringsavverkning</t>
        </is>
      </c>
      <c r="D383" s="1" t="n">
        <v>46141</v>
      </c>
      <c r="E383" s="1" t="n">
        <v>46307</v>
      </c>
      <c r="F383" t="inlineStr">
        <is>
          <t>NORRBOTTENS LÄN</t>
        </is>
      </c>
      <c r="G383" t="inlineStr">
        <is>
          <t>GÄLLIVARE</t>
        </is>
      </c>
      <c r="H383" t="inlineStr">
        <is>
          <t>SCA</t>
        </is>
      </c>
      <c r="I383" t="n">
        <v>18.4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8596-2026</t>
        </is>
      </c>
      <c r="B384" t="inlineStr">
        <is>
          <t>avverkningsanmälan</t>
        </is>
      </c>
      <c r="C384" t="inlineStr">
        <is>
          <t>Föryngringsavverkning</t>
        </is>
      </c>
      <c r="D384" s="1" t="n">
        <v>46065</v>
      </c>
      <c r="E384" s="1" t="n">
        <v>46307</v>
      </c>
      <c r="F384" t="inlineStr">
        <is>
          <t>NORRBOTTENS LÄN</t>
        </is>
      </c>
      <c r="G384" t="inlineStr">
        <is>
          <t>GÄLLIVARE</t>
        </is>
      </c>
      <c r="I384" t="n">
        <v>2.9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8602-2026</t>
        </is>
      </c>
      <c r="B385" t="inlineStr">
        <is>
          <t>avverkningsanmälan</t>
        </is>
      </c>
      <c r="C385" t="inlineStr">
        <is>
          <t>Föryngringsavverkning</t>
        </is>
      </c>
      <c r="D385" s="1" t="n">
        <v>46065</v>
      </c>
      <c r="E385" s="1" t="n">
        <v>46307</v>
      </c>
      <c r="F385" t="inlineStr">
        <is>
          <t>NORRBOTTENS LÄN</t>
        </is>
      </c>
      <c r="G385" t="inlineStr">
        <is>
          <t>GÄLLIVARE</t>
        </is>
      </c>
      <c r="I385" t="n">
        <v>3.1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8394-2026</t>
        </is>
      </c>
      <c r="B386" t="inlineStr">
        <is>
          <t>avverkningsanmälan</t>
        </is>
      </c>
      <c r="C386" t="inlineStr">
        <is>
          <t>Föryngringsavverkning</t>
        </is>
      </c>
      <c r="D386" s="1" t="n">
        <v>46065</v>
      </c>
      <c r="E386" s="1" t="n">
        <v>46307</v>
      </c>
      <c r="F386" t="inlineStr">
        <is>
          <t>NORRBOTTENS LÄN</t>
        </is>
      </c>
      <c r="G386" t="inlineStr">
        <is>
          <t>GÄLLIVARE</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21591-2026</t>
        </is>
      </c>
      <c r="B387" t="inlineStr">
        <is>
          <t>avverkningsanmälan</t>
        </is>
      </c>
      <c r="C387" t="inlineStr">
        <is>
          <t>Föryngringsavverkning</t>
        </is>
      </c>
      <c r="D387" s="1" t="n">
        <v>46149</v>
      </c>
      <c r="E387" s="1" t="n">
        <v>46307</v>
      </c>
      <c r="F387" t="inlineStr">
        <is>
          <t>NORRBOTTENS LÄN</t>
        </is>
      </c>
      <c r="G387" t="inlineStr">
        <is>
          <t>GÄLLIVARE</t>
        </is>
      </c>
      <c r="H387" t="inlineStr">
        <is>
          <t>SCA</t>
        </is>
      </c>
      <c r="I387" t="n">
        <v>2.6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53635-2025</t>
        </is>
      </c>
      <c r="B388" t="inlineStr">
        <is>
          <t>avverkningsanmälan</t>
        </is>
      </c>
      <c r="C388" t="inlineStr">
        <is>
          <t>Avverkning för att bevara och utveckla /försöksver</t>
        </is>
      </c>
      <c r="D388" s="1" t="n">
        <v>45960</v>
      </c>
      <c r="E388" s="1" t="n">
        <v>46307</v>
      </c>
      <c r="F388" t="inlineStr">
        <is>
          <t>NORRBOTTENS LÄN</t>
        </is>
      </c>
      <c r="G388" t="inlineStr">
        <is>
          <t>GÄLLIVARE</t>
        </is>
      </c>
      <c r="H388" t="inlineStr">
        <is>
          <t>Sveaskog</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10247-2026</t>
        </is>
      </c>
      <c r="B389" t="inlineStr">
        <is>
          <t>avverkningsanmälan</t>
        </is>
      </c>
      <c r="C389" t="inlineStr">
        <is>
          <t>Föryngringsavverkning</t>
        </is>
      </c>
      <c r="D389" s="1" t="n">
        <v>46076</v>
      </c>
      <c r="E389" s="1" t="n">
        <v>46307</v>
      </c>
      <c r="F389" t="inlineStr">
        <is>
          <t>NORRBOTTENS LÄN</t>
        </is>
      </c>
      <c r="G389" t="inlineStr">
        <is>
          <t>GÄLLIVARE</t>
        </is>
      </c>
      <c r="I389" t="n">
        <v>4.7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31541-2025</t>
        </is>
      </c>
      <c r="B390" t="inlineStr">
        <is>
          <t>avverkningsanmälan</t>
        </is>
      </c>
      <c r="C390" t="inlineStr">
        <is>
          <t>Avverkning för annat ändamål</t>
        </is>
      </c>
      <c r="D390" s="1" t="n">
        <v>45833</v>
      </c>
      <c r="E390" s="1" t="n">
        <v>46307</v>
      </c>
      <c r="F390" t="inlineStr">
        <is>
          <t>NORRBOTTENS LÄN</t>
        </is>
      </c>
      <c r="G390" t="inlineStr">
        <is>
          <t>GÄLLIVARE</t>
        </is>
      </c>
      <c r="H390" t="inlineStr">
        <is>
          <t>Allmännings- och besparingsskogar</t>
        </is>
      </c>
      <c r="I390" t="n">
        <v>2.2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11162-2026</t>
        </is>
      </c>
      <c r="B391" t="inlineStr">
        <is>
          <t>avverkningsanmälan</t>
        </is>
      </c>
      <c r="C391" t="inlineStr">
        <is>
          <t>Föryngringsavverkning</t>
        </is>
      </c>
      <c r="D391" s="1" t="n">
        <v>46080</v>
      </c>
      <c r="E391" s="1" t="n">
        <v>46307</v>
      </c>
      <c r="F391" t="inlineStr">
        <is>
          <t>NORRBOTTENS LÄN</t>
        </is>
      </c>
      <c r="G391" t="inlineStr">
        <is>
          <t>GÄLLIVARE</t>
        </is>
      </c>
      <c r="I391" t="n">
        <v>5.3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39962-2025</t>
        </is>
      </c>
      <c r="B392" t="inlineStr">
        <is>
          <t>avverkningsanmälan</t>
        </is>
      </c>
      <c r="C392" t="inlineStr">
        <is>
          <t>Föryngringsavverkning</t>
        </is>
      </c>
      <c r="D392" s="1" t="n">
        <v>45892</v>
      </c>
      <c r="E392" s="1" t="n">
        <v>46307</v>
      </c>
      <c r="F392" t="inlineStr">
        <is>
          <t>NORRBOTTENS LÄN</t>
        </is>
      </c>
      <c r="G392" t="inlineStr">
        <is>
          <t>GÄLLIVARE</t>
        </is>
      </c>
      <c r="H392" t="inlineStr">
        <is>
          <t>SCA</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53621-2025</t>
        </is>
      </c>
      <c r="B393" t="inlineStr">
        <is>
          <t>avverkningsanmälan</t>
        </is>
      </c>
      <c r="C393" t="inlineStr">
        <is>
          <t>Avverkning för att bevara och utveckla /försöksver</t>
        </is>
      </c>
      <c r="D393" s="1" t="n">
        <v>45960</v>
      </c>
      <c r="E393" s="1" t="n">
        <v>46307</v>
      </c>
      <c r="F393" t="inlineStr">
        <is>
          <t>NORRBOTTENS LÄN</t>
        </is>
      </c>
      <c r="G393" t="inlineStr">
        <is>
          <t>GÄLLIVARE</t>
        </is>
      </c>
      <c r="H393" t="inlineStr">
        <is>
          <t>Sveaskog</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12668-2026</t>
        </is>
      </c>
      <c r="B394" t="inlineStr">
        <is>
          <t>avverkningsanmälan</t>
        </is>
      </c>
      <c r="C394" t="inlineStr">
        <is>
          <t>Föryngringsavverkning</t>
        </is>
      </c>
      <c r="D394" s="1" t="n">
        <v>46091</v>
      </c>
      <c r="E394" s="1" t="n">
        <v>46307</v>
      </c>
      <c r="F394" t="inlineStr">
        <is>
          <t>NORRBOTTENS LÄN</t>
        </is>
      </c>
      <c r="G394" t="inlineStr">
        <is>
          <t>GÄLLIVARE</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12666-2026</t>
        </is>
      </c>
      <c r="B395" t="inlineStr">
        <is>
          <t>avverkningsanmälan</t>
        </is>
      </c>
      <c r="C395" t="inlineStr">
        <is>
          <t>Föryngringsavverkning</t>
        </is>
      </c>
      <c r="D395" s="1" t="n">
        <v>46091</v>
      </c>
      <c r="E395" s="1" t="n">
        <v>46307</v>
      </c>
      <c r="F395" t="inlineStr">
        <is>
          <t>NORRBOTTENS LÄN</t>
        </is>
      </c>
      <c r="G395" t="inlineStr">
        <is>
          <t>GÄLLIVARE</t>
        </is>
      </c>
      <c r="I395" t="n">
        <v>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23379-2026</t>
        </is>
      </c>
      <c r="B396" t="inlineStr">
        <is>
          <t>avverkningsanmälan</t>
        </is>
      </c>
      <c r="C396" t="inlineStr">
        <is>
          <t>Föryngringsavverkning</t>
        </is>
      </c>
      <c r="D396" s="1" t="n">
        <v>46162</v>
      </c>
      <c r="E396" s="1" t="n">
        <v>46307</v>
      </c>
      <c r="F396" t="inlineStr">
        <is>
          <t>NORRBOTTENS LÄN</t>
        </is>
      </c>
      <c r="G396" t="inlineStr">
        <is>
          <t>GÄLLIVARE</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43109-2023</t>
        </is>
      </c>
      <c r="B397" t="inlineStr">
        <is>
          <t>avverkningsanmälan</t>
        </is>
      </c>
      <c r="C397" t="inlineStr">
        <is>
          <t>Föryngringsavverkning</t>
        </is>
      </c>
      <c r="D397" s="1" t="n">
        <v>45182</v>
      </c>
      <c r="E397" s="1" t="n">
        <v>46307</v>
      </c>
      <c r="F397" t="inlineStr">
        <is>
          <t>NORRBOTTENS LÄN</t>
        </is>
      </c>
      <c r="G397" t="inlineStr">
        <is>
          <t>GÄLLIVARE</t>
        </is>
      </c>
      <c r="H397" t="inlineStr">
        <is>
          <t>SCA</t>
        </is>
      </c>
      <c r="I397" t="n">
        <v>2.8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23482-2026</t>
        </is>
      </c>
      <c r="B398" t="inlineStr">
        <is>
          <t>avverkningsanmälan</t>
        </is>
      </c>
      <c r="C398" t="inlineStr">
        <is>
          <t>Föryngringsavverkning</t>
        </is>
      </c>
      <c r="D398" s="1" t="n">
        <v>46163</v>
      </c>
      <c r="E398" s="1" t="n">
        <v>46307</v>
      </c>
      <c r="F398" t="inlineStr">
        <is>
          <t>NORRBOTTENS LÄN</t>
        </is>
      </c>
      <c r="G398" t="inlineStr">
        <is>
          <t>GÄLLIVARE</t>
        </is>
      </c>
      <c r="H398" t="inlineStr">
        <is>
          <t>SCA</t>
        </is>
      </c>
      <c r="I398" t="n">
        <v>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23480-2026</t>
        </is>
      </c>
      <c r="B399" t="inlineStr">
        <is>
          <t>avverkningsanmälan</t>
        </is>
      </c>
      <c r="C399" t="inlineStr">
        <is>
          <t>Föryngringsavverkning</t>
        </is>
      </c>
      <c r="D399" s="1" t="n">
        <v>46163</v>
      </c>
      <c r="E399" s="1" t="n">
        <v>46307</v>
      </c>
      <c r="F399" t="inlineStr">
        <is>
          <t>NORRBOTTENS LÄN</t>
        </is>
      </c>
      <c r="G399" t="inlineStr">
        <is>
          <t>GÄLLIVARE</t>
        </is>
      </c>
      <c r="H399" t="inlineStr">
        <is>
          <t>Naturvårdsverket</t>
        </is>
      </c>
      <c r="I399" t="n">
        <v>17.3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24361-2026</t>
        </is>
      </c>
      <c r="B400" t="inlineStr">
        <is>
          <t>avverkningsanmälan</t>
        </is>
      </c>
      <c r="C400" t="inlineStr">
        <is>
          <t>Föryngringsavverkning</t>
        </is>
      </c>
      <c r="D400" s="1" t="n">
        <v>46169</v>
      </c>
      <c r="E400" s="1" t="n">
        <v>46307</v>
      </c>
      <c r="F400" t="inlineStr">
        <is>
          <t>NORRBOTTENS LÄN</t>
        </is>
      </c>
      <c r="G400" t="inlineStr">
        <is>
          <t>GÄLLIVARE</t>
        </is>
      </c>
      <c r="I400" t="n">
        <v>3.3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25102-2026</t>
        </is>
      </c>
      <c r="B401" t="inlineStr">
        <is>
          <t>avverkningsanmälan</t>
        </is>
      </c>
      <c r="C401" t="inlineStr">
        <is>
          <t>Föryngringsavverkning</t>
        </is>
      </c>
      <c r="D401" s="1" t="n">
        <v>46175</v>
      </c>
      <c r="E401" s="1" t="n">
        <v>46307</v>
      </c>
      <c r="F401" t="inlineStr">
        <is>
          <t>NORRBOTTENS LÄN</t>
        </is>
      </c>
      <c r="G401" t="inlineStr">
        <is>
          <t>GÄLLIVARE</t>
        </is>
      </c>
      <c r="I401" t="n">
        <v>2.9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25103-2026</t>
        </is>
      </c>
      <c r="B402" t="inlineStr">
        <is>
          <t>avverkningsanmälan</t>
        </is>
      </c>
      <c r="C402" t="inlineStr">
        <is>
          <t>Föryngringsavverkning</t>
        </is>
      </c>
      <c r="D402" s="1" t="n">
        <v>46175</v>
      </c>
      <c r="E402" s="1" t="n">
        <v>46307</v>
      </c>
      <c r="F402" t="inlineStr">
        <is>
          <t>NORRBOTTENS LÄN</t>
        </is>
      </c>
      <c r="G402" t="inlineStr">
        <is>
          <t>GÄLLIVARE</t>
        </is>
      </c>
      <c r="I402" t="n">
        <v>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26010-2026</t>
        </is>
      </c>
      <c r="B403" t="inlineStr">
        <is>
          <t>avverkningsanmälan</t>
        </is>
      </c>
      <c r="C403" t="inlineStr">
        <is>
          <t>Föryngringsavverkning</t>
        </is>
      </c>
      <c r="D403" s="1" t="n">
        <v>46181</v>
      </c>
      <c r="E403" s="1" t="n">
        <v>46307</v>
      </c>
      <c r="F403" t="inlineStr">
        <is>
          <t>NORRBOTTENS LÄN</t>
        </is>
      </c>
      <c r="G403" t="inlineStr">
        <is>
          <t>GÄLLIVARE</t>
        </is>
      </c>
      <c r="H403" t="inlineStr">
        <is>
          <t>Sveaskog</t>
        </is>
      </c>
      <c r="I403" t="n">
        <v>32.6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26783-2026</t>
        </is>
      </c>
      <c r="B404" t="inlineStr">
        <is>
          <t>avverkningsanmälan</t>
        </is>
      </c>
      <c r="C404" t="inlineStr">
        <is>
          <t>Föryngringsavverkning</t>
        </is>
      </c>
      <c r="D404" s="1" t="n">
        <v>46184</v>
      </c>
      <c r="E404" s="1" t="n">
        <v>46307</v>
      </c>
      <c r="F404" t="inlineStr">
        <is>
          <t>NORRBOTTENS LÄN</t>
        </is>
      </c>
      <c r="G404" t="inlineStr">
        <is>
          <t>GÄLLIVARE</t>
        </is>
      </c>
      <c r="H404" t="inlineStr">
        <is>
          <t>Sveaskog</t>
        </is>
      </c>
      <c r="I404" t="n">
        <v>24.1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26932-2026</t>
        </is>
      </c>
      <c r="B405" t="inlineStr">
        <is>
          <t>avverkningsanmälan</t>
        </is>
      </c>
      <c r="C405" t="inlineStr">
        <is>
          <t>Föryngringsavverkning</t>
        </is>
      </c>
      <c r="D405" s="1" t="n">
        <v>46185</v>
      </c>
      <c r="E405" s="1" t="n">
        <v>46307</v>
      </c>
      <c r="F405" t="inlineStr">
        <is>
          <t>NORRBOTTENS LÄN</t>
        </is>
      </c>
      <c r="G405" t="inlineStr">
        <is>
          <t>GÄLLIVARE</t>
        </is>
      </c>
      <c r="H405" t="inlineStr">
        <is>
          <t>Sveaskog</t>
        </is>
      </c>
      <c r="I405" t="n">
        <v>15.1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26922-2026</t>
        </is>
      </c>
      <c r="B406" t="inlineStr">
        <is>
          <t>avverkningsanmälan</t>
        </is>
      </c>
      <c r="C406" t="inlineStr">
        <is>
          <t>Föryngringsavverkning</t>
        </is>
      </c>
      <c r="D406" s="1" t="n">
        <v>46185</v>
      </c>
      <c r="E406" s="1" t="n">
        <v>46307</v>
      </c>
      <c r="F406" t="inlineStr">
        <is>
          <t>NORRBOTTENS LÄN</t>
        </is>
      </c>
      <c r="G406" t="inlineStr">
        <is>
          <t>GÄLLIVARE</t>
        </is>
      </c>
      <c r="H406" t="inlineStr">
        <is>
          <t>Sveaskog</t>
        </is>
      </c>
      <c r="I406" t="n">
        <v>8.4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27665-2026</t>
        </is>
      </c>
      <c r="B407" t="inlineStr">
        <is>
          <t>avverkningsanmälan</t>
        </is>
      </c>
      <c r="C407" t="inlineStr">
        <is>
          <t>Föryngringsavverkning</t>
        </is>
      </c>
      <c r="D407" s="1" t="n">
        <v>46190</v>
      </c>
      <c r="E407" s="1" t="n">
        <v>46307</v>
      </c>
      <c r="F407" t="inlineStr">
        <is>
          <t>NORRBOTTENS LÄN</t>
        </is>
      </c>
      <c r="G407" t="inlineStr">
        <is>
          <t>GÄLLIVARE</t>
        </is>
      </c>
      <c r="I407" t="n">
        <v>20.7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27868-2026</t>
        </is>
      </c>
      <c r="B408" t="inlineStr">
        <is>
          <t>avverkningsanmälan</t>
        </is>
      </c>
      <c r="C408" t="inlineStr">
        <is>
          <t>Föryngringsavverkning</t>
        </is>
      </c>
      <c r="D408" s="1" t="n">
        <v>46191</v>
      </c>
      <c r="E408" s="1" t="n">
        <v>46307</v>
      </c>
      <c r="F408" t="inlineStr">
        <is>
          <t>NORRBOTTENS LÄN</t>
        </is>
      </c>
      <c r="G408" t="inlineStr">
        <is>
          <t>GÄLLIVARE</t>
        </is>
      </c>
      <c r="H408" t="inlineStr">
        <is>
          <t>SCA</t>
        </is>
      </c>
      <c r="I408" t="n">
        <v>5.7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27947-2026</t>
        </is>
      </c>
      <c r="B409" t="inlineStr">
        <is>
          <t>avverkningsanmälan</t>
        </is>
      </c>
      <c r="C409" t="inlineStr">
        <is>
          <t>Föryngringsavverkning</t>
        </is>
      </c>
      <c r="D409" s="1" t="n">
        <v>46192</v>
      </c>
      <c r="E409" s="1" t="n">
        <v>46307</v>
      </c>
      <c r="F409" t="inlineStr">
        <is>
          <t>NORRBOTTENS LÄN</t>
        </is>
      </c>
      <c r="G409" t="inlineStr">
        <is>
          <t>GÄLLIVARE</t>
        </is>
      </c>
      <c r="H409" t="inlineStr">
        <is>
          <t>SCA</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27945-2026</t>
        </is>
      </c>
      <c r="B410" t="inlineStr">
        <is>
          <t>avverkningsanmälan</t>
        </is>
      </c>
      <c r="C410" t="inlineStr">
        <is>
          <t>Föryngringsavverkning</t>
        </is>
      </c>
      <c r="D410" s="1" t="n">
        <v>46192</v>
      </c>
      <c r="E410" s="1" t="n">
        <v>46307</v>
      </c>
      <c r="F410" t="inlineStr">
        <is>
          <t>NORRBOTTENS LÄN</t>
        </is>
      </c>
      <c r="G410" t="inlineStr">
        <is>
          <t>GÄLLIVARE</t>
        </is>
      </c>
      <c r="H410" t="inlineStr">
        <is>
          <t>SCA</t>
        </is>
      </c>
      <c r="I410" t="n">
        <v>3.4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28181-2026</t>
        </is>
      </c>
      <c r="B411" t="inlineStr">
        <is>
          <t>avverkningsanmälan</t>
        </is>
      </c>
      <c r="C411" t="inlineStr">
        <is>
          <t>Föryngringsavverkning</t>
        </is>
      </c>
      <c r="D411" s="1" t="n">
        <v>46195</v>
      </c>
      <c r="E411" s="1" t="n">
        <v>46307</v>
      </c>
      <c r="F411" t="inlineStr">
        <is>
          <t>NORRBOTTENS LÄN</t>
        </is>
      </c>
      <c r="G411" t="inlineStr">
        <is>
          <t>GÄLLIVARE</t>
        </is>
      </c>
      <c r="H411" t="inlineStr">
        <is>
          <t>SCA</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28452-2026</t>
        </is>
      </c>
      <c r="B412" t="inlineStr">
        <is>
          <t>avverkningsanmälan</t>
        </is>
      </c>
      <c r="C412" t="inlineStr">
        <is>
          <t>Föryngringsavverkning</t>
        </is>
      </c>
      <c r="D412" s="1" t="n">
        <v>46197</v>
      </c>
      <c r="E412" s="1" t="n">
        <v>46307</v>
      </c>
      <c r="F412" t="inlineStr">
        <is>
          <t>NORRBOTTENS LÄN</t>
        </is>
      </c>
      <c r="G412" t="inlineStr">
        <is>
          <t>GÄLLIVARE</t>
        </is>
      </c>
      <c r="H412" t="inlineStr">
        <is>
          <t>Sveaskog</t>
        </is>
      </c>
      <c r="I412" t="n">
        <v>4.1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28521-2026</t>
        </is>
      </c>
      <c r="B413" t="inlineStr">
        <is>
          <t>avverkningsanmälan</t>
        </is>
      </c>
      <c r="C413" t="inlineStr">
        <is>
          <t>Föryngringsavverkning</t>
        </is>
      </c>
      <c r="D413" s="1" t="n">
        <v>46197</v>
      </c>
      <c r="E413" s="1" t="n">
        <v>46307</v>
      </c>
      <c r="F413" t="inlineStr">
        <is>
          <t>NORRBOTTENS LÄN</t>
        </is>
      </c>
      <c r="G413" t="inlineStr">
        <is>
          <t>GÄLLIVARE</t>
        </is>
      </c>
      <c r="H413" t="inlineStr">
        <is>
          <t>SCA</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28522-2026</t>
        </is>
      </c>
      <c r="B414" t="inlineStr">
        <is>
          <t>avverkningsanmälan</t>
        </is>
      </c>
      <c r="C414" t="inlineStr">
        <is>
          <t>Föryngringsavverkning</t>
        </is>
      </c>
      <c r="D414" s="1" t="n">
        <v>46197</v>
      </c>
      <c r="E414" s="1" t="n">
        <v>46307</v>
      </c>
      <c r="F414" t="inlineStr">
        <is>
          <t>NORRBOTTENS LÄN</t>
        </is>
      </c>
      <c r="G414" t="inlineStr">
        <is>
          <t>GÄLLIVARE</t>
        </is>
      </c>
      <c r="H414" t="inlineStr">
        <is>
          <t>SCA</t>
        </is>
      </c>
      <c r="I414" t="n">
        <v>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28916-2026</t>
        </is>
      </c>
      <c r="B415" t="inlineStr">
        <is>
          <t>avverkningsanmälan</t>
        </is>
      </c>
      <c r="C415" t="inlineStr">
        <is>
          <t>Föryngringsavverkning</t>
        </is>
      </c>
      <c r="D415" s="1" t="n">
        <v>46199</v>
      </c>
      <c r="E415" s="1" t="n">
        <v>46307</v>
      </c>
      <c r="F415" t="inlineStr">
        <is>
          <t>NORRBOTTENS LÄN</t>
        </is>
      </c>
      <c r="G415" t="inlineStr">
        <is>
          <t>GÄLLIVARE</t>
        </is>
      </c>
      <c r="H415" t="inlineStr">
        <is>
          <t>SCA</t>
        </is>
      </c>
      <c r="I415" t="n">
        <v>10.6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28935-2026</t>
        </is>
      </c>
      <c r="B416" t="inlineStr">
        <is>
          <t>avverkningsanmälan</t>
        </is>
      </c>
      <c r="C416" t="inlineStr">
        <is>
          <t>Föryngringsavverkning</t>
        </is>
      </c>
      <c r="D416" s="1" t="n">
        <v>46199</v>
      </c>
      <c r="E416" s="1" t="n">
        <v>46307</v>
      </c>
      <c r="F416" t="inlineStr">
        <is>
          <t>NORRBOTTENS LÄN</t>
        </is>
      </c>
      <c r="G416" t="inlineStr">
        <is>
          <t>GÄLLIVARE</t>
        </is>
      </c>
      <c r="H416" t="inlineStr">
        <is>
          <t>SCA</t>
        </is>
      </c>
      <c r="I416" t="n">
        <v>3.9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28747-2026</t>
        </is>
      </c>
      <c r="B417" t="inlineStr">
        <is>
          <t>avverkningsanmälan</t>
        </is>
      </c>
      <c r="C417" t="inlineStr">
        <is>
          <t>Föryngringsavverkning</t>
        </is>
      </c>
      <c r="D417" s="1" t="n">
        <v>46198</v>
      </c>
      <c r="E417" s="1" t="n">
        <v>46307</v>
      </c>
      <c r="F417" t="inlineStr">
        <is>
          <t>NORRBOTTENS LÄN</t>
        </is>
      </c>
      <c r="G417" t="inlineStr">
        <is>
          <t>GÄLLIVARE</t>
        </is>
      </c>
      <c r="H417" t="inlineStr">
        <is>
          <t>Sveaskog</t>
        </is>
      </c>
      <c r="I417" t="n">
        <v>7.9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28736-2026</t>
        </is>
      </c>
      <c r="B418" t="inlineStr">
        <is>
          <t>avverkningsanmälan</t>
        </is>
      </c>
      <c r="C418" t="inlineStr">
        <is>
          <t>Föryngringsavverkning</t>
        </is>
      </c>
      <c r="D418" s="1" t="n">
        <v>46198</v>
      </c>
      <c r="E418" s="1" t="n">
        <v>46307</v>
      </c>
      <c r="F418" t="inlineStr">
        <is>
          <t>NORRBOTTENS LÄN</t>
        </is>
      </c>
      <c r="G418" t="inlineStr">
        <is>
          <t>GÄLLIVARE</t>
        </is>
      </c>
      <c r="H418" t="inlineStr">
        <is>
          <t>Sveaskog</t>
        </is>
      </c>
      <c r="I418" t="n">
        <v>14.9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29744-2026</t>
        </is>
      </c>
      <c r="B419" t="inlineStr">
        <is>
          <t>avverkningsanmälan</t>
        </is>
      </c>
      <c r="C419" t="inlineStr">
        <is>
          <t>Föryngringsavverkning</t>
        </is>
      </c>
      <c r="D419" s="1" t="n">
        <v>46204</v>
      </c>
      <c r="E419" s="1" t="n">
        <v>46307</v>
      </c>
      <c r="F419" t="inlineStr">
        <is>
          <t>NORRBOTTENS LÄN</t>
        </is>
      </c>
      <c r="G419" t="inlineStr">
        <is>
          <t>GÄLLIVARE</t>
        </is>
      </c>
      <c r="H419" t="inlineStr">
        <is>
          <t>Sveaskog</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29678-2026</t>
        </is>
      </c>
      <c r="B420" t="inlineStr">
        <is>
          <t>avverkningsanmälan</t>
        </is>
      </c>
      <c r="C420" t="inlineStr">
        <is>
          <t>Föryngringsavverkning</t>
        </is>
      </c>
      <c r="D420" s="1" t="n">
        <v>46204</v>
      </c>
      <c r="E420" s="1" t="n">
        <v>46307</v>
      </c>
      <c r="F420" t="inlineStr">
        <is>
          <t>NORRBOTTENS LÄN</t>
        </is>
      </c>
      <c r="G420" t="inlineStr">
        <is>
          <t>GÄLLIVARE</t>
        </is>
      </c>
      <c r="I420" t="n">
        <v>10.8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29933-2026</t>
        </is>
      </c>
      <c r="B421" t="inlineStr">
        <is>
          <t>avverkningsanmälan</t>
        </is>
      </c>
      <c r="C421" t="inlineStr">
        <is>
          <t>Föryngringsavverkning</t>
        </is>
      </c>
      <c r="D421" s="1" t="n">
        <v>46205</v>
      </c>
      <c r="E421" s="1" t="n">
        <v>46307</v>
      </c>
      <c r="F421" t="inlineStr">
        <is>
          <t>NORRBOTTENS LÄN</t>
        </is>
      </c>
      <c r="G421" t="inlineStr">
        <is>
          <t>GÄLLIVARE</t>
        </is>
      </c>
      <c r="H421" t="inlineStr">
        <is>
          <t>Sveaskog</t>
        </is>
      </c>
      <c r="I421" t="n">
        <v>3.6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29949-2026</t>
        </is>
      </c>
      <c r="B422" t="inlineStr">
        <is>
          <t>avverkningsanmälan</t>
        </is>
      </c>
      <c r="C422" t="inlineStr">
        <is>
          <t>Föryngringsavverkning</t>
        </is>
      </c>
      <c r="D422" s="1" t="n">
        <v>46205</v>
      </c>
      <c r="E422" s="1" t="n">
        <v>46307</v>
      </c>
      <c r="F422" t="inlineStr">
        <is>
          <t>NORRBOTTENS LÄN</t>
        </is>
      </c>
      <c r="G422" t="inlineStr">
        <is>
          <t>GÄLLIVARE</t>
        </is>
      </c>
      <c r="H422" t="inlineStr">
        <is>
          <t>Sveaskog</t>
        </is>
      </c>
      <c r="I422" t="n">
        <v>2.8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29830-2026</t>
        </is>
      </c>
      <c r="B423" t="inlineStr">
        <is>
          <t>avverkningsanmälan</t>
        </is>
      </c>
      <c r="C423" t="inlineStr">
        <is>
          <t>Föryngringsavverkning</t>
        </is>
      </c>
      <c r="D423" s="1" t="n">
        <v>46205</v>
      </c>
      <c r="E423" s="1" t="n">
        <v>46307</v>
      </c>
      <c r="F423" t="inlineStr">
        <is>
          <t>NORRBOTTENS LÄN</t>
        </is>
      </c>
      <c r="G423" t="inlineStr">
        <is>
          <t>GÄLLIVARE</t>
        </is>
      </c>
      <c r="H423" t="inlineStr">
        <is>
          <t>Sveaskog</t>
        </is>
      </c>
      <c r="I423" t="n">
        <v>5.6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29934-2026</t>
        </is>
      </c>
      <c r="B424" t="inlineStr">
        <is>
          <t>avverkningsanmälan</t>
        </is>
      </c>
      <c r="C424" t="inlineStr">
        <is>
          <t>Föryngringsavverkning</t>
        </is>
      </c>
      <c r="D424" s="1" t="n">
        <v>46205</v>
      </c>
      <c r="E424" s="1" t="n">
        <v>46307</v>
      </c>
      <c r="F424" t="inlineStr">
        <is>
          <t>NORRBOTTENS LÄN</t>
        </is>
      </c>
      <c r="G424" t="inlineStr">
        <is>
          <t>GÄLLIVARE</t>
        </is>
      </c>
      <c r="H424" t="inlineStr">
        <is>
          <t>Sveaskog</t>
        </is>
      </c>
      <c r="I424" t="n">
        <v>0.3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29680-2026</t>
        </is>
      </c>
      <c r="B425" t="inlineStr">
        <is>
          <t>avverkningsanmälan</t>
        </is>
      </c>
      <c r="C425" t="inlineStr">
        <is>
          <t>Föryngringsavverkning</t>
        </is>
      </c>
      <c r="D425" s="1" t="n">
        <v>46204</v>
      </c>
      <c r="E425" s="1" t="n">
        <v>46307</v>
      </c>
      <c r="F425" t="inlineStr">
        <is>
          <t>NORRBOTTENS LÄN</t>
        </is>
      </c>
      <c r="G425" t="inlineStr">
        <is>
          <t>GÄLLIVARE</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29686-2026</t>
        </is>
      </c>
      <c r="B426" t="inlineStr">
        <is>
          <t>avverkningsanmälan</t>
        </is>
      </c>
      <c r="C426" t="inlineStr">
        <is>
          <t>Föryngringsavverkning</t>
        </is>
      </c>
      <c r="D426" s="1" t="n">
        <v>46204</v>
      </c>
      <c r="E426" s="1" t="n">
        <v>46307</v>
      </c>
      <c r="F426" t="inlineStr">
        <is>
          <t>NORRBOTTENS LÄN</t>
        </is>
      </c>
      <c r="G426" t="inlineStr">
        <is>
          <t>GÄLLIVARE</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29699-2026</t>
        </is>
      </c>
      <c r="B427" t="inlineStr">
        <is>
          <t>avverkningsanmälan</t>
        </is>
      </c>
      <c r="C427" t="inlineStr">
        <is>
          <t>Föryngringsavverkning</t>
        </is>
      </c>
      <c r="D427" s="1" t="n">
        <v>46204</v>
      </c>
      <c r="E427" s="1" t="n">
        <v>46307</v>
      </c>
      <c r="F427" t="inlineStr">
        <is>
          <t>NORRBOTTENS LÄN</t>
        </is>
      </c>
      <c r="G427" t="inlineStr">
        <is>
          <t>GÄLLIVARE</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29963-2026</t>
        </is>
      </c>
      <c r="B428" t="inlineStr">
        <is>
          <t>avverkningsanmälan</t>
        </is>
      </c>
      <c r="C428" t="inlineStr">
        <is>
          <t>Föryngringsavverkning</t>
        </is>
      </c>
      <c r="D428" s="1" t="n">
        <v>46205</v>
      </c>
      <c r="E428" s="1" t="n">
        <v>46307</v>
      </c>
      <c r="F428" t="inlineStr">
        <is>
          <t>NORRBOTTENS LÄN</t>
        </is>
      </c>
      <c r="G428" t="inlineStr">
        <is>
          <t>GÄLLIVARE</t>
        </is>
      </c>
      <c r="H428" t="inlineStr">
        <is>
          <t>Sveaskog</t>
        </is>
      </c>
      <c r="I428" t="n">
        <v>2.3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29695-2026</t>
        </is>
      </c>
      <c r="B429" t="inlineStr">
        <is>
          <t>avverkningsanmälan</t>
        </is>
      </c>
      <c r="C429" t="inlineStr">
        <is>
          <t>Föryngringsavverkning</t>
        </is>
      </c>
      <c r="D429" s="1" t="n">
        <v>46204</v>
      </c>
      <c r="E429" s="1" t="n">
        <v>46307</v>
      </c>
      <c r="F429" t="inlineStr">
        <is>
          <t>NORRBOTTENS LÄN</t>
        </is>
      </c>
      <c r="G429" t="inlineStr">
        <is>
          <t>GÄLLIVARE</t>
        </is>
      </c>
      <c r="I429" t="n">
        <v>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17547-2026</t>
        </is>
      </c>
      <c r="B430" t="inlineStr">
        <is>
          <t>avverkningsanmälan</t>
        </is>
      </c>
      <c r="C430" t="inlineStr">
        <is>
          <t>Föryngringsavverkning</t>
        </is>
      </c>
      <c r="D430" s="1" t="n">
        <v>46120</v>
      </c>
      <c r="E430" s="1" t="n">
        <v>46307</v>
      </c>
      <c r="F430" t="inlineStr">
        <is>
          <t>NORRBOTTENS LÄN</t>
        </is>
      </c>
      <c r="G430" t="inlineStr">
        <is>
          <t>GÄLLIVARE</t>
        </is>
      </c>
      <c r="I430" t="n">
        <v>47.4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30235-2026</t>
        </is>
      </c>
      <c r="B431" t="inlineStr">
        <is>
          <t>avverkningsanmälan</t>
        </is>
      </c>
      <c r="C431" t="inlineStr">
        <is>
          <t>Föryngringsavverkning</t>
        </is>
      </c>
      <c r="D431" s="1" t="n">
        <v>46206</v>
      </c>
      <c r="E431" s="1" t="n">
        <v>46307</v>
      </c>
      <c r="F431" t="inlineStr">
        <is>
          <t>NORRBOTTENS LÄN</t>
        </is>
      </c>
      <c r="G431" t="inlineStr">
        <is>
          <t>GÄLLIVARE</t>
        </is>
      </c>
      <c r="H431" t="inlineStr">
        <is>
          <t>Sveaskog</t>
        </is>
      </c>
      <c r="I431" t="n">
        <v>11.2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30018-2026</t>
        </is>
      </c>
      <c r="B432" t="inlineStr">
        <is>
          <t>avverkningsanmälan</t>
        </is>
      </c>
      <c r="C432" t="inlineStr">
        <is>
          <t>Föryngringsavverkning</t>
        </is>
      </c>
      <c r="D432" s="1" t="n">
        <v>46206</v>
      </c>
      <c r="E432" s="1" t="n">
        <v>46307</v>
      </c>
      <c r="F432" t="inlineStr">
        <is>
          <t>NORRBOTTENS LÄN</t>
        </is>
      </c>
      <c r="G432" t="inlineStr">
        <is>
          <t>GÄLLIVARE</t>
        </is>
      </c>
      <c r="H432" t="inlineStr">
        <is>
          <t>Sveaskog</t>
        </is>
      </c>
      <c r="I432" t="n">
        <v>7.4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30593-2026</t>
        </is>
      </c>
      <c r="B433" t="inlineStr">
        <is>
          <t>avverkningsanmälan</t>
        </is>
      </c>
      <c r="C433" t="inlineStr">
        <is>
          <t>Föryngringsavverkning</t>
        </is>
      </c>
      <c r="D433" s="1" t="n">
        <v>46210</v>
      </c>
      <c r="E433" s="1" t="n">
        <v>46307</v>
      </c>
      <c r="F433" t="inlineStr">
        <is>
          <t>NORRBOTTENS LÄN</t>
        </is>
      </c>
      <c r="G433" t="inlineStr">
        <is>
          <t>GÄLLIVARE</t>
        </is>
      </c>
      <c r="H433" t="inlineStr">
        <is>
          <t>Sveaskog</t>
        </is>
      </c>
      <c r="I433" t="n">
        <v>11.1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31126-2026</t>
        </is>
      </c>
      <c r="B434" t="inlineStr">
        <is>
          <t>avverkningsanmälan</t>
        </is>
      </c>
      <c r="C434" t="inlineStr">
        <is>
          <t>Föryngringsavverkning</t>
        </is>
      </c>
      <c r="D434" s="1" t="n">
        <v>46216</v>
      </c>
      <c r="E434" s="1" t="n">
        <v>46307</v>
      </c>
      <c r="F434" t="inlineStr">
        <is>
          <t>NORRBOTTENS LÄN</t>
        </is>
      </c>
      <c r="G434" t="inlineStr">
        <is>
          <t>GÄLLIVARE</t>
        </is>
      </c>
      <c r="I434" t="n">
        <v>2.9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25443-2026</t>
        </is>
      </c>
      <c r="B435" t="inlineStr">
        <is>
          <t>avverkningsanmälan</t>
        </is>
      </c>
      <c r="C435" t="inlineStr">
        <is>
          <t>Föryngringsavverkning</t>
        </is>
      </c>
      <c r="D435" s="1" t="n">
        <v>46177</v>
      </c>
      <c r="E435" s="1" t="n">
        <v>46307</v>
      </c>
      <c r="F435" t="inlineStr">
        <is>
          <t>NORRBOTTENS LÄN</t>
        </is>
      </c>
      <c r="G435" t="inlineStr">
        <is>
          <t>GÄLLIVARE</t>
        </is>
      </c>
      <c r="I435" t="n">
        <v>4.3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31173-2026</t>
        </is>
      </c>
      <c r="B436" t="inlineStr">
        <is>
          <t>avverkningsanmälan</t>
        </is>
      </c>
      <c r="C436" t="inlineStr">
        <is>
          <t>Föryngringsavverkning</t>
        </is>
      </c>
      <c r="D436" s="1" t="n">
        <v>46216</v>
      </c>
      <c r="E436" s="1" t="n">
        <v>46307</v>
      </c>
      <c r="F436" t="inlineStr">
        <is>
          <t>NORRBOTTENS LÄN</t>
        </is>
      </c>
      <c r="G436" t="inlineStr">
        <is>
          <t>GÄLLIVARE</t>
        </is>
      </c>
      <c r="H436" t="inlineStr">
        <is>
          <t>Sveaskog</t>
        </is>
      </c>
      <c r="I436" t="n">
        <v>2.9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35982-2026</t>
        </is>
      </c>
      <c r="B437" t="inlineStr">
        <is>
          <t>avverkningsanmälan</t>
        </is>
      </c>
      <c r="C437" t="inlineStr">
        <is>
          <t>Föryngringsavverkning</t>
        </is>
      </c>
      <c r="D437" s="1" t="n">
        <v>46266</v>
      </c>
      <c r="E437" s="1" t="n">
        <v>46307</v>
      </c>
      <c r="F437" t="inlineStr">
        <is>
          <t>NORRBOTTENS LÄN</t>
        </is>
      </c>
      <c r="G437" t="inlineStr">
        <is>
          <t>GÄLLIVARE</t>
        </is>
      </c>
      <c r="H437" t="inlineStr">
        <is>
          <t>SCA</t>
        </is>
      </c>
      <c r="I437" t="n">
        <v>2.8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36022-2026</t>
        </is>
      </c>
      <c r="B438" t="inlineStr">
        <is>
          <t>avverkningsanmälan</t>
        </is>
      </c>
      <c r="C438" t="inlineStr">
        <is>
          <t>Föryngringsavverkning</t>
        </is>
      </c>
      <c r="D438" s="1" t="n">
        <v>46266</v>
      </c>
      <c r="E438" s="1" t="n">
        <v>46307</v>
      </c>
      <c r="F438" t="inlineStr">
        <is>
          <t>NORRBOTTENS LÄN</t>
        </is>
      </c>
      <c r="G438" t="inlineStr">
        <is>
          <t>GÄLLIVARE</t>
        </is>
      </c>
      <c r="H438" t="inlineStr">
        <is>
          <t>Allmännings- och besparingsskogar</t>
        </is>
      </c>
      <c r="I438" t="n">
        <v>12.5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35998-2026</t>
        </is>
      </c>
      <c r="B439" t="inlineStr">
        <is>
          <t>avverkningsanmälan</t>
        </is>
      </c>
      <c r="C439" t="inlineStr">
        <is>
          <t>Föryngringsavverkning</t>
        </is>
      </c>
      <c r="D439" s="1" t="n">
        <v>46266</v>
      </c>
      <c r="E439" s="1" t="n">
        <v>46307</v>
      </c>
      <c r="F439" t="inlineStr">
        <is>
          <t>NORRBOTTENS LÄN</t>
        </is>
      </c>
      <c r="G439" t="inlineStr">
        <is>
          <t>GÄLLIVARE</t>
        </is>
      </c>
      <c r="H439" t="inlineStr">
        <is>
          <t>Allmännings- och besparingsskogar</t>
        </is>
      </c>
      <c r="I439" t="n">
        <v>34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35951-2026</t>
        </is>
      </c>
      <c r="B440" t="inlineStr">
        <is>
          <t>avverkningsanmälan</t>
        </is>
      </c>
      <c r="C440" t="inlineStr">
        <is>
          <t>Föryngringsavverkning</t>
        </is>
      </c>
      <c r="D440" s="1" t="n">
        <v>46266</v>
      </c>
      <c r="E440" s="1" t="n">
        <v>46307</v>
      </c>
      <c r="F440" t="inlineStr">
        <is>
          <t>NORRBOTTENS LÄN</t>
        </is>
      </c>
      <c r="G440" t="inlineStr">
        <is>
          <t>GÄLLIVARE</t>
        </is>
      </c>
      <c r="H440" t="inlineStr">
        <is>
          <t>SCA</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35952-2026</t>
        </is>
      </c>
      <c r="B441" t="inlineStr">
        <is>
          <t>avverkningsanmälan</t>
        </is>
      </c>
      <c r="C441" t="inlineStr">
        <is>
          <t>Föryngringsavverkning</t>
        </is>
      </c>
      <c r="D441" s="1" t="n">
        <v>46266</v>
      </c>
      <c r="E441" s="1" t="n">
        <v>46307</v>
      </c>
      <c r="F441" t="inlineStr">
        <is>
          <t>NORRBOTTENS LÄN</t>
        </is>
      </c>
      <c r="G441" t="inlineStr">
        <is>
          <t>GÄLLIVARE</t>
        </is>
      </c>
      <c r="H441" t="inlineStr">
        <is>
          <t>SCA</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35969-2026</t>
        </is>
      </c>
      <c r="B442" t="inlineStr">
        <is>
          <t>avverkningsanmälan</t>
        </is>
      </c>
      <c r="C442" t="inlineStr">
        <is>
          <t>Föryngringsavverkning</t>
        </is>
      </c>
      <c r="D442" s="1" t="n">
        <v>46266</v>
      </c>
      <c r="E442" s="1" t="n">
        <v>46307</v>
      </c>
      <c r="F442" t="inlineStr">
        <is>
          <t>NORRBOTTENS LÄN</t>
        </is>
      </c>
      <c r="G442" t="inlineStr">
        <is>
          <t>GÄLLIVARE</t>
        </is>
      </c>
      <c r="H442" t="inlineStr">
        <is>
          <t>SCA</t>
        </is>
      </c>
      <c r="I442" t="n">
        <v>5.2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35626-2026</t>
        </is>
      </c>
      <c r="B443" t="inlineStr">
        <is>
          <t>avverkningsanmälan</t>
        </is>
      </c>
      <c r="C443" t="inlineStr">
        <is>
          <t>Föryngringsavverkning</t>
        </is>
      </c>
      <c r="D443" s="1" t="n">
        <v>46265</v>
      </c>
      <c r="E443" s="1" t="n">
        <v>46307</v>
      </c>
      <c r="F443" t="inlineStr">
        <is>
          <t>NORRBOTTENS LÄN</t>
        </is>
      </c>
      <c r="G443" t="inlineStr">
        <is>
          <t>GÄLLIVARE</t>
        </is>
      </c>
      <c r="H443" t="inlineStr">
        <is>
          <t>SCA</t>
        </is>
      </c>
      <c r="I443" t="n">
        <v>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35665-2026</t>
        </is>
      </c>
      <c r="B444" t="inlineStr">
        <is>
          <t>avverkningsanmälan</t>
        </is>
      </c>
      <c r="C444" t="inlineStr">
        <is>
          <t>Föryngringsavverkning</t>
        </is>
      </c>
      <c r="D444" s="1" t="n">
        <v>46265</v>
      </c>
      <c r="E444" s="1" t="n">
        <v>46307</v>
      </c>
      <c r="F444" t="inlineStr">
        <is>
          <t>NORRBOTTENS LÄN</t>
        </is>
      </c>
      <c r="G444" t="inlineStr">
        <is>
          <t>GÄLLIVARE</t>
        </is>
      </c>
      <c r="I444" t="n">
        <v>3.3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31639-2026</t>
        </is>
      </c>
      <c r="B445" t="inlineStr">
        <is>
          <t>avverkningsanmälan</t>
        </is>
      </c>
      <c r="C445" t="inlineStr">
        <is>
          <t>Föryngringsavverkning</t>
        </is>
      </c>
      <c r="D445" s="1" t="n">
        <v>46225</v>
      </c>
      <c r="E445" s="1" t="n">
        <v>46307</v>
      </c>
      <c r="F445" t="inlineStr">
        <is>
          <t>NORRBOTTENS LÄN</t>
        </is>
      </c>
      <c r="G445" t="inlineStr">
        <is>
          <t>GÄLLIVARE</t>
        </is>
      </c>
      <c r="H445" t="inlineStr">
        <is>
          <t>Sveaskog</t>
        </is>
      </c>
      <c r="I445" t="n">
        <v>5.3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31636-2026</t>
        </is>
      </c>
      <c r="B446" t="inlineStr">
        <is>
          <t>avverkningsanmälan</t>
        </is>
      </c>
      <c r="C446" t="inlineStr">
        <is>
          <t>Föryngringsavverkning</t>
        </is>
      </c>
      <c r="D446" s="1" t="n">
        <v>46225</v>
      </c>
      <c r="E446" s="1" t="n">
        <v>46307</v>
      </c>
      <c r="F446" t="inlineStr">
        <is>
          <t>NORRBOTTENS LÄN</t>
        </is>
      </c>
      <c r="G446" t="inlineStr">
        <is>
          <t>GÄLLIVARE</t>
        </is>
      </c>
      <c r="H446" t="inlineStr">
        <is>
          <t>Sveaskog</t>
        </is>
      </c>
      <c r="I446" t="n">
        <v>2.6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36045-2026</t>
        </is>
      </c>
      <c r="B447" t="inlineStr">
        <is>
          <t>avverkningsanmälan</t>
        </is>
      </c>
      <c r="C447" t="inlineStr">
        <is>
          <t>Föryngringsavverkning</t>
        </is>
      </c>
      <c r="D447" s="1" t="n">
        <v>46266</v>
      </c>
      <c r="E447" s="1" t="n">
        <v>46307</v>
      </c>
      <c r="F447" t="inlineStr">
        <is>
          <t>NORRBOTTENS LÄN</t>
        </is>
      </c>
      <c r="G447" t="inlineStr">
        <is>
          <t>GÄLLIVARE</t>
        </is>
      </c>
      <c r="H447" t="inlineStr">
        <is>
          <t>Allmännings- och besparingsskogar</t>
        </is>
      </c>
      <c r="I447" t="n">
        <v>3.4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31637-2026</t>
        </is>
      </c>
      <c r="B448" t="inlineStr">
        <is>
          <t>avverkningsanmälan</t>
        </is>
      </c>
      <c r="C448" t="inlineStr">
        <is>
          <t>Föryngringsavverkning</t>
        </is>
      </c>
      <c r="D448" s="1" t="n">
        <v>46225</v>
      </c>
      <c r="E448" s="1" t="n">
        <v>46307</v>
      </c>
      <c r="F448" t="inlineStr">
        <is>
          <t>NORRBOTTENS LÄN</t>
        </is>
      </c>
      <c r="G448" t="inlineStr">
        <is>
          <t>GÄLLIVARE</t>
        </is>
      </c>
      <c r="H448" t="inlineStr">
        <is>
          <t>Sveaskog</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31638-2026</t>
        </is>
      </c>
      <c r="B449" t="inlineStr">
        <is>
          <t>avverkningsanmälan</t>
        </is>
      </c>
      <c r="C449" t="inlineStr">
        <is>
          <t>Föryngringsavverkning</t>
        </is>
      </c>
      <c r="D449" s="1" t="n">
        <v>46225</v>
      </c>
      <c r="E449" s="1" t="n">
        <v>46307</v>
      </c>
      <c r="F449" t="inlineStr">
        <is>
          <t>NORRBOTTENS LÄN</t>
        </is>
      </c>
      <c r="G449" t="inlineStr">
        <is>
          <t>GÄLLIVARE</t>
        </is>
      </c>
      <c r="H449" t="inlineStr">
        <is>
          <t>Sveaskog</t>
        </is>
      </c>
      <c r="I449" t="n">
        <v>4.3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36476-2026</t>
        </is>
      </c>
      <c r="B450" t="inlineStr">
        <is>
          <t>avverkningsanmälan</t>
        </is>
      </c>
      <c r="C450" t="inlineStr">
        <is>
          <t>Föryngringsavverkning</t>
        </is>
      </c>
      <c r="D450" s="1" t="n">
        <v>46269</v>
      </c>
      <c r="E450" s="1" t="n">
        <v>46307</v>
      </c>
      <c r="F450" t="inlineStr">
        <is>
          <t>NORRBOTTENS LÄN</t>
        </is>
      </c>
      <c r="G450" t="inlineStr">
        <is>
          <t>GÄLLIVARE</t>
        </is>
      </c>
      <c r="H450" t="inlineStr">
        <is>
          <t>Sveaskog</t>
        </is>
      </c>
      <c r="I450" t="n">
        <v>5.3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36205-2026</t>
        </is>
      </c>
      <c r="B451" t="inlineStr">
        <is>
          <t>avverkningsanmälan</t>
        </is>
      </c>
      <c r="C451" t="inlineStr">
        <is>
          <t>Föryngringsavverkning</t>
        </is>
      </c>
      <c r="D451" s="1" t="n">
        <v>46267</v>
      </c>
      <c r="E451" s="1" t="n">
        <v>46307</v>
      </c>
      <c r="F451" t="inlineStr">
        <is>
          <t>NORRBOTTENS LÄN</t>
        </is>
      </c>
      <c r="G451" t="inlineStr">
        <is>
          <t>GÄLLIVARE</t>
        </is>
      </c>
      <c r="H451" t="inlineStr">
        <is>
          <t>Naturvårdsverket</t>
        </is>
      </c>
      <c r="I451" t="n">
        <v>4.8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36193-2026</t>
        </is>
      </c>
      <c r="B452" t="inlineStr">
        <is>
          <t>avverkningsanmälan</t>
        </is>
      </c>
      <c r="C452" t="inlineStr">
        <is>
          <t>Föryngringsavverkning</t>
        </is>
      </c>
      <c r="D452" s="1" t="n">
        <v>46267</v>
      </c>
      <c r="E452" s="1" t="n">
        <v>46307</v>
      </c>
      <c r="F452" t="inlineStr">
        <is>
          <t>NORRBOTTENS LÄN</t>
        </is>
      </c>
      <c r="G452" t="inlineStr">
        <is>
          <t>GÄLLIVARE</t>
        </is>
      </c>
      <c r="H452" t="inlineStr">
        <is>
          <t>Allmännings- och besparingsskogar</t>
        </is>
      </c>
      <c r="I452" t="n">
        <v>21.3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36156-2026</t>
        </is>
      </c>
      <c r="B453" t="inlineStr">
        <is>
          <t>avverkningsanmälan</t>
        </is>
      </c>
      <c r="C453" t="inlineStr">
        <is>
          <t>Föryngringsavverkning</t>
        </is>
      </c>
      <c r="D453" s="1" t="n">
        <v>46267</v>
      </c>
      <c r="E453" s="1" t="n">
        <v>46307</v>
      </c>
      <c r="F453" t="inlineStr">
        <is>
          <t>NORRBOTTENS LÄN</t>
        </is>
      </c>
      <c r="G453" t="inlineStr">
        <is>
          <t>GÄLLIVARE</t>
        </is>
      </c>
      <c r="H453" t="inlineStr">
        <is>
          <t>Allmännings- och besparingsskogar</t>
        </is>
      </c>
      <c r="I453" t="n">
        <v>8.300000000000001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36483-2026</t>
        </is>
      </c>
      <c r="B454" t="inlineStr">
        <is>
          <t>avverkningsanmälan</t>
        </is>
      </c>
      <c r="C454" t="inlineStr">
        <is>
          <t>Föryngringsavverkning</t>
        </is>
      </c>
      <c r="D454" s="1" t="n">
        <v>46269</v>
      </c>
      <c r="E454" s="1" t="n">
        <v>46307</v>
      </c>
      <c r="F454" t="inlineStr">
        <is>
          <t>NORRBOTTENS LÄN</t>
        </is>
      </c>
      <c r="G454" t="inlineStr">
        <is>
          <t>GÄLLIVARE</t>
        </is>
      </c>
      <c r="H454" t="inlineStr">
        <is>
          <t>Sveaskog</t>
        </is>
      </c>
      <c r="I454" t="n">
        <v>17.1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36190-2026</t>
        </is>
      </c>
      <c r="B455" t="inlineStr">
        <is>
          <t>avverkningsanmälan</t>
        </is>
      </c>
      <c r="C455" t="inlineStr">
        <is>
          <t>Föryngringsavverkning</t>
        </is>
      </c>
      <c r="D455" s="1" t="n">
        <v>46267</v>
      </c>
      <c r="E455" s="1" t="n">
        <v>46307</v>
      </c>
      <c r="F455" t="inlineStr">
        <is>
          <t>NORRBOTTENS LÄN</t>
        </is>
      </c>
      <c r="G455" t="inlineStr">
        <is>
          <t>GÄLLIVARE</t>
        </is>
      </c>
      <c r="H455" t="inlineStr">
        <is>
          <t>Allmännings- och besparingsskogar</t>
        </is>
      </c>
      <c r="I455" t="n">
        <v>25.4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36488-2026</t>
        </is>
      </c>
      <c r="B456" t="inlineStr">
        <is>
          <t>avverkningsanmälan</t>
        </is>
      </c>
      <c r="C456" t="inlineStr">
        <is>
          <t>Föryngringsavverkning</t>
        </is>
      </c>
      <c r="D456" s="1" t="n">
        <v>46269</v>
      </c>
      <c r="E456" s="1" t="n">
        <v>46307</v>
      </c>
      <c r="F456" t="inlineStr">
        <is>
          <t>NORRBOTTENS LÄN</t>
        </is>
      </c>
      <c r="G456" t="inlineStr">
        <is>
          <t>GÄLLIVARE</t>
        </is>
      </c>
      <c r="H456" t="inlineStr">
        <is>
          <t>Sveaskog</t>
        </is>
      </c>
      <c r="I456" t="n">
        <v>16.3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31875-2026</t>
        </is>
      </c>
      <c r="B457" t="inlineStr">
        <is>
          <t>avverkningsanmälan</t>
        </is>
      </c>
      <c r="C457" t="inlineStr">
        <is>
          <t>Föryngringsavverkning</t>
        </is>
      </c>
      <c r="D457" s="1" t="n">
        <v>46231</v>
      </c>
      <c r="E457" s="1" t="n">
        <v>46307</v>
      </c>
      <c r="F457" t="inlineStr">
        <is>
          <t>NORRBOTTENS LÄN</t>
        </is>
      </c>
      <c r="G457" t="inlineStr">
        <is>
          <t>GÄLLIVARE</t>
        </is>
      </c>
      <c r="H457" t="inlineStr">
        <is>
          <t>Naturvårdsverket</t>
        </is>
      </c>
      <c r="I457" t="n">
        <v>21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37076-2026</t>
        </is>
      </c>
      <c r="B458" t="inlineStr">
        <is>
          <t>avverkningsanmälan</t>
        </is>
      </c>
      <c r="C458" t="inlineStr">
        <is>
          <t>Föryngringsavverkning</t>
        </is>
      </c>
      <c r="D458" s="1" t="n">
        <v>46273</v>
      </c>
      <c r="E458" s="1" t="n">
        <v>46307</v>
      </c>
      <c r="F458" t="inlineStr">
        <is>
          <t>NORRBOTTENS LÄN</t>
        </is>
      </c>
      <c r="G458" t="inlineStr">
        <is>
          <t>GÄLLIVARE</t>
        </is>
      </c>
      <c r="H458" t="inlineStr">
        <is>
          <t>Allmännings- och besparingsskogar</t>
        </is>
      </c>
      <c r="I458" t="n">
        <v>8.9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31909-2026</t>
        </is>
      </c>
      <c r="B459" t="inlineStr">
        <is>
          <t>avverkningsanmälan</t>
        </is>
      </c>
      <c r="C459" t="inlineStr">
        <is>
          <t>Föryngringsavverkning</t>
        </is>
      </c>
      <c r="D459" s="1" t="n">
        <v>46231</v>
      </c>
      <c r="E459" s="1" t="n">
        <v>46307</v>
      </c>
      <c r="F459" t="inlineStr">
        <is>
          <t>NORRBOTTENS LÄN</t>
        </is>
      </c>
      <c r="G459" t="inlineStr">
        <is>
          <t>GÄLLIVARE</t>
        </is>
      </c>
      <c r="H459" t="inlineStr">
        <is>
          <t>SCA</t>
        </is>
      </c>
      <c r="I459" t="n">
        <v>3.8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37137-2026</t>
        </is>
      </c>
      <c r="B460" t="inlineStr">
        <is>
          <t>avverkningsanmälan</t>
        </is>
      </c>
      <c r="C460" t="inlineStr">
        <is>
          <t>Föryngringsavverkning</t>
        </is>
      </c>
      <c r="D460" s="1" t="n">
        <v>46274</v>
      </c>
      <c r="E460" s="1" t="n">
        <v>46307</v>
      </c>
      <c r="F460" t="inlineStr">
        <is>
          <t>NORRBOTTENS LÄN</t>
        </is>
      </c>
      <c r="G460" t="inlineStr">
        <is>
          <t>GÄLLIVARE</t>
        </is>
      </c>
      <c r="H460" t="inlineStr">
        <is>
          <t>Allmännings- och besparingsskogar</t>
        </is>
      </c>
      <c r="I460" t="n">
        <v>9.199999999999999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37072-2026</t>
        </is>
      </c>
      <c r="B461" t="inlineStr">
        <is>
          <t>avverkningsanmälan</t>
        </is>
      </c>
      <c r="C461" t="inlineStr">
        <is>
          <t>Föryngringsavverkning</t>
        </is>
      </c>
      <c r="D461" s="1" t="n">
        <v>46273</v>
      </c>
      <c r="E461" s="1" t="n">
        <v>46307</v>
      </c>
      <c r="F461" t="inlineStr">
        <is>
          <t>NORRBOTTENS LÄN</t>
        </is>
      </c>
      <c r="G461" t="inlineStr">
        <is>
          <t>GÄLLIVARE</t>
        </is>
      </c>
      <c r="H461" t="inlineStr">
        <is>
          <t>Allmännings- och besparingsskogar</t>
        </is>
      </c>
      <c r="I461" t="n">
        <v>18.2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37086-2026</t>
        </is>
      </c>
      <c r="B462" t="inlineStr">
        <is>
          <t>avverkningsanmälan</t>
        </is>
      </c>
      <c r="C462" t="inlineStr">
        <is>
          <t>Föryngringsavverkning</t>
        </is>
      </c>
      <c r="D462" s="1" t="n">
        <v>46273</v>
      </c>
      <c r="E462" s="1" t="n">
        <v>46307</v>
      </c>
      <c r="F462" t="inlineStr">
        <is>
          <t>NORRBOTTENS LÄN</t>
        </is>
      </c>
      <c r="G462" t="inlineStr">
        <is>
          <t>GÄLLIVARE</t>
        </is>
      </c>
      <c r="H462" t="inlineStr">
        <is>
          <t>Allmännings- och besparingsskogar</t>
        </is>
      </c>
      <c r="I462" t="n">
        <v>18.8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37081-2026</t>
        </is>
      </c>
      <c r="B463" t="inlineStr">
        <is>
          <t>avverkningsanmälan</t>
        </is>
      </c>
      <c r="C463" t="inlineStr">
        <is>
          <t>Föryngringsavverkning</t>
        </is>
      </c>
      <c r="D463" s="1" t="n">
        <v>46273</v>
      </c>
      <c r="E463" s="1" t="n">
        <v>46307</v>
      </c>
      <c r="F463" t="inlineStr">
        <is>
          <t>NORRBOTTENS LÄN</t>
        </is>
      </c>
      <c r="G463" t="inlineStr">
        <is>
          <t>GÄLLIVARE</t>
        </is>
      </c>
      <c r="H463" t="inlineStr">
        <is>
          <t>Allmännings- och besparingsskogar</t>
        </is>
      </c>
      <c r="I463" t="n">
        <v>19.2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31874-2026</t>
        </is>
      </c>
      <c r="B464" t="inlineStr">
        <is>
          <t>avverkningsanmälan</t>
        </is>
      </c>
      <c r="C464" t="inlineStr">
        <is>
          <t>Föryngringsavverkning</t>
        </is>
      </c>
      <c r="D464" s="1" t="n">
        <v>46231</v>
      </c>
      <c r="E464" s="1" t="n">
        <v>46307</v>
      </c>
      <c r="F464" t="inlineStr">
        <is>
          <t>NORRBOTTENS LÄN</t>
        </is>
      </c>
      <c r="G464" t="inlineStr">
        <is>
          <t>GÄLLIVARE</t>
        </is>
      </c>
      <c r="H464" t="inlineStr">
        <is>
          <t>SCA</t>
        </is>
      </c>
      <c r="I464" t="n">
        <v>4.4</v>
      </c>
      <c r="J464" t="n">
        <v>0</v>
      </c>
      <c r="K464" t="n">
        <v>0</v>
      </c>
      <c r="L464" t="n">
        <v>0</v>
      </c>
      <c r="M464" t="n">
        <v>0</v>
      </c>
      <c r="N464" t="n">
        <v>0</v>
      </c>
      <c r="O464" t="n">
        <v>0</v>
      </c>
      <c r="P464" t="n">
        <v>0</v>
      </c>
      <c r="Q464" t="n">
        <v>0</v>
      </c>
      <c r="R464" t="n">
        <v>0</v>
      </c>
      <c r="S464" t="n">
        <v>0</v>
      </c>
      <c r="T464" t="n">
        <v>0</v>
      </c>
      <c r="U464" t="n">
        <v>0</v>
      </c>
      <c r="V464" s="2" t="inlineStr"/>
      <c r="Z464">
        <f>HYPERLINK("https://klasma.github.io/Logging_2523/knärot/A 31874-2026 karta knärot.png", "A 31874-2026")</f>
        <v/>
      </c>
      <c r="AA464">
        <f>HYPERLINK("https://klasma.github.io/Logging_2523/klagomål/A 31874-2026 FSC-klagomål.docx", "A 31874-2026")</f>
        <v/>
      </c>
      <c r="AB464">
        <f>HYPERLINK("https://klasma.github.io/Logging_2523/klagomålsmail/A 31874-2026 FSC-klagomål mail.docx", "A 31874-2026")</f>
        <v/>
      </c>
      <c r="AC464">
        <f>HYPERLINK("https://klasma.github.io/Logging_2523/tillsyn/A 31874-2026 tillsynsbegäran.docx", "A 31874-2026")</f>
        <v/>
      </c>
      <c r="AD464">
        <f>HYPERLINK("https://klasma.github.io/Logging_2523/tillsynsmail/A 31874-2026 tillsynsbegäran mail.docx", "A 31874-2026")</f>
        <v/>
      </c>
    </row>
    <row r="465" ht="15" customHeight="1">
      <c r="A465" t="inlineStr">
        <is>
          <t>A 37128-2026</t>
        </is>
      </c>
      <c r="B465" t="inlineStr">
        <is>
          <t>avverkningsanmälan</t>
        </is>
      </c>
      <c r="C465" t="inlineStr">
        <is>
          <t>Föryngringsavverkning</t>
        </is>
      </c>
      <c r="D465" s="1" t="n">
        <v>46274</v>
      </c>
      <c r="E465" s="1" t="n">
        <v>46307</v>
      </c>
      <c r="F465" t="inlineStr">
        <is>
          <t>NORRBOTTENS LÄN</t>
        </is>
      </c>
      <c r="G465" t="inlineStr">
        <is>
          <t>GÄLLIVARE</t>
        </is>
      </c>
      <c r="H465" t="inlineStr">
        <is>
          <t>Allmännings- och besparingsskogar</t>
        </is>
      </c>
      <c r="I465" t="n">
        <v>16.3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37358-2026</t>
        </is>
      </c>
      <c r="B466" t="inlineStr">
        <is>
          <t>avverkningsanmälan</t>
        </is>
      </c>
      <c r="C466" t="inlineStr">
        <is>
          <t>Avverkning för annat ändamål</t>
        </is>
      </c>
      <c r="D466" s="1" t="n">
        <v>46275</v>
      </c>
      <c r="E466" s="1" t="n">
        <v>46307</v>
      </c>
      <c r="F466" t="inlineStr">
        <is>
          <t>NORRBOTTENS LÄN</t>
        </is>
      </c>
      <c r="G466" t="inlineStr">
        <is>
          <t>GÄLLIVARE</t>
        </is>
      </c>
      <c r="H466" t="inlineStr">
        <is>
          <t>SCA</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36158-2026</t>
        </is>
      </c>
      <c r="B467" t="inlineStr">
        <is>
          <t>avverkningsanmälan</t>
        </is>
      </c>
      <c r="C467" t="inlineStr">
        <is>
          <t>Föryngringsavverkning</t>
        </is>
      </c>
      <c r="D467" s="1" t="n">
        <v>46267</v>
      </c>
      <c r="E467" s="1" t="n">
        <v>46307</v>
      </c>
      <c r="F467" t="inlineStr">
        <is>
          <t>NORRBOTTENS LÄN</t>
        </is>
      </c>
      <c r="G467" t="inlineStr">
        <is>
          <t>GÄLLIVARE</t>
        </is>
      </c>
      <c r="H467" t="inlineStr">
        <is>
          <t>Allmännings- och besparingsskogar</t>
        </is>
      </c>
      <c r="I467" t="n">
        <v>23.9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9655-2024</t>
        </is>
      </c>
      <c r="B468" t="inlineStr">
        <is>
          <t>avverkningsanmälan</t>
        </is>
      </c>
      <c r="C468" t="inlineStr">
        <is>
          <t>Föryngringsavverkning</t>
        </is>
      </c>
      <c r="D468" s="1" t="n">
        <v>45362</v>
      </c>
      <c r="E468" s="1" t="n">
        <v>46307</v>
      </c>
      <c r="F468" t="inlineStr">
        <is>
          <t>NORRBOTTENS LÄN</t>
        </is>
      </c>
      <c r="G468" t="inlineStr">
        <is>
          <t>GÄLLIVARE</t>
        </is>
      </c>
      <c r="H468" t="inlineStr">
        <is>
          <t>Sveaskog</t>
        </is>
      </c>
      <c r="I468" t="n">
        <v>9.1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37347-2026</t>
        </is>
      </c>
      <c r="B469" t="inlineStr">
        <is>
          <t>avverkningsanmälan</t>
        </is>
      </c>
      <c r="C469" t="inlineStr">
        <is>
          <t>Föryngringsavverkning</t>
        </is>
      </c>
      <c r="D469" s="1" t="n">
        <v>46275</v>
      </c>
      <c r="E469" s="1" t="n">
        <v>46307</v>
      </c>
      <c r="F469" t="inlineStr">
        <is>
          <t>NORRBOTTENS LÄN</t>
        </is>
      </c>
      <c r="G469" t="inlineStr">
        <is>
          <t>GÄLLIVARE</t>
        </is>
      </c>
      <c r="H469" t="inlineStr">
        <is>
          <t>SCA</t>
        </is>
      </c>
      <c r="I469" t="n">
        <v>4.6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37285-2026</t>
        </is>
      </c>
      <c r="B470" t="inlineStr">
        <is>
          <t>avverkningsanmälan</t>
        </is>
      </c>
      <c r="C470" t="inlineStr">
        <is>
          <t>Föryngringsavverkning</t>
        </is>
      </c>
      <c r="D470" s="1" t="n">
        <v>46274</v>
      </c>
      <c r="E470" s="1" t="n">
        <v>46307</v>
      </c>
      <c r="F470" t="inlineStr">
        <is>
          <t>NORRBOTTENS LÄN</t>
        </is>
      </c>
      <c r="G470" t="inlineStr">
        <is>
          <t>GÄLLIVARE</t>
        </is>
      </c>
      <c r="H470" t="inlineStr">
        <is>
          <t>Allmännings- och besparingsskogar</t>
        </is>
      </c>
      <c r="I470" t="n">
        <v>4.9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37322-2026</t>
        </is>
      </c>
      <c r="B471" t="inlineStr">
        <is>
          <t>avverkningsanmälan</t>
        </is>
      </c>
      <c r="C471" t="inlineStr">
        <is>
          <t>Föryngringsavverkning</t>
        </is>
      </c>
      <c r="D471" s="1" t="n">
        <v>46275</v>
      </c>
      <c r="E471" s="1" t="n">
        <v>46307</v>
      </c>
      <c r="F471" t="inlineStr">
        <is>
          <t>NORRBOTTENS LÄN</t>
        </is>
      </c>
      <c r="G471" t="inlineStr">
        <is>
          <t>GÄLLIVARE</t>
        </is>
      </c>
      <c r="H471" t="inlineStr">
        <is>
          <t>Sveaskog</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37357-2026</t>
        </is>
      </c>
      <c r="B472" t="inlineStr">
        <is>
          <t>avverkningsanmälan</t>
        </is>
      </c>
      <c r="C472" t="inlineStr">
        <is>
          <t>Avverkning för annat ändamål</t>
        </is>
      </c>
      <c r="D472" s="1" t="n">
        <v>46275</v>
      </c>
      <c r="E472" s="1" t="n">
        <v>46307</v>
      </c>
      <c r="F472" t="inlineStr">
        <is>
          <t>NORRBOTTENS LÄN</t>
        </is>
      </c>
      <c r="G472" t="inlineStr">
        <is>
          <t>GÄLLIVARE</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37749-2026</t>
        </is>
      </c>
      <c r="B473" t="inlineStr">
        <is>
          <t>avverkningsanmälan</t>
        </is>
      </c>
      <c r="C473" t="inlineStr">
        <is>
          <t>Föryngringsavverkning</t>
        </is>
      </c>
      <c r="D473" s="1" t="n">
        <v>46279</v>
      </c>
      <c r="E473" s="1" t="n">
        <v>46307</v>
      </c>
      <c r="F473" t="inlineStr">
        <is>
          <t>NORRBOTTENS LÄN</t>
        </is>
      </c>
      <c r="G473" t="inlineStr">
        <is>
          <t>GÄLLIVARE</t>
        </is>
      </c>
      <c r="H473" t="inlineStr">
        <is>
          <t>SCA</t>
        </is>
      </c>
      <c r="I473" t="n">
        <v>2.8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37825-2026</t>
        </is>
      </c>
      <c r="B474" t="inlineStr">
        <is>
          <t>avverkningsanmälan</t>
        </is>
      </c>
      <c r="C474" t="inlineStr">
        <is>
          <t>Föryngringsavverkning</t>
        </is>
      </c>
      <c r="D474" s="1" t="n">
        <v>46279</v>
      </c>
      <c r="E474" s="1" t="n">
        <v>46307</v>
      </c>
      <c r="F474" t="inlineStr">
        <is>
          <t>NORRBOTTENS LÄN</t>
        </is>
      </c>
      <c r="G474" t="inlineStr">
        <is>
          <t>GÄLLIVARE</t>
        </is>
      </c>
      <c r="H474" t="inlineStr">
        <is>
          <t>Sveaskog</t>
        </is>
      </c>
      <c r="I474" t="n">
        <v>6.5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37170-2026</t>
        </is>
      </c>
      <c r="B475" t="inlineStr">
        <is>
          <t>avverkningsanmälan</t>
        </is>
      </c>
      <c r="C475" t="inlineStr">
        <is>
          <t>Föryngringsavverkning</t>
        </is>
      </c>
      <c r="D475" s="1" t="n">
        <v>46274</v>
      </c>
      <c r="E475" s="1" t="n">
        <v>46307</v>
      </c>
      <c r="F475" t="inlineStr">
        <is>
          <t>NORRBOTTENS LÄN</t>
        </is>
      </c>
      <c r="G475" t="inlineStr">
        <is>
          <t>GÄLLIVARE</t>
        </is>
      </c>
      <c r="H475" t="inlineStr">
        <is>
          <t>Allmännings- och besparingsskogar</t>
        </is>
      </c>
      <c r="I475" t="n">
        <v>21.3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37169-2026</t>
        </is>
      </c>
      <c r="B476" t="inlineStr">
        <is>
          <t>avverkningsanmälan</t>
        </is>
      </c>
      <c r="C476" t="inlineStr">
        <is>
          <t>Föryngringsavverkning</t>
        </is>
      </c>
      <c r="D476" s="1" t="n">
        <v>46274</v>
      </c>
      <c r="E476" s="1" t="n">
        <v>46307</v>
      </c>
      <c r="F476" t="inlineStr">
        <is>
          <t>NORRBOTTENS LÄN</t>
        </is>
      </c>
      <c r="G476" t="inlineStr">
        <is>
          <t>GÄLLIVARE</t>
        </is>
      </c>
      <c r="H476" t="inlineStr">
        <is>
          <t>Allmännings- och besparingsskogar</t>
        </is>
      </c>
      <c r="I476" t="n">
        <v>27.5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37816-2026</t>
        </is>
      </c>
      <c r="B477" t="inlineStr">
        <is>
          <t>avverkningsanmälan</t>
        </is>
      </c>
      <c r="C477" t="inlineStr">
        <is>
          <t>Föryngringsavverkning</t>
        </is>
      </c>
      <c r="D477" s="1" t="n">
        <v>46279</v>
      </c>
      <c r="E477" s="1" t="n">
        <v>46307</v>
      </c>
      <c r="F477" t="inlineStr">
        <is>
          <t>NORRBOTTENS LÄN</t>
        </is>
      </c>
      <c r="G477" t="inlineStr">
        <is>
          <t>GÄLLIVARE</t>
        </is>
      </c>
      <c r="H477" t="inlineStr">
        <is>
          <t>Sveaskog</t>
        </is>
      </c>
      <c r="I477" t="n">
        <v>16.6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37752-2026</t>
        </is>
      </c>
      <c r="B478" t="inlineStr">
        <is>
          <t>avverkningsanmälan</t>
        </is>
      </c>
      <c r="C478" t="inlineStr">
        <is>
          <t>Föryngringsavverkning</t>
        </is>
      </c>
      <c r="D478" s="1" t="n">
        <v>46279</v>
      </c>
      <c r="E478" s="1" t="n">
        <v>46307</v>
      </c>
      <c r="F478" t="inlineStr">
        <is>
          <t>NORRBOTTENS LÄN</t>
        </is>
      </c>
      <c r="G478" t="inlineStr">
        <is>
          <t>GÄLLIVARE</t>
        </is>
      </c>
      <c r="H478" t="inlineStr">
        <is>
          <t>SCA</t>
        </is>
      </c>
      <c r="I478" t="n">
        <v>2.8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9650-2024</t>
        </is>
      </c>
      <c r="B479" t="inlineStr">
        <is>
          <t>avverkningsanmälan</t>
        </is>
      </c>
      <c r="C479" t="inlineStr">
        <is>
          <t>Föryngringsavverkning</t>
        </is>
      </c>
      <c r="D479" s="1" t="n">
        <v>45362</v>
      </c>
      <c r="E479" s="1" t="n">
        <v>46307</v>
      </c>
      <c r="F479" t="inlineStr">
        <is>
          <t>NORRBOTTENS LÄN</t>
        </is>
      </c>
      <c r="G479" t="inlineStr">
        <is>
          <t>GÄLLIVARE</t>
        </is>
      </c>
      <c r="H479" t="inlineStr">
        <is>
          <t>Sveaskog</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32299-2026</t>
        </is>
      </c>
      <c r="B480" t="inlineStr">
        <is>
          <t>avverkningsanmälan</t>
        </is>
      </c>
      <c r="C480" t="inlineStr">
        <is>
          <t>Föryngringsavverkning</t>
        </is>
      </c>
      <c r="D480" s="1" t="n">
        <v>46237</v>
      </c>
      <c r="E480" s="1" t="n">
        <v>46307</v>
      </c>
      <c r="F480" t="inlineStr">
        <is>
          <t>NORRBOTTENS LÄN</t>
        </is>
      </c>
      <c r="G480" t="inlineStr">
        <is>
          <t>GÄLLIVARE</t>
        </is>
      </c>
      <c r="I480" t="n">
        <v>26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38206-2026</t>
        </is>
      </c>
      <c r="B481" t="inlineStr">
        <is>
          <t>avverkningsanmälan</t>
        </is>
      </c>
      <c r="C481" t="inlineStr">
        <is>
          <t>Föryngringsavverkning</t>
        </is>
      </c>
      <c r="D481" s="1" t="n">
        <v>46281</v>
      </c>
      <c r="E481" s="1" t="n">
        <v>46307</v>
      </c>
      <c r="F481" t="inlineStr">
        <is>
          <t>NORRBOTTENS LÄN</t>
        </is>
      </c>
      <c r="G481" t="inlineStr">
        <is>
          <t>GÄLLIVARE</t>
        </is>
      </c>
      <c r="H481" t="inlineStr">
        <is>
          <t>Sveaskog</t>
        </is>
      </c>
      <c r="I481" t="n">
        <v>4.7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37051-2026</t>
        </is>
      </c>
      <c r="B482" t="inlineStr">
        <is>
          <t>avverkningsanmälan</t>
        </is>
      </c>
      <c r="C482" t="inlineStr">
        <is>
          <t>Avverkning för annat ändamål</t>
        </is>
      </c>
      <c r="D482" s="1" t="n">
        <v>46273</v>
      </c>
      <c r="E482" s="1" t="n">
        <v>46307</v>
      </c>
      <c r="F482" t="inlineStr">
        <is>
          <t>NORRBOTTENS LÄN</t>
        </is>
      </c>
      <c r="G482" t="inlineStr">
        <is>
          <t>GÄLLIVARE</t>
        </is>
      </c>
      <c r="H482" t="inlineStr">
        <is>
          <t>SCA</t>
        </is>
      </c>
      <c r="I482" t="n">
        <v>2.8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38204-2026</t>
        </is>
      </c>
      <c r="B483" t="inlineStr">
        <is>
          <t>avverkningsanmälan</t>
        </is>
      </c>
      <c r="C483" t="inlineStr">
        <is>
          <t>Föryngringsavverkning</t>
        </is>
      </c>
      <c r="D483" s="1" t="n">
        <v>46281</v>
      </c>
      <c r="E483" s="1" t="n">
        <v>46307</v>
      </c>
      <c r="F483" t="inlineStr">
        <is>
          <t>NORRBOTTENS LÄN</t>
        </is>
      </c>
      <c r="G483" t="inlineStr">
        <is>
          <t>GÄLLIVARE</t>
        </is>
      </c>
      <c r="H483" t="inlineStr">
        <is>
          <t>Sveaskog</t>
        </is>
      </c>
      <c r="I483" t="n">
        <v>13.3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38131-2026</t>
        </is>
      </c>
      <c r="B484" t="inlineStr">
        <is>
          <t>avverkningsanmälan</t>
        </is>
      </c>
      <c r="C484" t="inlineStr">
        <is>
          <t>Föryngringsavverkning</t>
        </is>
      </c>
      <c r="D484" s="1" t="n">
        <v>46280</v>
      </c>
      <c r="E484" s="1" t="n">
        <v>46307</v>
      </c>
      <c r="F484" t="inlineStr">
        <is>
          <t>NORRBOTTENS LÄN</t>
        </is>
      </c>
      <c r="G484" t="inlineStr">
        <is>
          <t>GÄLLIVARE</t>
        </is>
      </c>
      <c r="H484" t="inlineStr">
        <is>
          <t>Allmännings- och besparingsskogar</t>
        </is>
      </c>
      <c r="I484" t="n">
        <v>15.8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38848-2026</t>
        </is>
      </c>
      <c r="B485" t="inlineStr">
        <is>
          <t>avverkningsanmälan</t>
        </is>
      </c>
      <c r="C485" t="inlineStr">
        <is>
          <t>Föryngringsavverkning</t>
        </is>
      </c>
      <c r="D485" s="1" t="n">
        <v>46286</v>
      </c>
      <c r="E485" s="1" t="n">
        <v>46307</v>
      </c>
      <c r="F485" t="inlineStr">
        <is>
          <t>NORRBOTTENS LÄN</t>
        </is>
      </c>
      <c r="G485" t="inlineStr">
        <is>
          <t>GÄLLIVARE</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32831-2026</t>
        </is>
      </c>
      <c r="B486" t="inlineStr">
        <is>
          <t>avverkningsanmälan</t>
        </is>
      </c>
      <c r="C486" t="inlineStr">
        <is>
          <t>Föryngringsavverkning</t>
        </is>
      </c>
      <c r="D486" s="1" t="n">
        <v>46243</v>
      </c>
      <c r="E486" s="1" t="n">
        <v>46307</v>
      </c>
      <c r="F486" t="inlineStr">
        <is>
          <t>NORRBOTTENS LÄN</t>
        </is>
      </c>
      <c r="G486" t="inlineStr">
        <is>
          <t>GÄLLIVARE</t>
        </is>
      </c>
      <c r="H486" t="inlineStr">
        <is>
          <t>SCA</t>
        </is>
      </c>
      <c r="I486" t="n">
        <v>4.1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33016-2026</t>
        </is>
      </c>
      <c r="B487" t="inlineStr">
        <is>
          <t>avverkningsanmälan</t>
        </is>
      </c>
      <c r="C487" t="inlineStr">
        <is>
          <t>Föryngringsavverkning</t>
        </is>
      </c>
      <c r="D487" s="1" t="n">
        <v>46244</v>
      </c>
      <c r="E487" s="1" t="n">
        <v>46307</v>
      </c>
      <c r="F487" t="inlineStr">
        <is>
          <t>NORRBOTTENS LÄN</t>
        </is>
      </c>
      <c r="G487" t="inlineStr">
        <is>
          <t>GÄLLIVARE</t>
        </is>
      </c>
      <c r="I487" t="n">
        <v>14.4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36556-2025</t>
        </is>
      </c>
      <c r="B488" t="inlineStr">
        <is>
          <t>avverkningsanmälan</t>
        </is>
      </c>
      <c r="C488" t="inlineStr">
        <is>
          <t>Föryngringsavverkning</t>
        </is>
      </c>
      <c r="D488" s="1" t="n">
        <v>45870</v>
      </c>
      <c r="E488" s="1" t="n">
        <v>46307</v>
      </c>
      <c r="F488" t="inlineStr">
        <is>
          <t>NORRBOTTENS LÄN</t>
        </is>
      </c>
      <c r="G488" t="inlineStr">
        <is>
          <t>GÄLLIVARE</t>
        </is>
      </c>
      <c r="I488" t="n">
        <v>7.3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38817-2026</t>
        </is>
      </c>
      <c r="B489" t="inlineStr">
        <is>
          <t>avverkningsanmälan</t>
        </is>
      </c>
      <c r="C489" t="inlineStr">
        <is>
          <t>Föryngringsavverkning</t>
        </is>
      </c>
      <c r="D489" s="1" t="n">
        <v>46286</v>
      </c>
      <c r="E489" s="1" t="n">
        <v>46307</v>
      </c>
      <c r="F489" t="inlineStr">
        <is>
          <t>NORRBOTTENS LÄN</t>
        </is>
      </c>
      <c r="G489" t="inlineStr">
        <is>
          <t>GÄLLIVARE</t>
        </is>
      </c>
      <c r="I489" t="n">
        <v>5.3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41169-2025</t>
        </is>
      </c>
      <c r="B490" t="inlineStr">
        <is>
          <t>avverkningsanmälan</t>
        </is>
      </c>
      <c r="C490" t="inlineStr">
        <is>
          <t>Föryngringsavverkning</t>
        </is>
      </c>
      <c r="D490" s="1" t="n">
        <v>45898</v>
      </c>
      <c r="E490" s="1" t="n">
        <v>46307</v>
      </c>
      <c r="F490" t="inlineStr">
        <is>
          <t>NORRBOTTENS LÄN</t>
        </is>
      </c>
      <c r="G490" t="inlineStr">
        <is>
          <t>GÄLLIVARE</t>
        </is>
      </c>
      <c r="H490" t="inlineStr">
        <is>
          <t>Sveaskog</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39193-2026</t>
        </is>
      </c>
      <c r="B491" t="inlineStr">
        <is>
          <t>avverkningsanmälan</t>
        </is>
      </c>
      <c r="C491" t="inlineStr">
        <is>
          <t>Föryngringsavverkning</t>
        </is>
      </c>
      <c r="D491" s="1" t="n">
        <v>46287</v>
      </c>
      <c r="E491" s="1" t="n">
        <v>46307</v>
      </c>
      <c r="F491" t="inlineStr">
        <is>
          <t>NORRBOTTENS LÄN</t>
        </is>
      </c>
      <c r="G491" t="inlineStr">
        <is>
          <t>GÄLLIVARE</t>
        </is>
      </c>
      <c r="I491" t="n">
        <v>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42906-2025</t>
        </is>
      </c>
      <c r="B492" t="inlineStr">
        <is>
          <t>avverkningsanmälan</t>
        </is>
      </c>
      <c r="C492" t="inlineStr">
        <is>
          <t>Föryngringsavverkning</t>
        </is>
      </c>
      <c r="D492" s="1" t="n">
        <v>45908</v>
      </c>
      <c r="E492" s="1" t="n">
        <v>46307</v>
      </c>
      <c r="F492" t="inlineStr">
        <is>
          <t>NORRBOTTENS LÄN</t>
        </is>
      </c>
      <c r="G492" t="inlineStr">
        <is>
          <t>GÄLLIVARE</t>
        </is>
      </c>
      <c r="H492" t="inlineStr">
        <is>
          <t>Sveaskog</t>
        </is>
      </c>
      <c r="I492" t="n">
        <v>8.800000000000001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39712-2026</t>
        </is>
      </c>
      <c r="B493" t="inlineStr">
        <is>
          <t>avverkningsanmälan</t>
        </is>
      </c>
      <c r="C493" t="inlineStr">
        <is>
          <t>Föryngringsavverkning</t>
        </is>
      </c>
      <c r="D493" s="1" t="n">
        <v>46289</v>
      </c>
      <c r="E493" s="1" t="n">
        <v>46307</v>
      </c>
      <c r="F493" t="inlineStr">
        <is>
          <t>NORRBOTTENS LÄN</t>
        </is>
      </c>
      <c r="G493" t="inlineStr">
        <is>
          <t>GÄLLIVARE</t>
        </is>
      </c>
      <c r="I493" t="n">
        <v>5.9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40271-2026</t>
        </is>
      </c>
      <c r="B494" t="inlineStr">
        <is>
          <t>avverkningsanmälan</t>
        </is>
      </c>
      <c r="C494" t="inlineStr">
        <is>
          <t>Föryngringsavverkning</t>
        </is>
      </c>
      <c r="D494" s="1" t="n">
        <v>46294</v>
      </c>
      <c r="E494" s="1" t="n">
        <v>46307</v>
      </c>
      <c r="F494" t="inlineStr">
        <is>
          <t>NORRBOTTENS LÄN</t>
        </is>
      </c>
      <c r="G494" t="inlineStr">
        <is>
          <t>GÄLLIVARE</t>
        </is>
      </c>
      <c r="H494" t="inlineStr">
        <is>
          <t>Sveaskog</t>
        </is>
      </c>
      <c r="I494" t="n">
        <v>18.4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40086-2026</t>
        </is>
      </c>
      <c r="B495" t="inlineStr">
        <is>
          <t>avverkningsanmälan</t>
        </is>
      </c>
      <c r="C495" t="inlineStr">
        <is>
          <t>Föryngringsavverkning</t>
        </is>
      </c>
      <c r="D495" s="1" t="n">
        <v>46293</v>
      </c>
      <c r="E495" s="1" t="n">
        <v>46307</v>
      </c>
      <c r="F495" t="inlineStr">
        <is>
          <t>NORRBOTTENS LÄN</t>
        </is>
      </c>
      <c r="G495" t="inlineStr">
        <is>
          <t>GÄLLIVARE</t>
        </is>
      </c>
      <c r="I495" t="n">
        <v>4.3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33945-2026</t>
        </is>
      </c>
      <c r="B496" t="inlineStr">
        <is>
          <t>avverkningsanmälan</t>
        </is>
      </c>
      <c r="C496" t="inlineStr">
        <is>
          <t>Föryngringsavverkning</t>
        </is>
      </c>
      <c r="D496" s="1" t="n">
        <v>46252</v>
      </c>
      <c r="E496" s="1" t="n">
        <v>46307</v>
      </c>
      <c r="F496" t="inlineStr">
        <is>
          <t>NORRBOTTENS LÄN</t>
        </is>
      </c>
      <c r="G496" t="inlineStr">
        <is>
          <t>GÄLLIVARE</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40166-2026</t>
        </is>
      </c>
      <c r="B497" t="inlineStr">
        <is>
          <t>avverkningsanmälan</t>
        </is>
      </c>
      <c r="C497" t="inlineStr">
        <is>
          <t>Föryngringsavverkning</t>
        </is>
      </c>
      <c r="D497" s="1" t="n">
        <v>46293</v>
      </c>
      <c r="E497" s="1" t="n">
        <v>46307</v>
      </c>
      <c r="F497" t="inlineStr">
        <is>
          <t>NORRBOTTENS LÄN</t>
        </is>
      </c>
      <c r="G497" t="inlineStr">
        <is>
          <t>GÄLLIVARE</t>
        </is>
      </c>
      <c r="H497" t="inlineStr">
        <is>
          <t>SCA</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40025-2026</t>
        </is>
      </c>
      <c r="B498" t="inlineStr">
        <is>
          <t>avverkningsanmälan</t>
        </is>
      </c>
      <c r="C498" t="inlineStr">
        <is>
          <t>Föryngringsavverkning</t>
        </is>
      </c>
      <c r="D498" s="1" t="n">
        <v>46293</v>
      </c>
      <c r="E498" s="1" t="n">
        <v>46307</v>
      </c>
      <c r="F498" t="inlineStr">
        <is>
          <t>NORRBOTTENS LÄN</t>
        </is>
      </c>
      <c r="G498" t="inlineStr">
        <is>
          <t>GÄLLIVARE</t>
        </is>
      </c>
      <c r="H498" t="inlineStr">
        <is>
          <t>SCA</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33942-2026</t>
        </is>
      </c>
      <c r="B499" t="inlineStr">
        <is>
          <t>avverkningsanmälan</t>
        </is>
      </c>
      <c r="C499" t="inlineStr">
        <is>
          <t>Föryngringsavverkning</t>
        </is>
      </c>
      <c r="D499" s="1" t="n">
        <v>46252</v>
      </c>
      <c r="E499" s="1" t="n">
        <v>46307</v>
      </c>
      <c r="F499" t="inlineStr">
        <is>
          <t>NORRBOTTENS LÄN</t>
        </is>
      </c>
      <c r="G499" t="inlineStr">
        <is>
          <t>GÄLLIVARE</t>
        </is>
      </c>
      <c r="I499" t="n">
        <v>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40137-2026</t>
        </is>
      </c>
      <c r="B500" t="inlineStr">
        <is>
          <t>avverkningsanmälan</t>
        </is>
      </c>
      <c r="C500" t="inlineStr">
        <is>
          <t>Föryngringsavverkning</t>
        </is>
      </c>
      <c r="D500" s="1" t="n">
        <v>46293</v>
      </c>
      <c r="E500" s="1" t="n">
        <v>46307</v>
      </c>
      <c r="F500" t="inlineStr">
        <is>
          <t>NORRBOTTENS LÄN</t>
        </is>
      </c>
      <c r="G500" t="inlineStr">
        <is>
          <t>GÄLLIVARE</t>
        </is>
      </c>
      <c r="H500" t="inlineStr">
        <is>
          <t>SCA</t>
        </is>
      </c>
      <c r="I500" t="n">
        <v>2.7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29563-2026</t>
        </is>
      </c>
      <c r="B501" t="inlineStr">
        <is>
          <t>avverkningsanmälan</t>
        </is>
      </c>
      <c r="C501" t="inlineStr">
        <is>
          <t>Föryngringsavverkning</t>
        </is>
      </c>
      <c r="D501" s="1" t="n">
        <v>46204</v>
      </c>
      <c r="E501" s="1" t="n">
        <v>46307</v>
      </c>
      <c r="F501" t="inlineStr">
        <is>
          <t>NORRBOTTENS LÄN</t>
        </is>
      </c>
      <c r="G501" t="inlineStr">
        <is>
          <t>GÄLLIVARE</t>
        </is>
      </c>
      <c r="H501" t="inlineStr">
        <is>
          <t>SCA</t>
        </is>
      </c>
      <c r="I501" t="n">
        <v>17.2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33525-2026</t>
        </is>
      </c>
      <c r="B502" t="inlineStr">
        <is>
          <t>avverkningsanmälan</t>
        </is>
      </c>
      <c r="C502" t="inlineStr">
        <is>
          <t>Föryngringsavverkning</t>
        </is>
      </c>
      <c r="D502" s="1" t="n">
        <v>46248</v>
      </c>
      <c r="E502" s="1" t="n">
        <v>46307</v>
      </c>
      <c r="F502" t="inlineStr">
        <is>
          <t>NORRBOTTENS LÄN</t>
        </is>
      </c>
      <c r="G502" t="inlineStr">
        <is>
          <t>GÄLLIVARE</t>
        </is>
      </c>
      <c r="H502" t="inlineStr">
        <is>
          <t>Sveaskog</t>
        </is>
      </c>
      <c r="I502" t="n">
        <v>26.6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40780-2026</t>
        </is>
      </c>
      <c r="B503" t="inlineStr">
        <is>
          <t>avverkningsanmälan</t>
        </is>
      </c>
      <c r="C503" t="inlineStr">
        <is>
          <t>Föryngringsavverkning</t>
        </is>
      </c>
      <c r="D503" s="1" t="n">
        <v>46296</v>
      </c>
      <c r="E503" s="1" t="n">
        <v>46307</v>
      </c>
      <c r="F503" t="inlineStr">
        <is>
          <t>NORRBOTTENS LÄN</t>
        </is>
      </c>
      <c r="G503" t="inlineStr">
        <is>
          <t>GÄLLIVARE</t>
        </is>
      </c>
      <c r="H503" t="inlineStr">
        <is>
          <t>SCA</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35645-2026</t>
        </is>
      </c>
      <c r="B504" t="inlineStr">
        <is>
          <t>avverkningsanmälan</t>
        </is>
      </c>
      <c r="C504" t="inlineStr">
        <is>
          <t>Föryngringsavverkning</t>
        </is>
      </c>
      <c r="D504" s="1" t="n">
        <v>46265</v>
      </c>
      <c r="E504" s="1" t="n">
        <v>46307</v>
      </c>
      <c r="F504" t="inlineStr">
        <is>
          <t>NORRBOTTENS LÄN</t>
        </is>
      </c>
      <c r="G504" t="inlineStr">
        <is>
          <t>GÄLLIVARE</t>
        </is>
      </c>
      <c r="H504" t="inlineStr">
        <is>
          <t>SCA</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38855-2026</t>
        </is>
      </c>
      <c r="B505" t="inlineStr">
        <is>
          <t>avverkningsanmälan</t>
        </is>
      </c>
      <c r="C505" t="inlineStr">
        <is>
          <t>Föryngringsavverkning</t>
        </is>
      </c>
      <c r="D505" s="1" t="n">
        <v>46286</v>
      </c>
      <c r="E505" s="1" t="n">
        <v>46307</v>
      </c>
      <c r="F505" t="inlineStr">
        <is>
          <t>NORRBOTTENS LÄN</t>
        </is>
      </c>
      <c r="G505" t="inlineStr">
        <is>
          <t>GÄLLIVARE</t>
        </is>
      </c>
      <c r="I505" t="n">
        <v>10.6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33848-2026</t>
        </is>
      </c>
      <c r="B506" t="inlineStr">
        <is>
          <t>avverkningsanmälan</t>
        </is>
      </c>
      <c r="C506" t="inlineStr">
        <is>
          <t>Föryngringsavverkning</t>
        </is>
      </c>
      <c r="D506" s="1" t="n">
        <v>46251</v>
      </c>
      <c r="E506" s="1" t="n">
        <v>46307</v>
      </c>
      <c r="F506" t="inlineStr">
        <is>
          <t>NORRBOTTENS LÄN</t>
        </is>
      </c>
      <c r="G506" t="inlineStr">
        <is>
          <t>GÄLLIVARE</t>
        </is>
      </c>
      <c r="H506" t="inlineStr">
        <is>
          <t>Sveaskog</t>
        </is>
      </c>
      <c r="I506" t="n">
        <v>4.5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20126-2023</t>
        </is>
      </c>
      <c r="B507" t="inlineStr">
        <is>
          <t>avverkningsanmälan</t>
        </is>
      </c>
      <c r="C507" t="inlineStr">
        <is>
          <t>Avverkning för annat ändamål</t>
        </is>
      </c>
      <c r="D507" s="1" t="n">
        <v>45051</v>
      </c>
      <c r="E507" s="1" t="n">
        <v>46307</v>
      </c>
      <c r="F507" t="inlineStr">
        <is>
          <t>NORRBOTTENS LÄN</t>
        </is>
      </c>
      <c r="G507" t="inlineStr">
        <is>
          <t>GÄLLIVARE</t>
        </is>
      </c>
      <c r="I507" t="n">
        <v>2.8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34450-2026</t>
        </is>
      </c>
      <c r="B508" t="inlineStr">
        <is>
          <t>avverkningsanmälan</t>
        </is>
      </c>
      <c r="C508" t="inlineStr">
        <is>
          <t>Föryngringsavverkning</t>
        </is>
      </c>
      <c r="D508" s="1" t="n">
        <v>46254</v>
      </c>
      <c r="E508" s="1" t="n">
        <v>46307</v>
      </c>
      <c r="F508" t="inlineStr">
        <is>
          <t>NORRBOTTENS LÄN</t>
        </is>
      </c>
      <c r="G508" t="inlineStr">
        <is>
          <t>GÄLLIVARE</t>
        </is>
      </c>
      <c r="I508" t="n">
        <v>2.9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34451-2026</t>
        </is>
      </c>
      <c r="B509" t="inlineStr">
        <is>
          <t>avverkningsanmälan</t>
        </is>
      </c>
      <c r="C509" t="inlineStr">
        <is>
          <t>Föryngringsavverkning</t>
        </is>
      </c>
      <c r="D509" s="1" t="n">
        <v>46254</v>
      </c>
      <c r="E509" s="1" t="n">
        <v>46307</v>
      </c>
      <c r="F509" t="inlineStr">
        <is>
          <t>NORRBOTTENS LÄN</t>
        </is>
      </c>
      <c r="G509" t="inlineStr">
        <is>
          <t>GÄLLIVARE</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34365-2026</t>
        </is>
      </c>
      <c r="B510" t="inlineStr">
        <is>
          <t>avverkningsanmälan</t>
        </is>
      </c>
      <c r="C510" t="inlineStr">
        <is>
          <t>Föryngringsavverkning</t>
        </is>
      </c>
      <c r="D510" s="1" t="n">
        <v>46254</v>
      </c>
      <c r="E510" s="1" t="n">
        <v>46307</v>
      </c>
      <c r="F510" t="inlineStr">
        <is>
          <t>NORRBOTTENS LÄN</t>
        </is>
      </c>
      <c r="G510" t="inlineStr">
        <is>
          <t>GÄLLIVARE</t>
        </is>
      </c>
      <c r="H510" t="inlineStr">
        <is>
          <t>SCA</t>
        </is>
      </c>
      <c r="I510" t="n">
        <v>3.9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34368-2026</t>
        </is>
      </c>
      <c r="B511" t="inlineStr">
        <is>
          <t>avverkningsanmälan</t>
        </is>
      </c>
      <c r="C511" t="inlineStr">
        <is>
          <t>Föryngringsavverkning</t>
        </is>
      </c>
      <c r="D511" s="1" t="n">
        <v>46254</v>
      </c>
      <c r="E511" s="1" t="n">
        <v>46307</v>
      </c>
      <c r="F511" t="inlineStr">
        <is>
          <t>NORRBOTTENS LÄN</t>
        </is>
      </c>
      <c r="G511" t="inlineStr">
        <is>
          <t>GÄLLIVARE</t>
        </is>
      </c>
      <c r="H511" t="inlineStr">
        <is>
          <t>SCA</t>
        </is>
      </c>
      <c r="I511" t="n">
        <v>3.7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41273-2026</t>
        </is>
      </c>
      <c r="B512" t="inlineStr">
        <is>
          <t>avverkningsanmälan</t>
        </is>
      </c>
      <c r="C512" t="inlineStr">
        <is>
          <t>Avverkning för annat ändamål</t>
        </is>
      </c>
      <c r="D512" s="1" t="n">
        <v>46300</v>
      </c>
      <c r="E512" s="1" t="n">
        <v>46307</v>
      </c>
      <c r="F512" t="inlineStr">
        <is>
          <t>NORRBOTTENS LÄN</t>
        </is>
      </c>
      <c r="G512" t="inlineStr">
        <is>
          <t>GÄLLIVARE</t>
        </is>
      </c>
      <c r="H512" t="inlineStr">
        <is>
          <t>Sveaskog</t>
        </is>
      </c>
      <c r="I512" t="n">
        <v>3.7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31221-2026</t>
        </is>
      </c>
      <c r="B513" t="inlineStr">
        <is>
          <t>avverkningsanmälan</t>
        </is>
      </c>
      <c r="C513" t="inlineStr">
        <is>
          <t>Föryngringsavverkning</t>
        </is>
      </c>
      <c r="D513" s="1" t="n">
        <v>46217</v>
      </c>
      <c r="E513" s="1" t="n">
        <v>46307</v>
      </c>
      <c r="F513" t="inlineStr">
        <is>
          <t>NORRBOTTENS LÄN</t>
        </is>
      </c>
      <c r="G513" t="inlineStr">
        <is>
          <t>GÄLLIVARE</t>
        </is>
      </c>
      <c r="H513" t="inlineStr">
        <is>
          <t>Sveaskog</t>
        </is>
      </c>
      <c r="I513" t="n">
        <v>6.4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34345-2026</t>
        </is>
      </c>
      <c r="B514" t="inlineStr">
        <is>
          <t>avverkningsanmälan</t>
        </is>
      </c>
      <c r="C514" t="inlineStr">
        <is>
          <t>Föryngringsavverkning</t>
        </is>
      </c>
      <c r="D514" s="1" t="n">
        <v>46254</v>
      </c>
      <c r="E514" s="1" t="n">
        <v>46307</v>
      </c>
      <c r="F514" t="inlineStr">
        <is>
          <t>NORRBOTTENS LÄN</t>
        </is>
      </c>
      <c r="G514" t="inlineStr">
        <is>
          <t>GÄLLIVARE</t>
        </is>
      </c>
      <c r="H514" t="inlineStr">
        <is>
          <t>SCA</t>
        </is>
      </c>
      <c r="I514" t="n">
        <v>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34367-2026</t>
        </is>
      </c>
      <c r="B515" t="inlineStr">
        <is>
          <t>avverkningsanmälan</t>
        </is>
      </c>
      <c r="C515" t="inlineStr">
        <is>
          <t>Föryngringsavverkning</t>
        </is>
      </c>
      <c r="D515" s="1" t="n">
        <v>46254</v>
      </c>
      <c r="E515" s="1" t="n">
        <v>46307</v>
      </c>
      <c r="F515" t="inlineStr">
        <is>
          <t>NORRBOTTENS LÄN</t>
        </is>
      </c>
      <c r="G515" t="inlineStr">
        <is>
          <t>GÄLLIVARE</t>
        </is>
      </c>
      <c r="H515" t="inlineStr">
        <is>
          <t>SCA</t>
        </is>
      </c>
      <c r="I515" t="n">
        <v>4.8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32960-2026</t>
        </is>
      </c>
      <c r="B516" t="inlineStr">
        <is>
          <t>avverkningsanmälan</t>
        </is>
      </c>
      <c r="C516" t="inlineStr">
        <is>
          <t>Föryngringsavverkning</t>
        </is>
      </c>
      <c r="D516" s="1" t="n">
        <v>46244</v>
      </c>
      <c r="E516" s="1" t="n">
        <v>46307</v>
      </c>
      <c r="F516" t="inlineStr">
        <is>
          <t>NORRBOTTENS LÄN</t>
        </is>
      </c>
      <c r="G516" t="inlineStr">
        <is>
          <t>GÄLLIVARE</t>
        </is>
      </c>
      <c r="H516" t="inlineStr">
        <is>
          <t>SCA</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34595-2026</t>
        </is>
      </c>
      <c r="B517" t="inlineStr">
        <is>
          <t>avverkningsanmälan</t>
        </is>
      </c>
      <c r="C517" t="inlineStr">
        <is>
          <t>Föryngringsavverkning</t>
        </is>
      </c>
      <c r="D517" s="1" t="n">
        <v>46255</v>
      </c>
      <c r="E517" s="1" t="n">
        <v>46307</v>
      </c>
      <c r="F517" t="inlineStr">
        <is>
          <t>NORRBOTTENS LÄN</t>
        </is>
      </c>
      <c r="G517" t="inlineStr">
        <is>
          <t>GÄLLIVARE</t>
        </is>
      </c>
      <c r="H517" t="inlineStr">
        <is>
          <t>SCA</t>
        </is>
      </c>
      <c r="I517" t="n">
        <v>3.8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41263-2026</t>
        </is>
      </c>
      <c r="B518" t="inlineStr">
        <is>
          <t>avverkningsanmälan</t>
        </is>
      </c>
      <c r="C518" t="inlineStr">
        <is>
          <t>Avverkning för annat ändamål</t>
        </is>
      </c>
      <c r="D518" s="1" t="n">
        <v>46300</v>
      </c>
      <c r="E518" s="1" t="n">
        <v>46307</v>
      </c>
      <c r="F518" t="inlineStr">
        <is>
          <t>NORRBOTTENS LÄN</t>
        </is>
      </c>
      <c r="G518" t="inlineStr">
        <is>
          <t>GÄLLIVARE</t>
        </is>
      </c>
      <c r="H518" t="inlineStr">
        <is>
          <t>Sveaskog</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41376-2026</t>
        </is>
      </c>
      <c r="B519" t="inlineStr">
        <is>
          <t>avverkningsanmälan</t>
        </is>
      </c>
      <c r="C519" t="inlineStr">
        <is>
          <t>Föryngringsavverkning</t>
        </is>
      </c>
      <c r="D519" s="1" t="n">
        <v>46300</v>
      </c>
      <c r="E519" s="1" t="n">
        <v>46307</v>
      </c>
      <c r="F519" t="inlineStr">
        <is>
          <t>NORRBOTTENS LÄN</t>
        </is>
      </c>
      <c r="G519" t="inlineStr">
        <is>
          <t>GÄLLIVARE</t>
        </is>
      </c>
      <c r="H519" t="inlineStr">
        <is>
          <t>Allmännings- och besparingsskogar</t>
        </is>
      </c>
      <c r="I519" t="n">
        <v>4.1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41411-2026</t>
        </is>
      </c>
      <c r="B520" t="inlineStr">
        <is>
          <t>avverkningsanmälan</t>
        </is>
      </c>
      <c r="C520" t="inlineStr">
        <is>
          <t>Avverkning för annat ändamål</t>
        </is>
      </c>
      <c r="D520" s="1" t="n">
        <v>46301</v>
      </c>
      <c r="E520" s="1" t="n">
        <v>46307</v>
      </c>
      <c r="F520" t="inlineStr">
        <is>
          <t>NORRBOTTENS LÄN</t>
        </is>
      </c>
      <c r="G520" t="inlineStr">
        <is>
          <t>GÄLLIVARE</t>
        </is>
      </c>
      <c r="H520" t="inlineStr">
        <is>
          <t>Allmännings- och besparingsskogar</t>
        </is>
      </c>
      <c r="I520" t="n">
        <v>8.4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34594-2026</t>
        </is>
      </c>
      <c r="B521" t="inlineStr">
        <is>
          <t>avverkningsanmälan</t>
        </is>
      </c>
      <c r="C521" t="inlineStr">
        <is>
          <t>Föryngringsavverkning</t>
        </is>
      </c>
      <c r="D521" s="1" t="n">
        <v>46255</v>
      </c>
      <c r="E521" s="1" t="n">
        <v>46307</v>
      </c>
      <c r="F521" t="inlineStr">
        <is>
          <t>NORRBOTTENS LÄN</t>
        </is>
      </c>
      <c r="G521" t="inlineStr">
        <is>
          <t>GÄLLIVARE</t>
        </is>
      </c>
      <c r="H521" t="inlineStr">
        <is>
          <t>SCA</t>
        </is>
      </c>
      <c r="I521" t="n">
        <v>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41465-2026</t>
        </is>
      </c>
      <c r="B522" t="inlineStr">
        <is>
          <t>avverkningsanmälan</t>
        </is>
      </c>
      <c r="C522" t="inlineStr">
        <is>
          <t>Avverkning för annat ändamål</t>
        </is>
      </c>
      <c r="D522" s="1" t="n">
        <v>46300</v>
      </c>
      <c r="E522" s="1" t="n">
        <v>46307</v>
      </c>
      <c r="F522" t="inlineStr">
        <is>
          <t>NORRBOTTENS LÄN</t>
        </is>
      </c>
      <c r="G522" t="inlineStr">
        <is>
          <t>GÄLLIVARE</t>
        </is>
      </c>
      <c r="H522" t="inlineStr">
        <is>
          <t>Allmännings- och besparingsskogar</t>
        </is>
      </c>
      <c r="I522" t="n">
        <v>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34691-2026</t>
        </is>
      </c>
      <c r="B523" t="inlineStr">
        <is>
          <t>avverkningsanmälan</t>
        </is>
      </c>
      <c r="C523" t="inlineStr">
        <is>
          <t>Föryngringsavverkning</t>
        </is>
      </c>
      <c r="D523" s="1" t="n">
        <v>46258</v>
      </c>
      <c r="E523" s="1" t="n">
        <v>46307</v>
      </c>
      <c r="F523" t="inlineStr">
        <is>
          <t>NORRBOTTENS LÄN</t>
        </is>
      </c>
      <c r="G523" t="inlineStr">
        <is>
          <t>GÄLLIVARE</t>
        </is>
      </c>
      <c r="H523" t="inlineStr">
        <is>
          <t>SCA</t>
        </is>
      </c>
      <c r="I523" t="n">
        <v>4.4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40011-2026</t>
        </is>
      </c>
      <c r="B524" t="inlineStr">
        <is>
          <t>avverkningsanmälan</t>
        </is>
      </c>
      <c r="C524" t="inlineStr">
        <is>
          <t>Föryngringsavverkning</t>
        </is>
      </c>
      <c r="D524" s="1" t="n">
        <v>46293</v>
      </c>
      <c r="E524" s="1" t="n">
        <v>46307</v>
      </c>
      <c r="F524" t="inlineStr">
        <is>
          <t>NORRBOTTENS LÄN</t>
        </is>
      </c>
      <c r="G524" t="inlineStr">
        <is>
          <t>GÄLLIVARE</t>
        </is>
      </c>
      <c r="H524" t="inlineStr">
        <is>
          <t>SCA</t>
        </is>
      </c>
      <c r="I524" t="n">
        <v>1.8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41866-2026</t>
        </is>
      </c>
      <c r="B525" t="inlineStr">
        <is>
          <t>avverkningsanmälan</t>
        </is>
      </c>
      <c r="C525" t="inlineStr">
        <is>
          <t>Föryngringsavverkning</t>
        </is>
      </c>
      <c r="D525" s="1" t="n">
        <v>46303</v>
      </c>
      <c r="E525" s="1" t="n">
        <v>46307</v>
      </c>
      <c r="F525" t="inlineStr">
        <is>
          <t>NORRBOTTENS LÄN</t>
        </is>
      </c>
      <c r="G525" t="inlineStr">
        <is>
          <t>GÄLLIVARE</t>
        </is>
      </c>
      <c r="H525" t="inlineStr">
        <is>
          <t>Sveaskog</t>
        </is>
      </c>
      <c r="I525" t="n">
        <v>18.1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36177-2026</t>
        </is>
      </c>
      <c r="B526" t="inlineStr">
        <is>
          <t>avverkningsanmälan</t>
        </is>
      </c>
      <c r="C526" t="inlineStr">
        <is>
          <t>Föryngringsavverkning</t>
        </is>
      </c>
      <c r="D526" s="1" t="n">
        <v>46267</v>
      </c>
      <c r="E526" s="1" t="n">
        <v>46307</v>
      </c>
      <c r="F526" t="inlineStr">
        <is>
          <t>NORRBOTTENS LÄN</t>
        </is>
      </c>
      <c r="G526" t="inlineStr">
        <is>
          <t>GÄLLIVARE</t>
        </is>
      </c>
      <c r="H526" t="inlineStr">
        <is>
          <t>Allmännings- och besparingsskogar</t>
        </is>
      </c>
      <c r="I526" t="n">
        <v>18.7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1046-2022</t>
        </is>
      </c>
      <c r="B527" t="inlineStr">
        <is>
          <t>samrådsanmälan</t>
        </is>
      </c>
      <c r="C527" t="inlineStr">
        <is>
          <t>Skogsgödsling</t>
        </is>
      </c>
      <c r="D527" s="1" t="n">
        <v>44612</v>
      </c>
      <c r="E527" s="1" t="n">
        <v>46307</v>
      </c>
      <c r="F527" t="inlineStr">
        <is>
          <t>NORRBOTTENS LÄN</t>
        </is>
      </c>
      <c r="G527" t="inlineStr">
        <is>
          <t>GÄLLIVARE</t>
        </is>
      </c>
      <c r="I527" t="n">
        <v>46.4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428-2023</t>
        </is>
      </c>
      <c r="B528" t="inlineStr">
        <is>
          <t>samrådsanmälan</t>
        </is>
      </c>
      <c r="C528" t="inlineStr">
        <is>
          <t>Skogsgödsling</t>
        </is>
      </c>
      <c r="D528" s="1" t="n">
        <v>44960</v>
      </c>
      <c r="E528" s="1" t="n">
        <v>46307</v>
      </c>
      <c r="F528" t="inlineStr">
        <is>
          <t>NORRBOTTENS LÄN</t>
        </is>
      </c>
      <c r="G528" t="inlineStr">
        <is>
          <t>GÄLLIVARE</t>
        </is>
      </c>
      <c r="H528" t="inlineStr">
        <is>
          <t>SCA</t>
        </is>
      </c>
      <c r="I528" t="n">
        <v>228.1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1227-2023</t>
        </is>
      </c>
      <c r="B529" t="inlineStr">
        <is>
          <t>samrådsanmälan</t>
        </is>
      </c>
      <c r="C529" t="inlineStr">
        <is>
          <t>Skogsgödsling</t>
        </is>
      </c>
      <c r="D529" s="1" t="n">
        <v>45027</v>
      </c>
      <c r="E529" s="1" t="n">
        <v>46307</v>
      </c>
      <c r="F529" t="inlineStr">
        <is>
          <t>NORRBOTTENS LÄN</t>
        </is>
      </c>
      <c r="G529" t="inlineStr">
        <is>
          <t>GÄLLIVARE</t>
        </is>
      </c>
      <c r="I529" t="n">
        <v>10</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172-2023</t>
        </is>
      </c>
      <c r="B530" t="inlineStr">
        <is>
          <t>samrådsanmälan</t>
        </is>
      </c>
      <c r="C530" t="inlineStr">
        <is>
          <t>Skogsgödsling</t>
        </is>
      </c>
      <c r="D530" s="1" t="n">
        <v>44943</v>
      </c>
      <c r="E530" s="1" t="n">
        <v>46307</v>
      </c>
      <c r="F530" t="inlineStr">
        <is>
          <t>NORRBOTTENS LÄN</t>
        </is>
      </c>
      <c r="G530" t="inlineStr">
        <is>
          <t>GÄLLIVARE</t>
        </is>
      </c>
      <c r="H530" t="inlineStr">
        <is>
          <t>SCA</t>
        </is>
      </c>
      <c r="I530" t="n">
        <v>107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1179-2025</t>
        </is>
      </c>
      <c r="B531" t="inlineStr">
        <is>
          <t>samrådsanmälan</t>
        </is>
      </c>
      <c r="C531" t="inlineStr">
        <is>
          <t>Skogsgödsling</t>
        </is>
      </c>
      <c r="D531" s="1" t="n">
        <v>45756</v>
      </c>
      <c r="E531" s="1" t="n">
        <v>46307</v>
      </c>
      <c r="F531" t="inlineStr">
        <is>
          <t>NORRBOTTENS LÄN</t>
        </is>
      </c>
      <c r="G531" t="inlineStr">
        <is>
          <t>GÄLLIVARE</t>
        </is>
      </c>
      <c r="I531" t="n">
        <v>31.7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1292-2025</t>
        </is>
      </c>
      <c r="B532" t="inlineStr">
        <is>
          <t>samrådsanmälan</t>
        </is>
      </c>
      <c r="C532" t="inlineStr">
        <is>
          <t>Skogsgödsling</t>
        </is>
      </c>
      <c r="D532" s="1" t="n">
        <v>45769</v>
      </c>
      <c r="E532" s="1" t="n">
        <v>46307</v>
      </c>
      <c r="F532" t="inlineStr">
        <is>
          <t>NORRBOTTENS LÄN</t>
        </is>
      </c>
      <c r="G532" t="inlineStr">
        <is>
          <t>GÄLLIVARE</t>
        </is>
      </c>
      <c r="I532" t="n">
        <v>13.3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378-2026</t>
        </is>
      </c>
      <c r="B533" t="inlineStr">
        <is>
          <t>samrådsanmälan</t>
        </is>
      </c>
      <c r="C533" t="inlineStr">
        <is>
          <t>Skogsgödsling</t>
        </is>
      </c>
      <c r="D533" s="1" t="n">
        <v>46065</v>
      </c>
      <c r="E533" s="1" t="n">
        <v>46307</v>
      </c>
      <c r="F533" t="inlineStr">
        <is>
          <t>NORRBOTTENS LÄN</t>
        </is>
      </c>
      <c r="G533" t="inlineStr">
        <is>
          <t>GÄLLIVARE</t>
        </is>
      </c>
      <c r="H533" t="inlineStr">
        <is>
          <t>Allmännings- och besparingsskogar</t>
        </is>
      </c>
      <c r="I533" t="n">
        <v>167.2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1392-2025</t>
        </is>
      </c>
      <c r="B534" t="inlineStr">
        <is>
          <t>samrådsanmälan</t>
        </is>
      </c>
      <c r="C534" t="inlineStr">
        <is>
          <t>Annan skogsbruksåtgärd</t>
        </is>
      </c>
      <c r="D534" s="1" t="n">
        <v>45777</v>
      </c>
      <c r="E534" s="1" t="n">
        <v>46307</v>
      </c>
      <c r="F534" t="inlineStr">
        <is>
          <t>NORRBOTTENS LÄN</t>
        </is>
      </c>
      <c r="G534" t="inlineStr">
        <is>
          <t>GÄLLIVARE</t>
        </is>
      </c>
      <c r="H534" t="inlineStr">
        <is>
          <t>Sveaskog</t>
        </is>
      </c>
      <c r="I534" t="n">
        <v>2.5</v>
      </c>
      <c r="J534" t="n">
        <v>0</v>
      </c>
      <c r="K534" t="n">
        <v>0</v>
      </c>
      <c r="L534" t="n">
        <v>0</v>
      </c>
      <c r="M534" t="n">
        <v>0</v>
      </c>
      <c r="N534" t="n">
        <v>0</v>
      </c>
      <c r="O534" t="n">
        <v>0</v>
      </c>
      <c r="P534" t="n">
        <v>0</v>
      </c>
      <c r="Q534" t="n">
        <v>0</v>
      </c>
      <c r="R534" t="n">
        <v>0</v>
      </c>
      <c r="S534" t="n">
        <v>0</v>
      </c>
      <c r="T534" t="n">
        <v>0</v>
      </c>
      <c r="U534" t="n">
        <v>0</v>
      </c>
      <c r="V534" s="2" t="inlineStr"/>
    </row>
    <row r="535">
      <c r="A535" t="inlineStr">
        <is>
          <t>S 1391-2025</t>
        </is>
      </c>
      <c r="B535" t="inlineStr">
        <is>
          <t>samrådsanmälan</t>
        </is>
      </c>
      <c r="C535" t="inlineStr">
        <is>
          <t>Annan skogsbruksåtgärd</t>
        </is>
      </c>
      <c r="D535" s="1" t="n">
        <v>45777</v>
      </c>
      <c r="E535" s="1" t="n">
        <v>46307</v>
      </c>
      <c r="F535" t="inlineStr">
        <is>
          <t>NORRBOTTENS LÄN</t>
        </is>
      </c>
      <c r="G535" t="inlineStr">
        <is>
          <t>GÄLLIVARE</t>
        </is>
      </c>
      <c r="H535" t="inlineStr">
        <is>
          <t>Sveaskog</t>
        </is>
      </c>
      <c r="I535" t="n">
        <v>2.3</v>
      </c>
      <c r="J535" t="n">
        <v>0</v>
      </c>
      <c r="K535" t="n">
        <v>0</v>
      </c>
      <c r="L535" t="n">
        <v>0</v>
      </c>
      <c r="M535" t="n">
        <v>0</v>
      </c>
      <c r="N535" t="n">
        <v>0</v>
      </c>
      <c r="O535" t="n">
        <v>0</v>
      </c>
      <c r="P535" t="n">
        <v>0</v>
      </c>
      <c r="Q535" t="n">
        <v>0</v>
      </c>
      <c r="R535" t="n">
        <v>0</v>
      </c>
      <c r="S535" t="n">
        <v>0</v>
      </c>
      <c r="T535" t="n">
        <v>0</v>
      </c>
      <c r="U535" t="n">
        <v>0</v>
      </c>
      <c r="V5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2026-10-12T01:59:30Z</dcterms:created>
  <dcterms:modified xmlns:dcterms="http://purl.org/dc/terms/" xmlns:xsi="http://www.w3.org/2001/XMLSchema-instance" xsi:type="dcterms:W3CDTF">2026-10-12T01:59:30Z</dcterms:modified>
</cp:coreProperties>
</file>