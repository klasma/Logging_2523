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45566</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45566</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45566</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45566</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45566</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45566</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45566</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45566</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45566</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45566</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45566</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45566</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45566</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45566</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45566</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45566</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45566</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45566</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45566</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45566</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45566</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45566</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45566</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45566</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45566</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45566</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45566</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45566</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45566</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45566</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45566</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45566</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45566</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45566</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45566</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45566</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45566</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45566</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45566</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45566</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45566</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36554-2019</t>
        </is>
      </c>
      <c r="B43" s="1" t="n">
        <v>43671</v>
      </c>
      <c r="C43" s="1" t="n">
        <v>45566</v>
      </c>
      <c r="D43" t="inlineStr">
        <is>
          <t>NORRBOTTENS LÄN</t>
        </is>
      </c>
      <c r="E43" t="inlineStr">
        <is>
          <t>GÄLLIVARE</t>
        </is>
      </c>
      <c r="F43" t="inlineStr">
        <is>
          <t>Sveaskog</t>
        </is>
      </c>
      <c r="G43" t="n">
        <v>28.2</v>
      </c>
      <c r="H43" t="n">
        <v>0</v>
      </c>
      <c r="I43" t="n">
        <v>0</v>
      </c>
      <c r="J43" t="n">
        <v>1</v>
      </c>
      <c r="K43" t="n">
        <v>1</v>
      </c>
      <c r="L43" t="n">
        <v>0</v>
      </c>
      <c r="M43" t="n">
        <v>0</v>
      </c>
      <c r="N43" t="n">
        <v>0</v>
      </c>
      <c r="O43" t="n">
        <v>2</v>
      </c>
      <c r="P43" t="n">
        <v>1</v>
      </c>
      <c r="Q43" t="n">
        <v>2</v>
      </c>
      <c r="R43" s="2" t="inlineStr">
        <is>
          <t>Spadskinn
Tallticka</t>
        </is>
      </c>
      <c r="S43">
        <f>HYPERLINK("https://klasma.github.io/Logging_2523/artfynd/A 36554-2019 artfynd.xlsx", "A 36554-2019")</f>
        <v/>
      </c>
      <c r="T43">
        <f>HYPERLINK("https://klasma.github.io/Logging_2523/kartor/A 36554-2019 karta.png", "A 36554-2019")</f>
        <v/>
      </c>
      <c r="V43">
        <f>HYPERLINK("https://klasma.github.io/Logging_2523/klagomål/A 36554-2019 FSC-klagomål.docx", "A 36554-2019")</f>
        <v/>
      </c>
      <c r="W43">
        <f>HYPERLINK("https://klasma.github.io/Logging_2523/klagomålsmail/A 36554-2019 FSC-klagomål mail.docx", "A 36554-2019")</f>
        <v/>
      </c>
      <c r="X43">
        <f>HYPERLINK("https://klasma.github.io/Logging_2523/tillsyn/A 36554-2019 tillsynsbegäran.docx", "A 36554-2019")</f>
        <v/>
      </c>
      <c r="Y43">
        <f>HYPERLINK("https://klasma.github.io/Logging_2523/tillsynsmail/A 36554-2019 tillsynsbegäran mail.docx", "A 36554-2019")</f>
        <v/>
      </c>
    </row>
    <row r="44" ht="15" customHeight="1">
      <c r="A44" t="inlineStr">
        <is>
          <t>A 38649-2019</t>
        </is>
      </c>
      <c r="B44" s="1" t="n">
        <v>43686</v>
      </c>
      <c r="C44" s="1" t="n">
        <v>45566</v>
      </c>
      <c r="D44" t="inlineStr">
        <is>
          <t>NORRBOTTENS LÄN</t>
        </is>
      </c>
      <c r="E44" t="inlineStr">
        <is>
          <t>GÄLLIVARE</t>
        </is>
      </c>
      <c r="F44" t="inlineStr">
        <is>
          <t>Sveaskog</t>
        </is>
      </c>
      <c r="G44" t="n">
        <v>4.3</v>
      </c>
      <c r="H44" t="n">
        <v>1</v>
      </c>
      <c r="I44" t="n">
        <v>0</v>
      </c>
      <c r="J44" t="n">
        <v>1</v>
      </c>
      <c r="K44" t="n">
        <v>1</v>
      </c>
      <c r="L44" t="n">
        <v>0</v>
      </c>
      <c r="M44" t="n">
        <v>0</v>
      </c>
      <c r="N44" t="n">
        <v>0</v>
      </c>
      <c r="O44" t="n">
        <v>2</v>
      </c>
      <c r="P44" t="n">
        <v>1</v>
      </c>
      <c r="Q44" t="n">
        <v>2</v>
      </c>
      <c r="R44" s="2" t="inlineStr">
        <is>
          <t>Norna
Äggvaxskivling</t>
        </is>
      </c>
      <c r="S44">
        <f>HYPERLINK("https://klasma.github.io/Logging_2523/artfynd/A 38649-2019 artfynd.xlsx", "A 38649-2019")</f>
        <v/>
      </c>
      <c r="T44">
        <f>HYPERLINK("https://klasma.github.io/Logging_2523/kartor/A 38649-2019 karta.png", "A 38649-2019")</f>
        <v/>
      </c>
      <c r="V44">
        <f>HYPERLINK("https://klasma.github.io/Logging_2523/klagomål/A 38649-2019 FSC-klagomål.docx", "A 38649-2019")</f>
        <v/>
      </c>
      <c r="W44">
        <f>HYPERLINK("https://klasma.github.io/Logging_2523/klagomålsmail/A 38649-2019 FSC-klagomål mail.docx", "A 38649-2019")</f>
        <v/>
      </c>
      <c r="X44">
        <f>HYPERLINK("https://klasma.github.io/Logging_2523/tillsyn/A 38649-2019 tillsynsbegäran.docx", "A 38649-2019")</f>
        <v/>
      </c>
      <c r="Y44">
        <f>HYPERLINK("https://klasma.github.io/Logging_2523/tillsynsmail/A 38649-2019 tillsynsbegäran mail.docx", "A 38649-2019")</f>
        <v/>
      </c>
    </row>
    <row r="45" ht="15" customHeight="1">
      <c r="A45" t="inlineStr">
        <is>
          <t>A 59350-2019</t>
        </is>
      </c>
      <c r="B45" s="1" t="n">
        <v>43773</v>
      </c>
      <c r="C45" s="1" t="n">
        <v>45566</v>
      </c>
      <c r="D45" t="inlineStr">
        <is>
          <t>NORRBOTTENS LÄN</t>
        </is>
      </c>
      <c r="E45" t="inlineStr">
        <is>
          <t>GÄLLIVARE</t>
        </is>
      </c>
      <c r="G45" t="n">
        <v>7.7</v>
      </c>
      <c r="H45" t="n">
        <v>0</v>
      </c>
      <c r="I45" t="n">
        <v>1</v>
      </c>
      <c r="J45" t="n">
        <v>1</v>
      </c>
      <c r="K45" t="n">
        <v>0</v>
      </c>
      <c r="L45" t="n">
        <v>0</v>
      </c>
      <c r="M45" t="n">
        <v>0</v>
      </c>
      <c r="N45" t="n">
        <v>0</v>
      </c>
      <c r="O45" t="n">
        <v>1</v>
      </c>
      <c r="P45" t="n">
        <v>0</v>
      </c>
      <c r="Q45" t="n">
        <v>2</v>
      </c>
      <c r="R45" s="2" t="inlineStr">
        <is>
          <t>Garnlav
Bårdlav</t>
        </is>
      </c>
      <c r="S45">
        <f>HYPERLINK("https://klasma.github.io/Logging_2523/artfynd/A 59350-2019 artfynd.xlsx", "A 59350-2019")</f>
        <v/>
      </c>
      <c r="T45">
        <f>HYPERLINK("https://klasma.github.io/Logging_2523/kartor/A 59350-2019 karta.png", "A 59350-2019")</f>
        <v/>
      </c>
      <c r="V45">
        <f>HYPERLINK("https://klasma.github.io/Logging_2523/klagomål/A 59350-2019 FSC-klagomål.docx", "A 59350-2019")</f>
        <v/>
      </c>
      <c r="W45">
        <f>HYPERLINK("https://klasma.github.io/Logging_2523/klagomålsmail/A 59350-2019 FSC-klagomål mail.docx", "A 59350-2019")</f>
        <v/>
      </c>
      <c r="X45">
        <f>HYPERLINK("https://klasma.github.io/Logging_2523/tillsyn/A 59350-2019 tillsynsbegäran.docx", "A 59350-2019")</f>
        <v/>
      </c>
      <c r="Y45">
        <f>HYPERLINK("https://klasma.github.io/Logging_2523/tillsynsmail/A 59350-2019 tillsynsbegäran mail.docx", "A 59350-2019")</f>
        <v/>
      </c>
    </row>
    <row r="46" ht="15" customHeight="1">
      <c r="A46" t="inlineStr">
        <is>
          <t>A 48274-2020</t>
        </is>
      </c>
      <c r="B46" s="1" t="n">
        <v>44102</v>
      </c>
      <c r="C46" s="1" t="n">
        <v>45566</v>
      </c>
      <c r="D46" t="inlineStr">
        <is>
          <t>NORRBOTTENS LÄN</t>
        </is>
      </c>
      <c r="E46" t="inlineStr">
        <is>
          <t>GÄLLIVARE</t>
        </is>
      </c>
      <c r="F46" t="inlineStr">
        <is>
          <t>Sveaskog</t>
        </is>
      </c>
      <c r="G46" t="n">
        <v>14.2</v>
      </c>
      <c r="H46" t="n">
        <v>2</v>
      </c>
      <c r="I46" t="n">
        <v>0</v>
      </c>
      <c r="J46" t="n">
        <v>1</v>
      </c>
      <c r="K46" t="n">
        <v>1</v>
      </c>
      <c r="L46" t="n">
        <v>0</v>
      </c>
      <c r="M46" t="n">
        <v>0</v>
      </c>
      <c r="N46" t="n">
        <v>0</v>
      </c>
      <c r="O46" t="n">
        <v>2</v>
      </c>
      <c r="P46" t="n">
        <v>1</v>
      </c>
      <c r="Q46" t="n">
        <v>2</v>
      </c>
      <c r="R46" s="2" t="inlineStr">
        <is>
          <t>Kricka
Svartvit flugsnappare</t>
        </is>
      </c>
      <c r="S46">
        <f>HYPERLINK("https://klasma.github.io/Logging_2523/artfynd/A 48274-2020 artfynd.xlsx", "A 48274-2020")</f>
        <v/>
      </c>
      <c r="T46">
        <f>HYPERLINK("https://klasma.github.io/Logging_2523/kartor/A 48274-2020 karta.png", "A 48274-2020")</f>
        <v/>
      </c>
      <c r="V46">
        <f>HYPERLINK("https://klasma.github.io/Logging_2523/klagomål/A 48274-2020 FSC-klagomål.docx", "A 48274-2020")</f>
        <v/>
      </c>
      <c r="W46">
        <f>HYPERLINK("https://klasma.github.io/Logging_2523/klagomålsmail/A 48274-2020 FSC-klagomål mail.docx", "A 48274-2020")</f>
        <v/>
      </c>
      <c r="X46">
        <f>HYPERLINK("https://klasma.github.io/Logging_2523/tillsyn/A 48274-2020 tillsynsbegäran.docx", "A 48274-2020")</f>
        <v/>
      </c>
      <c r="Y46">
        <f>HYPERLINK("https://klasma.github.io/Logging_2523/tillsynsmail/A 48274-2020 tillsynsbegäran mail.docx", "A 48274-2020")</f>
        <v/>
      </c>
      <c r="Z46">
        <f>HYPERLINK("https://klasma.github.io/Logging_2523/fåglar/A 48274-2020 prioriterade fågelarter.docx", "A 48274-2020")</f>
        <v/>
      </c>
    </row>
    <row r="47" ht="15" customHeight="1">
      <c r="A47" t="inlineStr">
        <is>
          <t>A 8351-2021</t>
        </is>
      </c>
      <c r="B47" s="1" t="n">
        <v>44244</v>
      </c>
      <c r="C47" s="1" t="n">
        <v>45566</v>
      </c>
      <c r="D47" t="inlineStr">
        <is>
          <t>NORRBOTTENS LÄN</t>
        </is>
      </c>
      <c r="E47" t="inlineStr">
        <is>
          <t>GÄLLIVARE</t>
        </is>
      </c>
      <c r="F47" t="inlineStr">
        <is>
          <t>SCA</t>
        </is>
      </c>
      <c r="G47" t="n">
        <v>57.3</v>
      </c>
      <c r="H47" t="n">
        <v>0</v>
      </c>
      <c r="I47" t="n">
        <v>0</v>
      </c>
      <c r="J47" t="n">
        <v>0</v>
      </c>
      <c r="K47" t="n">
        <v>2</v>
      </c>
      <c r="L47" t="n">
        <v>0</v>
      </c>
      <c r="M47" t="n">
        <v>0</v>
      </c>
      <c r="N47" t="n">
        <v>0</v>
      </c>
      <c r="O47" t="n">
        <v>2</v>
      </c>
      <c r="P47" t="n">
        <v>2</v>
      </c>
      <c r="Q47" t="n">
        <v>2</v>
      </c>
      <c r="R47" s="2" t="inlineStr">
        <is>
          <t>Fläckporing
Tallstocksticka</t>
        </is>
      </c>
      <c r="S47">
        <f>HYPERLINK("https://klasma.github.io/Logging_2523/artfynd/A 8351-2021 artfynd.xlsx", "A 8351-2021")</f>
        <v/>
      </c>
      <c r="T47">
        <f>HYPERLINK("https://klasma.github.io/Logging_2523/kartor/A 8351-2021 karta.png", "A 8351-2021")</f>
        <v/>
      </c>
      <c r="V47">
        <f>HYPERLINK("https://klasma.github.io/Logging_2523/klagomål/A 8351-2021 FSC-klagomål.docx", "A 8351-2021")</f>
        <v/>
      </c>
      <c r="W47">
        <f>HYPERLINK("https://klasma.github.io/Logging_2523/klagomålsmail/A 8351-2021 FSC-klagomål mail.docx", "A 8351-2021")</f>
        <v/>
      </c>
      <c r="X47">
        <f>HYPERLINK("https://klasma.github.io/Logging_2523/tillsyn/A 8351-2021 tillsynsbegäran.docx", "A 8351-2021")</f>
        <v/>
      </c>
      <c r="Y47">
        <f>HYPERLINK("https://klasma.github.io/Logging_2523/tillsynsmail/A 8351-2021 tillsynsbegäran mail.docx", "A 8351-2021")</f>
        <v/>
      </c>
    </row>
    <row r="48" ht="15" customHeight="1">
      <c r="A48" t="inlineStr">
        <is>
          <t>A 42548-2021</t>
        </is>
      </c>
      <c r="B48" s="1" t="n">
        <v>44427</v>
      </c>
      <c r="C48" s="1" t="n">
        <v>45566</v>
      </c>
      <c r="D48" t="inlineStr">
        <is>
          <t>NORRBOTTENS LÄN</t>
        </is>
      </c>
      <c r="E48" t="inlineStr">
        <is>
          <t>GÄLLIVARE</t>
        </is>
      </c>
      <c r="F48" t="inlineStr">
        <is>
          <t>SCA</t>
        </is>
      </c>
      <c r="G48" t="n">
        <v>3.2</v>
      </c>
      <c r="H48" t="n">
        <v>0</v>
      </c>
      <c r="I48" t="n">
        <v>0</v>
      </c>
      <c r="J48" t="n">
        <v>2</v>
      </c>
      <c r="K48" t="n">
        <v>0</v>
      </c>
      <c r="L48" t="n">
        <v>0</v>
      </c>
      <c r="M48" t="n">
        <v>0</v>
      </c>
      <c r="N48" t="n">
        <v>0</v>
      </c>
      <c r="O48" t="n">
        <v>2</v>
      </c>
      <c r="P48" t="n">
        <v>0</v>
      </c>
      <c r="Q48" t="n">
        <v>2</v>
      </c>
      <c r="R48" s="2" t="inlineStr">
        <is>
          <t>Orange taggsvamp
Svart taggsvamp</t>
        </is>
      </c>
      <c r="S48">
        <f>HYPERLINK("https://klasma.github.io/Logging_2523/artfynd/A 42548-2021 artfynd.xlsx", "A 42548-2021")</f>
        <v/>
      </c>
      <c r="T48">
        <f>HYPERLINK("https://klasma.github.io/Logging_2523/kartor/A 42548-2021 karta.png", "A 42548-2021")</f>
        <v/>
      </c>
      <c r="V48">
        <f>HYPERLINK("https://klasma.github.io/Logging_2523/klagomål/A 42548-2021 FSC-klagomål.docx", "A 42548-2021")</f>
        <v/>
      </c>
      <c r="W48">
        <f>HYPERLINK("https://klasma.github.io/Logging_2523/klagomålsmail/A 42548-2021 FSC-klagomål mail.docx", "A 42548-2021")</f>
        <v/>
      </c>
      <c r="X48">
        <f>HYPERLINK("https://klasma.github.io/Logging_2523/tillsyn/A 42548-2021 tillsynsbegäran.docx", "A 42548-2021")</f>
        <v/>
      </c>
      <c r="Y48">
        <f>HYPERLINK("https://klasma.github.io/Logging_2523/tillsynsmail/A 42548-2021 tillsynsbegäran mail.docx", "A 42548-2021")</f>
        <v/>
      </c>
    </row>
    <row r="49" ht="15" customHeight="1">
      <c r="A49" t="inlineStr">
        <is>
          <t>A 36289-2022</t>
        </is>
      </c>
      <c r="B49" s="1" t="n">
        <v>44803</v>
      </c>
      <c r="C49" s="1" t="n">
        <v>45566</v>
      </c>
      <c r="D49" t="inlineStr">
        <is>
          <t>NORRBOTTENS LÄN</t>
        </is>
      </c>
      <c r="E49" t="inlineStr">
        <is>
          <t>GÄLLIVARE</t>
        </is>
      </c>
      <c r="G49" t="n">
        <v>9.6</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36289-2022 artfynd.xlsx", "A 36289-2022")</f>
        <v/>
      </c>
      <c r="T49">
        <f>HYPERLINK("https://klasma.github.io/Logging_2523/kartor/A 36289-2022 karta.png", "A 36289-2022")</f>
        <v/>
      </c>
      <c r="V49">
        <f>HYPERLINK("https://klasma.github.io/Logging_2523/klagomål/A 36289-2022 FSC-klagomål.docx", "A 36289-2022")</f>
        <v/>
      </c>
      <c r="W49">
        <f>HYPERLINK("https://klasma.github.io/Logging_2523/klagomålsmail/A 36289-2022 FSC-klagomål mail.docx", "A 36289-2022")</f>
        <v/>
      </c>
      <c r="X49">
        <f>HYPERLINK("https://klasma.github.io/Logging_2523/tillsyn/A 36289-2022 tillsynsbegäran.docx", "A 36289-2022")</f>
        <v/>
      </c>
      <c r="Y49">
        <f>HYPERLINK("https://klasma.github.io/Logging_2523/tillsynsmail/A 36289-2022 tillsynsbegäran mail.docx", "A 36289-2022")</f>
        <v/>
      </c>
    </row>
    <row r="50" ht="15" customHeight="1">
      <c r="A50" t="inlineStr">
        <is>
          <t>A 36248-2023</t>
        </is>
      </c>
      <c r="B50" s="1" t="n">
        <v>45150</v>
      </c>
      <c r="C50" s="1" t="n">
        <v>45566</v>
      </c>
      <c r="D50" t="inlineStr">
        <is>
          <t>NORRBOTTENS LÄN</t>
        </is>
      </c>
      <c r="E50" t="inlineStr">
        <is>
          <t>GÄLLIVARE</t>
        </is>
      </c>
      <c r="F50" t="inlineStr">
        <is>
          <t>SCA</t>
        </is>
      </c>
      <c r="G50" t="n">
        <v>6.4</v>
      </c>
      <c r="H50" t="n">
        <v>0</v>
      </c>
      <c r="I50" t="n">
        <v>0</v>
      </c>
      <c r="J50" t="n">
        <v>1</v>
      </c>
      <c r="K50" t="n">
        <v>1</v>
      </c>
      <c r="L50" t="n">
        <v>0</v>
      </c>
      <c r="M50" t="n">
        <v>0</v>
      </c>
      <c r="N50" t="n">
        <v>0</v>
      </c>
      <c r="O50" t="n">
        <v>2</v>
      </c>
      <c r="P50" t="n">
        <v>1</v>
      </c>
      <c r="Q50" t="n">
        <v>2</v>
      </c>
      <c r="R50" s="2" t="inlineStr">
        <is>
          <t>Gräddporing
Nordtagging</t>
        </is>
      </c>
      <c r="S50">
        <f>HYPERLINK("https://klasma.github.io/Logging_2523/artfynd/A 36248-2023 artfynd.xlsx", "A 36248-2023")</f>
        <v/>
      </c>
      <c r="T50">
        <f>HYPERLINK("https://klasma.github.io/Logging_2523/kartor/A 36248-2023 karta.png", "A 36248-2023")</f>
        <v/>
      </c>
      <c r="V50">
        <f>HYPERLINK("https://klasma.github.io/Logging_2523/klagomål/A 36248-2023 FSC-klagomål.docx", "A 36248-2023")</f>
        <v/>
      </c>
      <c r="W50">
        <f>HYPERLINK("https://klasma.github.io/Logging_2523/klagomålsmail/A 36248-2023 FSC-klagomål mail.docx", "A 36248-2023")</f>
        <v/>
      </c>
      <c r="X50">
        <f>HYPERLINK("https://klasma.github.io/Logging_2523/tillsyn/A 36248-2023 tillsynsbegäran.docx", "A 36248-2023")</f>
        <v/>
      </c>
      <c r="Y50">
        <f>HYPERLINK("https://klasma.github.io/Logging_2523/tillsynsmail/A 36248-2023 tillsynsbegäran mail.docx", "A 36248-2023")</f>
        <v/>
      </c>
    </row>
    <row r="51" ht="15" customHeight="1">
      <c r="A51" t="inlineStr">
        <is>
          <t>A 36252-2023</t>
        </is>
      </c>
      <c r="B51" s="1" t="n">
        <v>45150</v>
      </c>
      <c r="C51" s="1" t="n">
        <v>45566</v>
      </c>
      <c r="D51" t="inlineStr">
        <is>
          <t>NORRBOTTENS LÄN</t>
        </is>
      </c>
      <c r="E51" t="inlineStr">
        <is>
          <t>GÄLLIVARE</t>
        </is>
      </c>
      <c r="F51" t="inlineStr">
        <is>
          <t>SCA</t>
        </is>
      </c>
      <c r="G51" t="n">
        <v>14.1</v>
      </c>
      <c r="H51" t="n">
        <v>0</v>
      </c>
      <c r="I51" t="n">
        <v>0</v>
      </c>
      <c r="J51" t="n">
        <v>2</v>
      </c>
      <c r="K51" t="n">
        <v>0</v>
      </c>
      <c r="L51" t="n">
        <v>0</v>
      </c>
      <c r="M51" t="n">
        <v>0</v>
      </c>
      <c r="N51" t="n">
        <v>0</v>
      </c>
      <c r="O51" t="n">
        <v>2</v>
      </c>
      <c r="P51" t="n">
        <v>0</v>
      </c>
      <c r="Q51" t="n">
        <v>2</v>
      </c>
      <c r="R51" s="2" t="inlineStr">
        <is>
          <t>Svartvit taggsvamp
Talltaggsvamp</t>
        </is>
      </c>
      <c r="S51">
        <f>HYPERLINK("https://klasma.github.io/Logging_2523/artfynd/A 36252-2023 artfynd.xlsx", "A 36252-2023")</f>
        <v/>
      </c>
      <c r="T51">
        <f>HYPERLINK("https://klasma.github.io/Logging_2523/kartor/A 36252-2023 karta.png", "A 36252-2023")</f>
        <v/>
      </c>
      <c r="V51">
        <f>HYPERLINK("https://klasma.github.io/Logging_2523/klagomål/A 36252-2023 FSC-klagomål.docx", "A 36252-2023")</f>
        <v/>
      </c>
      <c r="W51">
        <f>HYPERLINK("https://klasma.github.io/Logging_2523/klagomålsmail/A 36252-2023 FSC-klagomål mail.docx", "A 36252-2023")</f>
        <v/>
      </c>
      <c r="X51">
        <f>HYPERLINK("https://klasma.github.io/Logging_2523/tillsyn/A 36252-2023 tillsynsbegäran.docx", "A 36252-2023")</f>
        <v/>
      </c>
      <c r="Y51">
        <f>HYPERLINK("https://klasma.github.io/Logging_2523/tillsynsmail/A 36252-2023 tillsynsbegäran mail.docx", "A 36252-2023")</f>
        <v/>
      </c>
    </row>
    <row r="52" ht="15" customHeight="1">
      <c r="A52" t="inlineStr">
        <is>
          <t>A 41650-2023</t>
        </is>
      </c>
      <c r="B52" s="1" t="n">
        <v>45175</v>
      </c>
      <c r="C52" s="1" t="n">
        <v>45566</v>
      </c>
      <c r="D52" t="inlineStr">
        <is>
          <t>NORRBOTTENS LÄN</t>
        </is>
      </c>
      <c r="E52" t="inlineStr">
        <is>
          <t>GÄLLIVARE</t>
        </is>
      </c>
      <c r="F52" t="inlineStr">
        <is>
          <t>SCA</t>
        </is>
      </c>
      <c r="G52" t="n">
        <v>16.1</v>
      </c>
      <c r="H52" t="n">
        <v>0</v>
      </c>
      <c r="I52" t="n">
        <v>0</v>
      </c>
      <c r="J52" t="n">
        <v>1</v>
      </c>
      <c r="K52" t="n">
        <v>1</v>
      </c>
      <c r="L52" t="n">
        <v>0</v>
      </c>
      <c r="M52" t="n">
        <v>0</v>
      </c>
      <c r="N52" t="n">
        <v>0</v>
      </c>
      <c r="O52" t="n">
        <v>2</v>
      </c>
      <c r="P52" t="n">
        <v>1</v>
      </c>
      <c r="Q52" t="n">
        <v>2</v>
      </c>
      <c r="R52" s="2" t="inlineStr">
        <is>
          <t>Gräddporing
Vaddporing</t>
        </is>
      </c>
      <c r="S52">
        <f>HYPERLINK("https://klasma.github.io/Logging_2523/artfynd/A 41650-2023 artfynd.xlsx", "A 41650-2023")</f>
        <v/>
      </c>
      <c r="T52">
        <f>HYPERLINK("https://klasma.github.io/Logging_2523/kartor/A 41650-2023 karta.png", "A 41650-2023")</f>
        <v/>
      </c>
      <c r="V52">
        <f>HYPERLINK("https://klasma.github.io/Logging_2523/klagomål/A 41650-2023 FSC-klagomål.docx", "A 41650-2023")</f>
        <v/>
      </c>
      <c r="W52">
        <f>HYPERLINK("https://klasma.github.io/Logging_2523/klagomålsmail/A 41650-2023 FSC-klagomål mail.docx", "A 41650-2023")</f>
        <v/>
      </c>
      <c r="X52">
        <f>HYPERLINK("https://klasma.github.io/Logging_2523/tillsyn/A 41650-2023 tillsynsbegäran.docx", "A 41650-2023")</f>
        <v/>
      </c>
      <c r="Y52">
        <f>HYPERLINK("https://klasma.github.io/Logging_2523/tillsynsmail/A 41650-2023 tillsynsbegäran mail.docx", "A 41650-2023")</f>
        <v/>
      </c>
    </row>
    <row r="53" ht="15" customHeight="1">
      <c r="A53" t="inlineStr">
        <is>
          <t>A 41651-2023</t>
        </is>
      </c>
      <c r="B53" s="1" t="n">
        <v>45175</v>
      </c>
      <c r="C53" s="1" t="n">
        <v>45566</v>
      </c>
      <c r="D53" t="inlineStr">
        <is>
          <t>NORRBOTTENS LÄN</t>
        </is>
      </c>
      <c r="E53" t="inlineStr">
        <is>
          <t>GÄLLIVARE</t>
        </is>
      </c>
      <c r="F53" t="inlineStr">
        <is>
          <t>SCA</t>
        </is>
      </c>
      <c r="G53" t="n">
        <v>2.7</v>
      </c>
      <c r="H53" t="n">
        <v>1</v>
      </c>
      <c r="I53" t="n">
        <v>0</v>
      </c>
      <c r="J53" t="n">
        <v>2</v>
      </c>
      <c r="K53" t="n">
        <v>0</v>
      </c>
      <c r="L53" t="n">
        <v>0</v>
      </c>
      <c r="M53" t="n">
        <v>0</v>
      </c>
      <c r="N53" t="n">
        <v>0</v>
      </c>
      <c r="O53" t="n">
        <v>2</v>
      </c>
      <c r="P53" t="n">
        <v>0</v>
      </c>
      <c r="Q53" t="n">
        <v>2</v>
      </c>
      <c r="R53" s="2" t="inlineStr">
        <is>
          <t>Garnlav
Tretåig hackspett</t>
        </is>
      </c>
      <c r="S53">
        <f>HYPERLINK("https://klasma.github.io/Logging_2523/artfynd/A 41651-2023 artfynd.xlsx", "A 41651-2023")</f>
        <v/>
      </c>
      <c r="T53">
        <f>HYPERLINK("https://klasma.github.io/Logging_2523/kartor/A 41651-2023 karta.png", "A 41651-2023")</f>
        <v/>
      </c>
      <c r="V53">
        <f>HYPERLINK("https://klasma.github.io/Logging_2523/klagomål/A 41651-2023 FSC-klagomål.docx", "A 41651-2023")</f>
        <v/>
      </c>
      <c r="W53">
        <f>HYPERLINK("https://klasma.github.io/Logging_2523/klagomålsmail/A 41651-2023 FSC-klagomål mail.docx", "A 41651-2023")</f>
        <v/>
      </c>
      <c r="X53">
        <f>HYPERLINK("https://klasma.github.io/Logging_2523/tillsyn/A 41651-2023 tillsynsbegäran.docx", "A 41651-2023")</f>
        <v/>
      </c>
      <c r="Y53">
        <f>HYPERLINK("https://klasma.github.io/Logging_2523/tillsynsmail/A 41651-2023 tillsynsbegäran mail.docx", "A 41651-2023")</f>
        <v/>
      </c>
      <c r="Z53">
        <f>HYPERLINK("https://klasma.github.io/Logging_2523/fåglar/A 41651-2023 prioriterade fågelarter.docx", "A 41651-2023")</f>
        <v/>
      </c>
    </row>
    <row r="54" ht="15" customHeight="1">
      <c r="A54" t="inlineStr">
        <is>
          <t>A 46856-2023</t>
        </is>
      </c>
      <c r="B54" s="1" t="n">
        <v>45200</v>
      </c>
      <c r="C54" s="1" t="n">
        <v>45566</v>
      </c>
      <c r="D54" t="inlineStr">
        <is>
          <t>NORRBOTTENS LÄN</t>
        </is>
      </c>
      <c r="E54" t="inlineStr">
        <is>
          <t>GÄLLIVARE</t>
        </is>
      </c>
      <c r="F54" t="inlineStr">
        <is>
          <t>SCA</t>
        </is>
      </c>
      <c r="G54" t="n">
        <v>15.2</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46856-2023 artfynd.xlsx", "A 46856-2023")</f>
        <v/>
      </c>
      <c r="T54">
        <f>HYPERLINK("https://klasma.github.io/Logging_2523/kartor/A 46856-2023 karta.png", "A 46856-2023")</f>
        <v/>
      </c>
      <c r="V54">
        <f>HYPERLINK("https://klasma.github.io/Logging_2523/klagomål/A 46856-2023 FSC-klagomål.docx", "A 46856-2023")</f>
        <v/>
      </c>
      <c r="W54">
        <f>HYPERLINK("https://klasma.github.io/Logging_2523/klagomålsmail/A 46856-2023 FSC-klagomål mail.docx", "A 46856-2023")</f>
        <v/>
      </c>
      <c r="X54">
        <f>HYPERLINK("https://klasma.github.io/Logging_2523/tillsyn/A 46856-2023 tillsynsbegäran.docx", "A 46856-2023")</f>
        <v/>
      </c>
      <c r="Y54">
        <f>HYPERLINK("https://klasma.github.io/Logging_2523/tillsynsmail/A 46856-2023 tillsynsbegäran mail.docx", "A 46856-2023")</f>
        <v/>
      </c>
      <c r="Z54">
        <f>HYPERLINK("https://klasma.github.io/Logging_2523/fåglar/A 46856-2023 prioriterade fågelarter.docx", "A 46856-2023")</f>
        <v/>
      </c>
    </row>
    <row r="55" ht="15" customHeight="1">
      <c r="A55" t="inlineStr">
        <is>
          <t>A 54371-2023</t>
        </is>
      </c>
      <c r="B55" s="1" t="n">
        <v>45233</v>
      </c>
      <c r="C55" s="1" t="n">
        <v>45566</v>
      </c>
      <c r="D55" t="inlineStr">
        <is>
          <t>NORRBOTTENS LÄN</t>
        </is>
      </c>
      <c r="E55" t="inlineStr">
        <is>
          <t>GÄLLIVARE</t>
        </is>
      </c>
      <c r="F55" t="inlineStr">
        <is>
          <t>Sveaskog</t>
        </is>
      </c>
      <c r="G55" t="n">
        <v>15</v>
      </c>
      <c r="H55" t="n">
        <v>0</v>
      </c>
      <c r="I55" t="n">
        <v>0</v>
      </c>
      <c r="J55" t="n">
        <v>2</v>
      </c>
      <c r="K55" t="n">
        <v>0</v>
      </c>
      <c r="L55" t="n">
        <v>0</v>
      </c>
      <c r="M55" t="n">
        <v>0</v>
      </c>
      <c r="N55" t="n">
        <v>0</v>
      </c>
      <c r="O55" t="n">
        <v>2</v>
      </c>
      <c r="P55" t="n">
        <v>0</v>
      </c>
      <c r="Q55" t="n">
        <v>2</v>
      </c>
      <c r="R55" s="2" t="inlineStr">
        <is>
          <t>Gammelgransskål
Vitgrynig nållav</t>
        </is>
      </c>
      <c r="S55">
        <f>HYPERLINK("https://klasma.github.io/Logging_2523/artfynd/A 54371-2023 artfynd.xlsx", "A 54371-2023")</f>
        <v/>
      </c>
      <c r="T55">
        <f>HYPERLINK("https://klasma.github.io/Logging_2523/kartor/A 54371-2023 karta.png", "A 54371-2023")</f>
        <v/>
      </c>
      <c r="V55">
        <f>HYPERLINK("https://klasma.github.io/Logging_2523/klagomål/A 54371-2023 FSC-klagomål.docx", "A 54371-2023")</f>
        <v/>
      </c>
      <c r="W55">
        <f>HYPERLINK("https://klasma.github.io/Logging_2523/klagomålsmail/A 54371-2023 FSC-klagomål mail.docx", "A 54371-2023")</f>
        <v/>
      </c>
      <c r="X55">
        <f>HYPERLINK("https://klasma.github.io/Logging_2523/tillsyn/A 54371-2023 tillsynsbegäran.docx", "A 54371-2023")</f>
        <v/>
      </c>
      <c r="Y55">
        <f>HYPERLINK("https://klasma.github.io/Logging_2523/tillsynsmail/A 54371-2023 tillsynsbegäran mail.docx", "A 54371-2023")</f>
        <v/>
      </c>
    </row>
    <row r="56" ht="15" customHeight="1">
      <c r="A56" t="inlineStr">
        <is>
          <t>A 58642-2023</t>
        </is>
      </c>
      <c r="B56" s="1" t="n">
        <v>45251</v>
      </c>
      <c r="C56" s="1" t="n">
        <v>45566</v>
      </c>
      <c r="D56" t="inlineStr">
        <is>
          <t>NORRBOTTENS LÄN</t>
        </is>
      </c>
      <c r="E56" t="inlineStr">
        <is>
          <t>GÄLLIVARE</t>
        </is>
      </c>
      <c r="F56" t="inlineStr">
        <is>
          <t>Sveaskog</t>
        </is>
      </c>
      <c r="G56" t="n">
        <v>20.3</v>
      </c>
      <c r="H56" t="n">
        <v>0</v>
      </c>
      <c r="I56" t="n">
        <v>0</v>
      </c>
      <c r="J56" t="n">
        <v>2</v>
      </c>
      <c r="K56" t="n">
        <v>0</v>
      </c>
      <c r="L56" t="n">
        <v>0</v>
      </c>
      <c r="M56" t="n">
        <v>0</v>
      </c>
      <c r="N56" t="n">
        <v>0</v>
      </c>
      <c r="O56" t="n">
        <v>2</v>
      </c>
      <c r="P56" t="n">
        <v>0</v>
      </c>
      <c r="Q56" t="n">
        <v>2</v>
      </c>
      <c r="R56" s="2" t="inlineStr">
        <is>
          <t>Blå taggsvamp
Vaddporing</t>
        </is>
      </c>
      <c r="S56">
        <f>HYPERLINK("https://klasma.github.io/Logging_2523/artfynd/A 58642-2023 artfynd.xlsx", "A 58642-2023")</f>
        <v/>
      </c>
      <c r="T56">
        <f>HYPERLINK("https://klasma.github.io/Logging_2523/kartor/A 58642-2023 karta.png", "A 58642-2023")</f>
        <v/>
      </c>
      <c r="V56">
        <f>HYPERLINK("https://klasma.github.io/Logging_2523/klagomål/A 58642-2023 FSC-klagomål.docx", "A 58642-2023")</f>
        <v/>
      </c>
      <c r="W56">
        <f>HYPERLINK("https://klasma.github.io/Logging_2523/klagomålsmail/A 58642-2023 FSC-klagomål mail.docx", "A 58642-2023")</f>
        <v/>
      </c>
      <c r="X56">
        <f>HYPERLINK("https://klasma.github.io/Logging_2523/tillsyn/A 58642-2023 tillsynsbegäran.docx", "A 58642-2023")</f>
        <v/>
      </c>
      <c r="Y56">
        <f>HYPERLINK("https://klasma.github.io/Logging_2523/tillsynsmail/A 58642-2023 tillsynsbegäran mail.docx", "A 58642-2023")</f>
        <v/>
      </c>
    </row>
    <row r="57" ht="15" customHeight="1">
      <c r="A57" t="inlineStr">
        <is>
          <t>A 26825-2024</t>
        </is>
      </c>
      <c r="B57" s="1" t="n">
        <v>45470</v>
      </c>
      <c r="C57" s="1" t="n">
        <v>45566</v>
      </c>
      <c r="D57" t="inlineStr">
        <is>
          <t>NORRBOTTENS LÄN</t>
        </is>
      </c>
      <c r="E57" t="inlineStr">
        <is>
          <t>GÄLLIVARE</t>
        </is>
      </c>
      <c r="F57" t="inlineStr">
        <is>
          <t>Sveaskog</t>
        </is>
      </c>
      <c r="G57" t="n">
        <v>4</v>
      </c>
      <c r="H57" t="n">
        <v>0</v>
      </c>
      <c r="I57" t="n">
        <v>0</v>
      </c>
      <c r="J57" t="n">
        <v>2</v>
      </c>
      <c r="K57" t="n">
        <v>0</v>
      </c>
      <c r="L57" t="n">
        <v>0</v>
      </c>
      <c r="M57" t="n">
        <v>0</v>
      </c>
      <c r="N57" t="n">
        <v>0</v>
      </c>
      <c r="O57" t="n">
        <v>2</v>
      </c>
      <c r="P57" t="n">
        <v>0</v>
      </c>
      <c r="Q57" t="n">
        <v>2</v>
      </c>
      <c r="R57" s="2" t="inlineStr">
        <is>
          <t>Rosenticka
Ullticka</t>
        </is>
      </c>
      <c r="S57">
        <f>HYPERLINK("https://klasma.github.io/Logging_2523/artfynd/A 26825-2024 artfynd.xlsx", "A 26825-2024")</f>
        <v/>
      </c>
      <c r="T57">
        <f>HYPERLINK("https://klasma.github.io/Logging_2523/kartor/A 26825-2024 karta.png", "A 26825-2024")</f>
        <v/>
      </c>
      <c r="V57">
        <f>HYPERLINK("https://klasma.github.io/Logging_2523/klagomål/A 26825-2024 FSC-klagomål.docx", "A 26825-2024")</f>
        <v/>
      </c>
      <c r="W57">
        <f>HYPERLINK("https://klasma.github.io/Logging_2523/klagomålsmail/A 26825-2024 FSC-klagomål mail.docx", "A 26825-2024")</f>
        <v/>
      </c>
      <c r="X57">
        <f>HYPERLINK("https://klasma.github.io/Logging_2523/tillsyn/A 26825-2024 tillsynsbegäran.docx", "A 26825-2024")</f>
        <v/>
      </c>
      <c r="Y57">
        <f>HYPERLINK("https://klasma.github.io/Logging_2523/tillsynsmail/A 26825-2024 tillsynsbegäran mail.docx", "A 26825-2024")</f>
        <v/>
      </c>
    </row>
    <row r="58" ht="15" customHeight="1">
      <c r="A58" t="inlineStr">
        <is>
          <t>A 27250-2024</t>
        </is>
      </c>
      <c r="B58" s="1" t="n">
        <v>45471</v>
      </c>
      <c r="C58" s="1" t="n">
        <v>45566</v>
      </c>
      <c r="D58" t="inlineStr">
        <is>
          <t>NORRBOTTENS LÄN</t>
        </is>
      </c>
      <c r="E58" t="inlineStr">
        <is>
          <t>GÄLLIVARE</t>
        </is>
      </c>
      <c r="F58" t="inlineStr">
        <is>
          <t>Sveaskog</t>
        </is>
      </c>
      <c r="G58" t="n">
        <v>43.8</v>
      </c>
      <c r="H58" t="n">
        <v>0</v>
      </c>
      <c r="I58" t="n">
        <v>1</v>
      </c>
      <c r="J58" t="n">
        <v>1</v>
      </c>
      <c r="K58" t="n">
        <v>0</v>
      </c>
      <c r="L58" t="n">
        <v>0</v>
      </c>
      <c r="M58" t="n">
        <v>0</v>
      </c>
      <c r="N58" t="n">
        <v>0</v>
      </c>
      <c r="O58" t="n">
        <v>1</v>
      </c>
      <c r="P58" t="n">
        <v>0</v>
      </c>
      <c r="Q58" t="n">
        <v>2</v>
      </c>
      <c r="R58" s="2" t="inlineStr">
        <is>
          <t>Kolflarnlav
Dropptaggsvamp</t>
        </is>
      </c>
      <c r="S58">
        <f>HYPERLINK("https://klasma.github.io/Logging_2523/artfynd/A 27250-2024 artfynd.xlsx", "A 27250-2024")</f>
        <v/>
      </c>
      <c r="T58">
        <f>HYPERLINK("https://klasma.github.io/Logging_2523/kartor/A 27250-2024 karta.png", "A 27250-2024")</f>
        <v/>
      </c>
      <c r="V58">
        <f>HYPERLINK("https://klasma.github.io/Logging_2523/klagomål/A 27250-2024 FSC-klagomål.docx", "A 27250-2024")</f>
        <v/>
      </c>
      <c r="W58">
        <f>HYPERLINK("https://klasma.github.io/Logging_2523/klagomålsmail/A 27250-2024 FSC-klagomål mail.docx", "A 27250-2024")</f>
        <v/>
      </c>
      <c r="X58">
        <f>HYPERLINK("https://klasma.github.io/Logging_2523/tillsyn/A 27250-2024 tillsynsbegäran.docx", "A 27250-2024")</f>
        <v/>
      </c>
      <c r="Y58">
        <f>HYPERLINK("https://klasma.github.io/Logging_2523/tillsynsmail/A 27250-2024 tillsynsbegäran mail.docx", "A 27250-2024")</f>
        <v/>
      </c>
    </row>
    <row r="59" ht="15" customHeight="1">
      <c r="A59" t="inlineStr">
        <is>
          <t>A 30393-2024</t>
        </is>
      </c>
      <c r="B59" s="1" t="n">
        <v>45491</v>
      </c>
      <c r="C59" s="1" t="n">
        <v>45566</v>
      </c>
      <c r="D59" t="inlineStr">
        <is>
          <t>NORRBOTTENS LÄN</t>
        </is>
      </c>
      <c r="E59" t="inlineStr">
        <is>
          <t>GÄLLIVARE</t>
        </is>
      </c>
      <c r="F59" t="inlineStr">
        <is>
          <t>Sveaskog</t>
        </is>
      </c>
      <c r="G59" t="n">
        <v>14.7</v>
      </c>
      <c r="H59" t="n">
        <v>0</v>
      </c>
      <c r="I59" t="n">
        <v>0</v>
      </c>
      <c r="J59" t="n">
        <v>2</v>
      </c>
      <c r="K59" t="n">
        <v>0</v>
      </c>
      <c r="L59" t="n">
        <v>0</v>
      </c>
      <c r="M59" t="n">
        <v>0</v>
      </c>
      <c r="N59" t="n">
        <v>0</v>
      </c>
      <c r="O59" t="n">
        <v>2</v>
      </c>
      <c r="P59" t="n">
        <v>0</v>
      </c>
      <c r="Q59" t="n">
        <v>2</v>
      </c>
      <c r="R59" s="2" t="inlineStr">
        <is>
          <t>Kolflarnlav
Violmussling</t>
        </is>
      </c>
      <c r="S59">
        <f>HYPERLINK("https://klasma.github.io/Logging_2523/artfynd/A 30393-2024 artfynd.xlsx", "A 30393-2024")</f>
        <v/>
      </c>
      <c r="T59">
        <f>HYPERLINK("https://klasma.github.io/Logging_2523/kartor/A 30393-2024 karta.png", "A 30393-2024")</f>
        <v/>
      </c>
      <c r="V59">
        <f>HYPERLINK("https://klasma.github.io/Logging_2523/klagomål/A 30393-2024 FSC-klagomål.docx", "A 30393-2024")</f>
        <v/>
      </c>
      <c r="W59">
        <f>HYPERLINK("https://klasma.github.io/Logging_2523/klagomålsmail/A 30393-2024 FSC-klagomål mail.docx", "A 30393-2024")</f>
        <v/>
      </c>
      <c r="X59">
        <f>HYPERLINK("https://klasma.github.io/Logging_2523/tillsyn/A 30393-2024 tillsynsbegäran.docx", "A 30393-2024")</f>
        <v/>
      </c>
      <c r="Y59">
        <f>HYPERLINK("https://klasma.github.io/Logging_2523/tillsynsmail/A 30393-2024 tillsynsbegäran mail.docx", "A 30393-2024")</f>
        <v/>
      </c>
    </row>
    <row r="60" ht="15" customHeight="1">
      <c r="A60" t="inlineStr">
        <is>
          <t>A 34782-2024</t>
        </is>
      </c>
      <c r="B60" s="1" t="n">
        <v>45526</v>
      </c>
      <c r="C60" s="1" t="n">
        <v>45566</v>
      </c>
      <c r="D60" t="inlineStr">
        <is>
          <t>NORRBOTTENS LÄN</t>
        </is>
      </c>
      <c r="E60" t="inlineStr">
        <is>
          <t>GÄLLIVARE</t>
        </is>
      </c>
      <c r="F60" t="inlineStr">
        <is>
          <t>Sveaskog</t>
        </is>
      </c>
      <c r="G60" t="n">
        <v>6.8</v>
      </c>
      <c r="H60" t="n">
        <v>0</v>
      </c>
      <c r="I60" t="n">
        <v>1</v>
      </c>
      <c r="J60" t="n">
        <v>1</v>
      </c>
      <c r="K60" t="n">
        <v>0</v>
      </c>
      <c r="L60" t="n">
        <v>0</v>
      </c>
      <c r="M60" t="n">
        <v>0</v>
      </c>
      <c r="N60" t="n">
        <v>0</v>
      </c>
      <c r="O60" t="n">
        <v>1</v>
      </c>
      <c r="P60" t="n">
        <v>0</v>
      </c>
      <c r="Q60" t="n">
        <v>2</v>
      </c>
      <c r="R60" s="2" t="inlineStr">
        <is>
          <t>Svart taggsvamp
Dropptaggsvamp</t>
        </is>
      </c>
      <c r="S60">
        <f>HYPERLINK("https://klasma.github.io/Logging_2523/artfynd/A 34782-2024 artfynd.xlsx", "A 34782-2024")</f>
        <v/>
      </c>
      <c r="T60">
        <f>HYPERLINK("https://klasma.github.io/Logging_2523/kartor/A 34782-2024 karta.png", "A 34782-2024")</f>
        <v/>
      </c>
      <c r="V60">
        <f>HYPERLINK("https://klasma.github.io/Logging_2523/klagomål/A 34782-2024 FSC-klagomål.docx", "A 34782-2024")</f>
        <v/>
      </c>
      <c r="W60">
        <f>HYPERLINK("https://klasma.github.io/Logging_2523/klagomålsmail/A 34782-2024 FSC-klagomål mail.docx", "A 34782-2024")</f>
        <v/>
      </c>
      <c r="X60">
        <f>HYPERLINK("https://klasma.github.io/Logging_2523/tillsyn/A 34782-2024 tillsynsbegäran.docx", "A 34782-2024")</f>
        <v/>
      </c>
      <c r="Y60">
        <f>HYPERLINK("https://klasma.github.io/Logging_2523/tillsynsmail/A 34782-2024 tillsynsbegäran mail.docx", "A 34782-2024")</f>
        <v/>
      </c>
    </row>
    <row r="61" ht="15" customHeight="1">
      <c r="A61" t="inlineStr">
        <is>
          <t>A 38744-2024</t>
        </is>
      </c>
      <c r="B61" s="1" t="n">
        <v>45547</v>
      </c>
      <c r="C61" s="1" t="n">
        <v>45566</v>
      </c>
      <c r="D61" t="inlineStr">
        <is>
          <t>NORRBOTTENS LÄN</t>
        </is>
      </c>
      <c r="E61" t="inlineStr">
        <is>
          <t>GÄLLIVARE</t>
        </is>
      </c>
      <c r="F61" t="inlineStr">
        <is>
          <t>Sveaskog</t>
        </is>
      </c>
      <c r="G61" t="n">
        <v>3.7</v>
      </c>
      <c r="H61" t="n">
        <v>0</v>
      </c>
      <c r="I61" t="n">
        <v>1</v>
      </c>
      <c r="J61" t="n">
        <v>1</v>
      </c>
      <c r="K61" t="n">
        <v>0</v>
      </c>
      <c r="L61" t="n">
        <v>0</v>
      </c>
      <c r="M61" t="n">
        <v>0</v>
      </c>
      <c r="N61" t="n">
        <v>0</v>
      </c>
      <c r="O61" t="n">
        <v>1</v>
      </c>
      <c r="P61" t="n">
        <v>0</v>
      </c>
      <c r="Q61" t="n">
        <v>2</v>
      </c>
      <c r="R61" s="2" t="inlineStr">
        <is>
          <t>Kolflarnlav
Skarp dropptaggsvamp</t>
        </is>
      </c>
      <c r="S61">
        <f>HYPERLINK("https://klasma.github.io/Logging_2523/artfynd/A 38744-2024 artfynd.xlsx", "A 38744-2024")</f>
        <v/>
      </c>
      <c r="T61">
        <f>HYPERLINK("https://klasma.github.io/Logging_2523/kartor/A 38744-2024 karta.png", "A 38744-2024")</f>
        <v/>
      </c>
      <c r="V61">
        <f>HYPERLINK("https://klasma.github.io/Logging_2523/klagomål/A 38744-2024 FSC-klagomål.docx", "A 38744-2024")</f>
        <v/>
      </c>
      <c r="W61">
        <f>HYPERLINK("https://klasma.github.io/Logging_2523/klagomålsmail/A 38744-2024 FSC-klagomål mail.docx", "A 38744-2024")</f>
        <v/>
      </c>
      <c r="X61">
        <f>HYPERLINK("https://klasma.github.io/Logging_2523/tillsyn/A 38744-2024 tillsynsbegäran.docx", "A 38744-2024")</f>
        <v/>
      </c>
      <c r="Y61">
        <f>HYPERLINK("https://klasma.github.io/Logging_2523/tillsynsmail/A 38744-2024 tillsynsbegäran mail.docx", "A 38744-2024")</f>
        <v/>
      </c>
    </row>
    <row r="62" ht="15" customHeight="1">
      <c r="A62" t="inlineStr">
        <is>
          <t>A 28204-2019</t>
        </is>
      </c>
      <c r="B62" s="1" t="n">
        <v>43621</v>
      </c>
      <c r="C62" s="1" t="n">
        <v>45566</v>
      </c>
      <c r="D62" t="inlineStr">
        <is>
          <t>NORRBOTTENS LÄN</t>
        </is>
      </c>
      <c r="E62" t="inlineStr">
        <is>
          <t>GÄLLIVARE</t>
        </is>
      </c>
      <c r="F62" t="inlineStr">
        <is>
          <t>SCA</t>
        </is>
      </c>
      <c r="G62" t="n">
        <v>2.6</v>
      </c>
      <c r="H62" t="n">
        <v>0</v>
      </c>
      <c r="I62" t="n">
        <v>1</v>
      </c>
      <c r="J62" t="n">
        <v>0</v>
      </c>
      <c r="K62" t="n">
        <v>0</v>
      </c>
      <c r="L62" t="n">
        <v>0</v>
      </c>
      <c r="M62" t="n">
        <v>0</v>
      </c>
      <c r="N62" t="n">
        <v>0</v>
      </c>
      <c r="O62" t="n">
        <v>0</v>
      </c>
      <c r="P62" t="n">
        <v>0</v>
      </c>
      <c r="Q62" t="n">
        <v>1</v>
      </c>
      <c r="R62" s="2" t="inlineStr">
        <is>
          <t>Bollvitmossa</t>
        </is>
      </c>
      <c r="S62">
        <f>HYPERLINK("https://klasma.github.io/Logging_2523/artfynd/A 28204-2019 artfynd.xlsx", "A 28204-2019")</f>
        <v/>
      </c>
      <c r="T62">
        <f>HYPERLINK("https://klasma.github.io/Logging_2523/kartor/A 28204-2019 karta.png", "A 28204-2019")</f>
        <v/>
      </c>
      <c r="V62">
        <f>HYPERLINK("https://klasma.github.io/Logging_2523/klagomål/A 28204-2019 FSC-klagomål.docx", "A 28204-2019")</f>
        <v/>
      </c>
      <c r="W62">
        <f>HYPERLINK("https://klasma.github.io/Logging_2523/klagomålsmail/A 28204-2019 FSC-klagomål mail.docx", "A 28204-2019")</f>
        <v/>
      </c>
      <c r="X62">
        <f>HYPERLINK("https://klasma.github.io/Logging_2523/tillsyn/A 28204-2019 tillsynsbegäran.docx", "A 28204-2019")</f>
        <v/>
      </c>
      <c r="Y62">
        <f>HYPERLINK("https://klasma.github.io/Logging_2523/tillsynsmail/A 28204-2019 tillsynsbegäran mail.docx", "A 28204-2019")</f>
        <v/>
      </c>
    </row>
    <row r="63" ht="15" customHeight="1">
      <c r="A63" t="inlineStr">
        <is>
          <t>A 41384-2019</t>
        </is>
      </c>
      <c r="B63" s="1" t="n">
        <v>43698</v>
      </c>
      <c r="C63" s="1" t="n">
        <v>45566</v>
      </c>
      <c r="D63" t="inlineStr">
        <is>
          <t>NORRBOTTENS LÄN</t>
        </is>
      </c>
      <c r="E63" t="inlineStr">
        <is>
          <t>GÄLLIVARE</t>
        </is>
      </c>
      <c r="F63" t="inlineStr">
        <is>
          <t>Sveaskog</t>
        </is>
      </c>
      <c r="G63" t="n">
        <v>3</v>
      </c>
      <c r="H63" t="n">
        <v>0</v>
      </c>
      <c r="I63" t="n">
        <v>0</v>
      </c>
      <c r="J63" t="n">
        <v>1</v>
      </c>
      <c r="K63" t="n">
        <v>0</v>
      </c>
      <c r="L63" t="n">
        <v>0</v>
      </c>
      <c r="M63" t="n">
        <v>0</v>
      </c>
      <c r="N63" t="n">
        <v>0</v>
      </c>
      <c r="O63" t="n">
        <v>1</v>
      </c>
      <c r="P63" t="n">
        <v>0</v>
      </c>
      <c r="Q63" t="n">
        <v>1</v>
      </c>
      <c r="R63" s="2" t="inlineStr">
        <is>
          <t>Kolflarnlav</t>
        </is>
      </c>
      <c r="S63">
        <f>HYPERLINK("https://klasma.github.io/Logging_2523/artfynd/A 41384-2019 artfynd.xlsx", "A 41384-2019")</f>
        <v/>
      </c>
      <c r="T63">
        <f>HYPERLINK("https://klasma.github.io/Logging_2523/kartor/A 41384-2019 karta.png", "A 41384-2019")</f>
        <v/>
      </c>
      <c r="V63">
        <f>HYPERLINK("https://klasma.github.io/Logging_2523/klagomål/A 41384-2019 FSC-klagomål.docx", "A 41384-2019")</f>
        <v/>
      </c>
      <c r="W63">
        <f>HYPERLINK("https://klasma.github.io/Logging_2523/klagomålsmail/A 41384-2019 FSC-klagomål mail.docx", "A 41384-2019")</f>
        <v/>
      </c>
      <c r="X63">
        <f>HYPERLINK("https://klasma.github.io/Logging_2523/tillsyn/A 41384-2019 tillsynsbegäran.docx", "A 41384-2019")</f>
        <v/>
      </c>
      <c r="Y63">
        <f>HYPERLINK("https://klasma.github.io/Logging_2523/tillsynsmail/A 41384-2019 tillsynsbegäran mail.docx", "A 41384-2019")</f>
        <v/>
      </c>
    </row>
    <row r="64" ht="15" customHeight="1">
      <c r="A64" t="inlineStr">
        <is>
          <t>A 52060-2020</t>
        </is>
      </c>
      <c r="B64" s="1" t="n">
        <v>44116</v>
      </c>
      <c r="C64" s="1" t="n">
        <v>45566</v>
      </c>
      <c r="D64" t="inlineStr">
        <is>
          <t>NORRBOTTENS LÄN</t>
        </is>
      </c>
      <c r="E64" t="inlineStr">
        <is>
          <t>GÄLLIVARE</t>
        </is>
      </c>
      <c r="F64" t="inlineStr">
        <is>
          <t>SCA</t>
        </is>
      </c>
      <c r="G64" t="n">
        <v>8.5</v>
      </c>
      <c r="H64" t="n">
        <v>0</v>
      </c>
      <c r="I64" t="n">
        <v>0</v>
      </c>
      <c r="J64" t="n">
        <v>0</v>
      </c>
      <c r="K64" t="n">
        <v>1</v>
      </c>
      <c r="L64" t="n">
        <v>0</v>
      </c>
      <c r="M64" t="n">
        <v>0</v>
      </c>
      <c r="N64" t="n">
        <v>0</v>
      </c>
      <c r="O64" t="n">
        <v>1</v>
      </c>
      <c r="P64" t="n">
        <v>1</v>
      </c>
      <c r="Q64" t="n">
        <v>1</v>
      </c>
      <c r="R64" s="2" t="inlineStr">
        <is>
          <t>Gräddporing</t>
        </is>
      </c>
      <c r="S64">
        <f>HYPERLINK("https://klasma.github.io/Logging_2523/artfynd/A 52060-2020 artfynd.xlsx", "A 52060-2020")</f>
        <v/>
      </c>
      <c r="T64">
        <f>HYPERLINK("https://klasma.github.io/Logging_2523/kartor/A 52060-2020 karta.png", "A 52060-2020")</f>
        <v/>
      </c>
      <c r="V64">
        <f>HYPERLINK("https://klasma.github.io/Logging_2523/klagomål/A 52060-2020 FSC-klagomål.docx", "A 52060-2020")</f>
        <v/>
      </c>
      <c r="W64">
        <f>HYPERLINK("https://klasma.github.io/Logging_2523/klagomålsmail/A 52060-2020 FSC-klagomål mail.docx", "A 52060-2020")</f>
        <v/>
      </c>
      <c r="X64">
        <f>HYPERLINK("https://klasma.github.io/Logging_2523/tillsyn/A 52060-2020 tillsynsbegäran.docx", "A 52060-2020")</f>
        <v/>
      </c>
      <c r="Y64">
        <f>HYPERLINK("https://klasma.github.io/Logging_2523/tillsynsmail/A 52060-2020 tillsynsbegäran mail.docx", "A 52060-2020")</f>
        <v/>
      </c>
    </row>
    <row r="65" ht="15" customHeight="1">
      <c r="A65" t="inlineStr">
        <is>
          <t>A 45017-2021</t>
        </is>
      </c>
      <c r="B65" s="1" t="n">
        <v>44438</v>
      </c>
      <c r="C65" s="1" t="n">
        <v>45566</v>
      </c>
      <c r="D65" t="inlineStr">
        <is>
          <t>NORRBOTTENS LÄN</t>
        </is>
      </c>
      <c r="E65" t="inlineStr">
        <is>
          <t>GÄLLIVARE</t>
        </is>
      </c>
      <c r="F65" t="inlineStr">
        <is>
          <t>SCA</t>
        </is>
      </c>
      <c r="G65" t="n">
        <v>4.8</v>
      </c>
      <c r="H65" t="n">
        <v>0</v>
      </c>
      <c r="I65" t="n">
        <v>0</v>
      </c>
      <c r="J65" t="n">
        <v>1</v>
      </c>
      <c r="K65" t="n">
        <v>0</v>
      </c>
      <c r="L65" t="n">
        <v>0</v>
      </c>
      <c r="M65" t="n">
        <v>0</v>
      </c>
      <c r="N65" t="n">
        <v>0</v>
      </c>
      <c r="O65" t="n">
        <v>1</v>
      </c>
      <c r="P65" t="n">
        <v>0</v>
      </c>
      <c r="Q65" t="n">
        <v>1</v>
      </c>
      <c r="R65" s="2" t="inlineStr">
        <is>
          <t>Garnlav</t>
        </is>
      </c>
      <c r="S65">
        <f>HYPERLINK("https://klasma.github.io/Logging_2523/artfynd/A 45017-2021 artfynd.xlsx", "A 45017-2021")</f>
        <v/>
      </c>
      <c r="T65">
        <f>HYPERLINK("https://klasma.github.io/Logging_2523/kartor/A 45017-2021 karta.png", "A 45017-2021")</f>
        <v/>
      </c>
      <c r="V65">
        <f>HYPERLINK("https://klasma.github.io/Logging_2523/klagomål/A 45017-2021 FSC-klagomål.docx", "A 45017-2021")</f>
        <v/>
      </c>
      <c r="W65">
        <f>HYPERLINK("https://klasma.github.io/Logging_2523/klagomålsmail/A 45017-2021 FSC-klagomål mail.docx", "A 45017-2021")</f>
        <v/>
      </c>
      <c r="X65">
        <f>HYPERLINK("https://klasma.github.io/Logging_2523/tillsyn/A 45017-2021 tillsynsbegäran.docx", "A 45017-2021")</f>
        <v/>
      </c>
      <c r="Y65">
        <f>HYPERLINK("https://klasma.github.io/Logging_2523/tillsynsmail/A 45017-2021 tillsynsbegäran mail.docx", "A 45017-2021")</f>
        <v/>
      </c>
    </row>
    <row r="66" ht="15" customHeight="1">
      <c r="A66" t="inlineStr">
        <is>
          <t>A 57535-2021</t>
        </is>
      </c>
      <c r="B66" s="1" t="n">
        <v>44483</v>
      </c>
      <c r="C66" s="1" t="n">
        <v>45566</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49188-2022</t>
        </is>
      </c>
      <c r="B67" s="1" t="n">
        <v>44860</v>
      </c>
      <c r="C67" s="1" t="n">
        <v>45566</v>
      </c>
      <c r="D67" t="inlineStr">
        <is>
          <t>NORRBOTTENS LÄN</t>
        </is>
      </c>
      <c r="E67" t="inlineStr">
        <is>
          <t>GÄLLIVARE</t>
        </is>
      </c>
      <c r="F67" t="inlineStr">
        <is>
          <t>SCA</t>
        </is>
      </c>
      <c r="G67" t="n">
        <v>5.4</v>
      </c>
      <c r="H67" t="n">
        <v>0</v>
      </c>
      <c r="I67" t="n">
        <v>1</v>
      </c>
      <c r="J67" t="n">
        <v>0</v>
      </c>
      <c r="K67" t="n">
        <v>0</v>
      </c>
      <c r="L67" t="n">
        <v>0</v>
      </c>
      <c r="M67" t="n">
        <v>0</v>
      </c>
      <c r="N67" t="n">
        <v>0</v>
      </c>
      <c r="O67" t="n">
        <v>0</v>
      </c>
      <c r="P67" t="n">
        <v>0</v>
      </c>
      <c r="Q67" t="n">
        <v>1</v>
      </c>
      <c r="R67" s="2" t="inlineStr">
        <is>
          <t>Dropptaggsvamp</t>
        </is>
      </c>
      <c r="S67">
        <f>HYPERLINK("https://klasma.github.io/Logging_2523/artfynd/A 49188-2022 artfynd.xlsx", "A 49188-2022")</f>
        <v/>
      </c>
      <c r="T67">
        <f>HYPERLINK("https://klasma.github.io/Logging_2523/kartor/A 49188-2022 karta.png", "A 49188-2022")</f>
        <v/>
      </c>
      <c r="V67">
        <f>HYPERLINK("https://klasma.github.io/Logging_2523/klagomål/A 49188-2022 FSC-klagomål.docx", "A 49188-2022")</f>
        <v/>
      </c>
      <c r="W67">
        <f>HYPERLINK("https://klasma.github.io/Logging_2523/klagomålsmail/A 49188-2022 FSC-klagomål mail.docx", "A 49188-2022")</f>
        <v/>
      </c>
      <c r="X67">
        <f>HYPERLINK("https://klasma.github.io/Logging_2523/tillsyn/A 49188-2022 tillsynsbegäran.docx", "A 49188-2022")</f>
        <v/>
      </c>
      <c r="Y67">
        <f>HYPERLINK("https://klasma.github.io/Logging_2523/tillsynsmail/A 49188-2022 tillsynsbegäran mail.docx", "A 49188-2022")</f>
        <v/>
      </c>
    </row>
    <row r="68" ht="15" customHeight="1">
      <c r="A68" t="inlineStr">
        <is>
          <t>A 27336-2023</t>
        </is>
      </c>
      <c r="B68" s="1" t="n">
        <v>45096</v>
      </c>
      <c r="C68" s="1" t="n">
        <v>45566</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30746-2023</t>
        </is>
      </c>
      <c r="B69" s="1" t="n">
        <v>45103</v>
      </c>
      <c r="C69" s="1" t="n">
        <v>45566</v>
      </c>
      <c r="D69" t="inlineStr">
        <is>
          <t>NORRBOTTENS LÄN</t>
        </is>
      </c>
      <c r="E69" t="inlineStr">
        <is>
          <t>GÄLLIVARE</t>
        </is>
      </c>
      <c r="F69" t="inlineStr">
        <is>
          <t>Allmännings- och besparingsskogar</t>
        </is>
      </c>
      <c r="G69" t="n">
        <v>13.9</v>
      </c>
      <c r="H69" t="n">
        <v>0</v>
      </c>
      <c r="I69" t="n">
        <v>0</v>
      </c>
      <c r="J69" t="n">
        <v>1</v>
      </c>
      <c r="K69" t="n">
        <v>0</v>
      </c>
      <c r="L69" t="n">
        <v>0</v>
      </c>
      <c r="M69" t="n">
        <v>0</v>
      </c>
      <c r="N69" t="n">
        <v>0</v>
      </c>
      <c r="O69" t="n">
        <v>1</v>
      </c>
      <c r="P69" t="n">
        <v>0</v>
      </c>
      <c r="Q69" t="n">
        <v>1</v>
      </c>
      <c r="R69" s="2" t="inlineStr">
        <is>
          <t>Mörk kolflarnlav</t>
        </is>
      </c>
      <c r="S69">
        <f>HYPERLINK("https://klasma.github.io/Logging_2523/artfynd/A 30746-2023 artfynd.xlsx", "A 30746-2023")</f>
        <v/>
      </c>
      <c r="T69">
        <f>HYPERLINK("https://klasma.github.io/Logging_2523/kartor/A 30746-2023 karta.png", "A 30746-2023")</f>
        <v/>
      </c>
      <c r="V69">
        <f>HYPERLINK("https://klasma.github.io/Logging_2523/klagomål/A 30746-2023 FSC-klagomål.docx", "A 30746-2023")</f>
        <v/>
      </c>
      <c r="W69">
        <f>HYPERLINK("https://klasma.github.io/Logging_2523/klagomålsmail/A 30746-2023 FSC-klagomål mail.docx", "A 30746-2023")</f>
        <v/>
      </c>
      <c r="X69">
        <f>HYPERLINK("https://klasma.github.io/Logging_2523/tillsyn/A 30746-2023 tillsynsbegäran.docx", "A 30746-2023")</f>
        <v/>
      </c>
      <c r="Y69">
        <f>HYPERLINK("https://klasma.github.io/Logging_2523/tillsynsmail/A 30746-2023 tillsynsbegäran mail.docx", "A 30746-2023")</f>
        <v/>
      </c>
    </row>
    <row r="70" ht="15" customHeight="1">
      <c r="A70" t="inlineStr">
        <is>
          <t>A 33388-2023</t>
        </is>
      </c>
      <c r="B70" s="1" t="n">
        <v>45117</v>
      </c>
      <c r="C70" s="1" t="n">
        <v>45566</v>
      </c>
      <c r="D70" t="inlineStr">
        <is>
          <t>NORRBOTTENS LÄN</t>
        </is>
      </c>
      <c r="E70" t="inlineStr">
        <is>
          <t>GÄLLIVARE</t>
        </is>
      </c>
      <c r="F70" t="inlineStr">
        <is>
          <t>Allmännings- och besparingsskogar</t>
        </is>
      </c>
      <c r="G70" t="n">
        <v>3.8</v>
      </c>
      <c r="H70" t="n">
        <v>0</v>
      </c>
      <c r="I70" t="n">
        <v>0</v>
      </c>
      <c r="J70" t="n">
        <v>1</v>
      </c>
      <c r="K70" t="n">
        <v>0</v>
      </c>
      <c r="L70" t="n">
        <v>0</v>
      </c>
      <c r="M70" t="n">
        <v>0</v>
      </c>
      <c r="N70" t="n">
        <v>0</v>
      </c>
      <c r="O70" t="n">
        <v>1</v>
      </c>
      <c r="P70" t="n">
        <v>0</v>
      </c>
      <c r="Q70" t="n">
        <v>1</v>
      </c>
      <c r="R70" s="2" t="inlineStr">
        <is>
          <t>Kolflarnlav</t>
        </is>
      </c>
      <c r="S70">
        <f>HYPERLINK("https://klasma.github.io/Logging_2523/artfynd/A 33388-2023 artfynd.xlsx", "A 33388-2023")</f>
        <v/>
      </c>
      <c r="T70">
        <f>HYPERLINK("https://klasma.github.io/Logging_2523/kartor/A 33388-2023 karta.png", "A 33388-2023")</f>
        <v/>
      </c>
      <c r="V70">
        <f>HYPERLINK("https://klasma.github.io/Logging_2523/klagomål/A 33388-2023 FSC-klagomål.docx", "A 33388-2023")</f>
        <v/>
      </c>
      <c r="W70">
        <f>HYPERLINK("https://klasma.github.io/Logging_2523/klagomålsmail/A 33388-2023 FSC-klagomål mail.docx", "A 33388-2023")</f>
        <v/>
      </c>
      <c r="X70">
        <f>HYPERLINK("https://klasma.github.io/Logging_2523/tillsyn/A 33388-2023 tillsynsbegäran.docx", "A 33388-2023")</f>
        <v/>
      </c>
      <c r="Y70">
        <f>HYPERLINK("https://klasma.github.io/Logging_2523/tillsynsmail/A 33388-2023 tillsynsbegäran mail.docx", "A 33388-2023")</f>
        <v/>
      </c>
    </row>
    <row r="71" ht="15" customHeight="1">
      <c r="A71" t="inlineStr">
        <is>
          <t>A 40815-2023</t>
        </is>
      </c>
      <c r="B71" s="1" t="n">
        <v>45171</v>
      </c>
      <c r="C71" s="1" t="n">
        <v>45566</v>
      </c>
      <c r="D71" t="inlineStr">
        <is>
          <t>NORRBOTTENS LÄN</t>
        </is>
      </c>
      <c r="E71" t="inlineStr">
        <is>
          <t>GÄLLIVARE</t>
        </is>
      </c>
      <c r="F71" t="inlineStr">
        <is>
          <t>Sveaskog</t>
        </is>
      </c>
      <c r="G71" t="n">
        <v>31.4</v>
      </c>
      <c r="H71" t="n">
        <v>0</v>
      </c>
      <c r="I71" t="n">
        <v>0</v>
      </c>
      <c r="J71" t="n">
        <v>1</v>
      </c>
      <c r="K71" t="n">
        <v>0</v>
      </c>
      <c r="L71" t="n">
        <v>0</v>
      </c>
      <c r="M71" t="n">
        <v>0</v>
      </c>
      <c r="N71" t="n">
        <v>0</v>
      </c>
      <c r="O71" t="n">
        <v>1</v>
      </c>
      <c r="P71" t="n">
        <v>0</v>
      </c>
      <c r="Q71" t="n">
        <v>1</v>
      </c>
      <c r="R71" s="2" t="inlineStr">
        <is>
          <t>Talltaggsvamp</t>
        </is>
      </c>
      <c r="S71">
        <f>HYPERLINK("https://klasma.github.io/Logging_2523/artfynd/A 40815-2023 artfynd.xlsx", "A 40815-2023")</f>
        <v/>
      </c>
      <c r="T71">
        <f>HYPERLINK("https://klasma.github.io/Logging_2523/kartor/A 40815-2023 karta.png", "A 40815-2023")</f>
        <v/>
      </c>
      <c r="V71">
        <f>HYPERLINK("https://klasma.github.io/Logging_2523/klagomål/A 40815-2023 FSC-klagomål.docx", "A 40815-2023")</f>
        <v/>
      </c>
      <c r="W71">
        <f>HYPERLINK("https://klasma.github.io/Logging_2523/klagomålsmail/A 40815-2023 FSC-klagomål mail.docx", "A 40815-2023")</f>
        <v/>
      </c>
      <c r="X71">
        <f>HYPERLINK("https://klasma.github.io/Logging_2523/tillsyn/A 40815-2023 tillsynsbegäran.docx", "A 40815-2023")</f>
        <v/>
      </c>
      <c r="Y71">
        <f>HYPERLINK("https://klasma.github.io/Logging_2523/tillsynsmail/A 40815-2023 tillsynsbegäran mail.docx", "A 40815-2023")</f>
        <v/>
      </c>
    </row>
    <row r="72" ht="15" customHeight="1">
      <c r="A72" t="inlineStr">
        <is>
          <t>A 43323-2023</t>
        </is>
      </c>
      <c r="B72" s="1" t="n">
        <v>45183</v>
      </c>
      <c r="C72" s="1" t="n">
        <v>45566</v>
      </c>
      <c r="D72" t="inlineStr">
        <is>
          <t>NORRBOTTENS LÄN</t>
        </is>
      </c>
      <c r="E72" t="inlineStr">
        <is>
          <t>GÄLLIVARE</t>
        </is>
      </c>
      <c r="F72" t="inlineStr">
        <is>
          <t>Sveaskog</t>
        </is>
      </c>
      <c r="G72" t="n">
        <v>30.4</v>
      </c>
      <c r="H72" t="n">
        <v>1</v>
      </c>
      <c r="I72" t="n">
        <v>1</v>
      </c>
      <c r="J72" t="n">
        <v>0</v>
      </c>
      <c r="K72" t="n">
        <v>0</v>
      </c>
      <c r="L72" t="n">
        <v>0</v>
      </c>
      <c r="M72" t="n">
        <v>0</v>
      </c>
      <c r="N72" t="n">
        <v>0</v>
      </c>
      <c r="O72" t="n">
        <v>0</v>
      </c>
      <c r="P72" t="n">
        <v>0</v>
      </c>
      <c r="Q72" t="n">
        <v>1</v>
      </c>
      <c r="R72" s="2" t="inlineStr">
        <is>
          <t>Plattlummer</t>
        </is>
      </c>
      <c r="S72">
        <f>HYPERLINK("https://klasma.github.io/Logging_2523/artfynd/A 43323-2023 artfynd.xlsx", "A 43323-2023")</f>
        <v/>
      </c>
      <c r="T72">
        <f>HYPERLINK("https://klasma.github.io/Logging_2523/kartor/A 43323-2023 karta.png", "A 43323-2023")</f>
        <v/>
      </c>
      <c r="V72">
        <f>HYPERLINK("https://klasma.github.io/Logging_2523/klagomål/A 43323-2023 FSC-klagomål.docx", "A 43323-2023")</f>
        <v/>
      </c>
      <c r="W72">
        <f>HYPERLINK("https://klasma.github.io/Logging_2523/klagomålsmail/A 43323-2023 FSC-klagomål mail.docx", "A 43323-2023")</f>
        <v/>
      </c>
      <c r="X72">
        <f>HYPERLINK("https://klasma.github.io/Logging_2523/tillsyn/A 43323-2023 tillsynsbegäran.docx", "A 43323-2023")</f>
        <v/>
      </c>
      <c r="Y72">
        <f>HYPERLINK("https://klasma.github.io/Logging_2523/tillsynsmail/A 43323-2023 tillsynsbegäran mail.docx", "A 43323-2023")</f>
        <v/>
      </c>
    </row>
    <row r="73" ht="15" customHeight="1">
      <c r="A73" t="inlineStr">
        <is>
          <t>A 51389-2023</t>
        </is>
      </c>
      <c r="B73" s="1" t="n">
        <v>45213</v>
      </c>
      <c r="C73" s="1" t="n">
        <v>45566</v>
      </c>
      <c r="D73" t="inlineStr">
        <is>
          <t>NORRBOTTENS LÄN</t>
        </is>
      </c>
      <c r="E73" t="inlineStr">
        <is>
          <t>GÄLLIVARE</t>
        </is>
      </c>
      <c r="G73" t="n">
        <v>4.5</v>
      </c>
      <c r="H73" t="n">
        <v>1</v>
      </c>
      <c r="I73" t="n">
        <v>0</v>
      </c>
      <c r="J73" t="n">
        <v>1</v>
      </c>
      <c r="K73" t="n">
        <v>0</v>
      </c>
      <c r="L73" t="n">
        <v>0</v>
      </c>
      <c r="M73" t="n">
        <v>0</v>
      </c>
      <c r="N73" t="n">
        <v>0</v>
      </c>
      <c r="O73" t="n">
        <v>1</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12224-2024</t>
        </is>
      </c>
      <c r="B74" s="1" t="n">
        <v>45378</v>
      </c>
      <c r="C74" s="1" t="n">
        <v>45566</v>
      </c>
      <c r="D74" t="inlineStr">
        <is>
          <t>NORRBOTTENS LÄN</t>
        </is>
      </c>
      <c r="E74" t="inlineStr">
        <is>
          <t>GÄLLIVARE</t>
        </is>
      </c>
      <c r="F74" t="inlineStr">
        <is>
          <t>Sveaskog</t>
        </is>
      </c>
      <c r="G74" t="n">
        <v>28.6</v>
      </c>
      <c r="H74" t="n">
        <v>0</v>
      </c>
      <c r="I74" t="n">
        <v>0</v>
      </c>
      <c r="J74" t="n">
        <v>1</v>
      </c>
      <c r="K74" t="n">
        <v>0</v>
      </c>
      <c r="L74" t="n">
        <v>0</v>
      </c>
      <c r="M74" t="n">
        <v>0</v>
      </c>
      <c r="N74" t="n">
        <v>0</v>
      </c>
      <c r="O74" t="n">
        <v>1</v>
      </c>
      <c r="P74" t="n">
        <v>0</v>
      </c>
      <c r="Q74" t="n">
        <v>1</v>
      </c>
      <c r="R74" s="2" t="inlineStr">
        <is>
          <t>Garnlav</t>
        </is>
      </c>
      <c r="S74">
        <f>HYPERLINK("https://klasma.github.io/Logging_2523/artfynd/A 12224-2024 artfynd.xlsx", "A 12224-2024")</f>
        <v/>
      </c>
      <c r="T74">
        <f>HYPERLINK("https://klasma.github.io/Logging_2523/kartor/A 12224-2024 karta.png", "A 12224-2024")</f>
        <v/>
      </c>
      <c r="V74">
        <f>HYPERLINK("https://klasma.github.io/Logging_2523/klagomål/A 12224-2024 FSC-klagomål.docx", "A 12224-2024")</f>
        <v/>
      </c>
      <c r="W74">
        <f>HYPERLINK("https://klasma.github.io/Logging_2523/klagomålsmail/A 12224-2024 FSC-klagomål mail.docx", "A 12224-2024")</f>
        <v/>
      </c>
      <c r="X74">
        <f>HYPERLINK("https://klasma.github.io/Logging_2523/tillsyn/A 12224-2024 tillsynsbegäran.docx", "A 12224-2024")</f>
        <v/>
      </c>
      <c r="Y74">
        <f>HYPERLINK("https://klasma.github.io/Logging_2523/tillsynsmail/A 12224-2024 tillsynsbegäran mail.docx", "A 12224-2024")</f>
        <v/>
      </c>
    </row>
    <row r="75" ht="15" customHeight="1">
      <c r="A75" t="inlineStr">
        <is>
          <t>A 12522-2024</t>
        </is>
      </c>
      <c r="B75" s="1" t="n">
        <v>45379</v>
      </c>
      <c r="C75" s="1" t="n">
        <v>45566</v>
      </c>
      <c r="D75" t="inlineStr">
        <is>
          <t>NORRBOTTENS LÄN</t>
        </is>
      </c>
      <c r="E75" t="inlineStr">
        <is>
          <t>GÄLLIVARE</t>
        </is>
      </c>
      <c r="F75" t="inlineStr">
        <is>
          <t>Sveaskog</t>
        </is>
      </c>
      <c r="G75" t="n">
        <v>27.8</v>
      </c>
      <c r="H75" t="n">
        <v>1</v>
      </c>
      <c r="I75" t="n">
        <v>0</v>
      </c>
      <c r="J75" t="n">
        <v>0</v>
      </c>
      <c r="K75" t="n">
        <v>1</v>
      </c>
      <c r="L75" t="n">
        <v>0</v>
      </c>
      <c r="M75" t="n">
        <v>0</v>
      </c>
      <c r="N75" t="n">
        <v>0</v>
      </c>
      <c r="O75" t="n">
        <v>1</v>
      </c>
      <c r="P75" t="n">
        <v>1</v>
      </c>
      <c r="Q75" t="n">
        <v>1</v>
      </c>
      <c r="R75" s="2" t="inlineStr">
        <is>
          <t>Doftticka</t>
        </is>
      </c>
      <c r="S75">
        <f>HYPERLINK("https://klasma.github.io/Logging_2523/artfynd/A 12522-2024 artfynd.xlsx", "A 12522-2024")</f>
        <v/>
      </c>
      <c r="T75">
        <f>HYPERLINK("https://klasma.github.io/Logging_2523/kartor/A 12522-2024 karta.png", "A 12522-2024")</f>
        <v/>
      </c>
      <c r="V75">
        <f>HYPERLINK("https://klasma.github.io/Logging_2523/klagomål/A 12522-2024 FSC-klagomål.docx", "A 12522-2024")</f>
        <v/>
      </c>
      <c r="W75">
        <f>HYPERLINK("https://klasma.github.io/Logging_2523/klagomålsmail/A 12522-2024 FSC-klagomål mail.docx", "A 12522-2024")</f>
        <v/>
      </c>
      <c r="X75">
        <f>HYPERLINK("https://klasma.github.io/Logging_2523/tillsyn/A 12522-2024 tillsynsbegäran.docx", "A 12522-2024")</f>
        <v/>
      </c>
      <c r="Y75">
        <f>HYPERLINK("https://klasma.github.io/Logging_2523/tillsynsmail/A 12522-2024 tillsynsbegäran mail.docx", "A 12522-2024")</f>
        <v/>
      </c>
    </row>
    <row r="76" ht="15" customHeight="1">
      <c r="A76" t="inlineStr">
        <is>
          <t>A 26551-2024</t>
        </is>
      </c>
      <c r="B76" s="1" t="n">
        <v>45469</v>
      </c>
      <c r="C76" s="1" t="n">
        <v>45566</v>
      </c>
      <c r="D76" t="inlineStr">
        <is>
          <t>NORRBOTTENS LÄN</t>
        </is>
      </c>
      <c r="E76" t="inlineStr">
        <is>
          <t>GÄLLIVARE</t>
        </is>
      </c>
      <c r="F76" t="inlineStr">
        <is>
          <t>Sveaskog</t>
        </is>
      </c>
      <c r="G76" t="n">
        <v>8.699999999999999</v>
      </c>
      <c r="H76" t="n">
        <v>0</v>
      </c>
      <c r="I76" t="n">
        <v>0</v>
      </c>
      <c r="J76" t="n">
        <v>1</v>
      </c>
      <c r="K76" t="n">
        <v>0</v>
      </c>
      <c r="L76" t="n">
        <v>0</v>
      </c>
      <c r="M76" t="n">
        <v>0</v>
      </c>
      <c r="N76" t="n">
        <v>0</v>
      </c>
      <c r="O76" t="n">
        <v>1</v>
      </c>
      <c r="P76" t="n">
        <v>0</v>
      </c>
      <c r="Q76" t="n">
        <v>1</v>
      </c>
      <c r="R76" s="2" t="inlineStr">
        <is>
          <t>Lunglav</t>
        </is>
      </c>
      <c r="S76">
        <f>HYPERLINK("https://klasma.github.io/Logging_2523/artfynd/A 26551-2024 artfynd.xlsx", "A 26551-2024")</f>
        <v/>
      </c>
      <c r="T76">
        <f>HYPERLINK("https://klasma.github.io/Logging_2523/kartor/A 26551-2024 karta.png", "A 26551-2024")</f>
        <v/>
      </c>
      <c r="V76">
        <f>HYPERLINK("https://klasma.github.io/Logging_2523/klagomål/A 26551-2024 FSC-klagomål.docx", "A 26551-2024")</f>
        <v/>
      </c>
      <c r="W76">
        <f>HYPERLINK("https://klasma.github.io/Logging_2523/klagomålsmail/A 26551-2024 FSC-klagomål mail.docx", "A 26551-2024")</f>
        <v/>
      </c>
      <c r="X76">
        <f>HYPERLINK("https://klasma.github.io/Logging_2523/tillsyn/A 26551-2024 tillsynsbegäran.docx", "A 26551-2024")</f>
        <v/>
      </c>
      <c r="Y76">
        <f>HYPERLINK("https://klasma.github.io/Logging_2523/tillsynsmail/A 26551-2024 tillsynsbegäran mail.docx", "A 26551-2024")</f>
        <v/>
      </c>
    </row>
    <row r="77" ht="15" customHeight="1">
      <c r="A77" t="inlineStr">
        <is>
          <t>A 26552-2024</t>
        </is>
      </c>
      <c r="B77" s="1" t="n">
        <v>45469</v>
      </c>
      <c r="C77" s="1" t="n">
        <v>45566</v>
      </c>
      <c r="D77" t="inlineStr">
        <is>
          <t>NORRBOTTENS LÄN</t>
        </is>
      </c>
      <c r="E77" t="inlineStr">
        <is>
          <t>GÄLLIVARE</t>
        </is>
      </c>
      <c r="F77" t="inlineStr">
        <is>
          <t>Sveaskog</t>
        </is>
      </c>
      <c r="G77" t="n">
        <v>5.1</v>
      </c>
      <c r="H77" t="n">
        <v>0</v>
      </c>
      <c r="I77" t="n">
        <v>0</v>
      </c>
      <c r="J77" t="n">
        <v>1</v>
      </c>
      <c r="K77" t="n">
        <v>0</v>
      </c>
      <c r="L77" t="n">
        <v>0</v>
      </c>
      <c r="M77" t="n">
        <v>0</v>
      </c>
      <c r="N77" t="n">
        <v>0</v>
      </c>
      <c r="O77" t="n">
        <v>1</v>
      </c>
      <c r="P77" t="n">
        <v>0</v>
      </c>
      <c r="Q77" t="n">
        <v>1</v>
      </c>
      <c r="R77" s="2" t="inlineStr">
        <is>
          <t>Garnlav</t>
        </is>
      </c>
      <c r="S77">
        <f>HYPERLINK("https://klasma.github.io/Logging_2523/artfynd/A 26552-2024 artfynd.xlsx", "A 26552-2024")</f>
        <v/>
      </c>
      <c r="T77">
        <f>HYPERLINK("https://klasma.github.io/Logging_2523/kartor/A 26552-2024 karta.png", "A 26552-2024")</f>
        <v/>
      </c>
      <c r="V77">
        <f>HYPERLINK("https://klasma.github.io/Logging_2523/klagomål/A 26552-2024 FSC-klagomål.docx", "A 26552-2024")</f>
        <v/>
      </c>
      <c r="W77">
        <f>HYPERLINK("https://klasma.github.io/Logging_2523/klagomålsmail/A 26552-2024 FSC-klagomål mail.docx", "A 26552-2024")</f>
        <v/>
      </c>
      <c r="X77">
        <f>HYPERLINK("https://klasma.github.io/Logging_2523/tillsyn/A 26552-2024 tillsynsbegäran.docx", "A 26552-2024")</f>
        <v/>
      </c>
      <c r="Y77">
        <f>HYPERLINK("https://klasma.github.io/Logging_2523/tillsynsmail/A 26552-2024 tillsynsbegäran mail.docx", "A 26552-2024")</f>
        <v/>
      </c>
    </row>
    <row r="78" ht="15" customHeight="1">
      <c r="A78" t="inlineStr">
        <is>
          <t>A 28106-2024</t>
        </is>
      </c>
      <c r="B78" s="1" t="n">
        <v>45476</v>
      </c>
      <c r="C78" s="1" t="n">
        <v>45566</v>
      </c>
      <c r="D78" t="inlineStr">
        <is>
          <t>NORRBOTTENS LÄN</t>
        </is>
      </c>
      <c r="E78" t="inlineStr">
        <is>
          <t>GÄLLIVARE</t>
        </is>
      </c>
      <c r="F78" t="inlineStr">
        <is>
          <t>Sveaskog</t>
        </is>
      </c>
      <c r="G78" t="n">
        <v>1.1</v>
      </c>
      <c r="H78" t="n">
        <v>1</v>
      </c>
      <c r="I78" t="n">
        <v>0</v>
      </c>
      <c r="J78" t="n">
        <v>0</v>
      </c>
      <c r="K78" t="n">
        <v>1</v>
      </c>
      <c r="L78" t="n">
        <v>0</v>
      </c>
      <c r="M78" t="n">
        <v>0</v>
      </c>
      <c r="N78" t="n">
        <v>0</v>
      </c>
      <c r="O78" t="n">
        <v>1</v>
      </c>
      <c r="P78" t="n">
        <v>1</v>
      </c>
      <c r="Q78" t="n">
        <v>1</v>
      </c>
      <c r="R78" s="2" t="inlineStr">
        <is>
          <t>Doftticka</t>
        </is>
      </c>
      <c r="S78">
        <f>HYPERLINK("https://klasma.github.io/Logging_2523/artfynd/A 28106-2024 artfynd.xlsx", "A 28106-2024")</f>
        <v/>
      </c>
      <c r="T78">
        <f>HYPERLINK("https://klasma.github.io/Logging_2523/kartor/A 28106-2024 karta.png", "A 28106-2024")</f>
        <v/>
      </c>
      <c r="V78">
        <f>HYPERLINK("https://klasma.github.io/Logging_2523/klagomål/A 28106-2024 FSC-klagomål.docx", "A 28106-2024")</f>
        <v/>
      </c>
      <c r="W78">
        <f>HYPERLINK("https://klasma.github.io/Logging_2523/klagomålsmail/A 28106-2024 FSC-klagomål mail.docx", "A 28106-2024")</f>
        <v/>
      </c>
      <c r="X78">
        <f>HYPERLINK("https://klasma.github.io/Logging_2523/tillsyn/A 28106-2024 tillsynsbegäran.docx", "A 28106-2024")</f>
        <v/>
      </c>
      <c r="Y78">
        <f>HYPERLINK("https://klasma.github.io/Logging_2523/tillsynsmail/A 28106-2024 tillsynsbegäran mail.docx", "A 28106-2024")</f>
        <v/>
      </c>
    </row>
    <row r="79" ht="15" customHeight="1">
      <c r="A79" t="inlineStr">
        <is>
          <t>A 29762-2024</t>
        </is>
      </c>
      <c r="B79" s="1" t="n">
        <v>45485</v>
      </c>
      <c r="C79" s="1" t="n">
        <v>45566</v>
      </c>
      <c r="D79" t="inlineStr">
        <is>
          <t>NORRBOTTENS LÄN</t>
        </is>
      </c>
      <c r="E79" t="inlineStr">
        <is>
          <t>GÄLLIVARE</t>
        </is>
      </c>
      <c r="F79" t="inlineStr">
        <is>
          <t>Sveaskog</t>
        </is>
      </c>
      <c r="G79" t="n">
        <v>27</v>
      </c>
      <c r="H79" t="n">
        <v>0</v>
      </c>
      <c r="I79" t="n">
        <v>0</v>
      </c>
      <c r="J79" t="n">
        <v>1</v>
      </c>
      <c r="K79" t="n">
        <v>0</v>
      </c>
      <c r="L79" t="n">
        <v>0</v>
      </c>
      <c r="M79" t="n">
        <v>0</v>
      </c>
      <c r="N79" t="n">
        <v>0</v>
      </c>
      <c r="O79" t="n">
        <v>1</v>
      </c>
      <c r="P79" t="n">
        <v>0</v>
      </c>
      <c r="Q79" t="n">
        <v>1</v>
      </c>
      <c r="R79" s="2" t="inlineStr">
        <is>
          <t>Blå taggsvamp</t>
        </is>
      </c>
      <c r="S79">
        <f>HYPERLINK("https://klasma.github.io/Logging_2523/artfynd/A 29762-2024 artfynd.xlsx", "A 29762-2024")</f>
        <v/>
      </c>
      <c r="T79">
        <f>HYPERLINK("https://klasma.github.io/Logging_2523/kartor/A 29762-2024 karta.png", "A 29762-2024")</f>
        <v/>
      </c>
      <c r="V79">
        <f>HYPERLINK("https://klasma.github.io/Logging_2523/klagomål/A 29762-2024 FSC-klagomål.docx", "A 29762-2024")</f>
        <v/>
      </c>
      <c r="W79">
        <f>HYPERLINK("https://klasma.github.io/Logging_2523/klagomålsmail/A 29762-2024 FSC-klagomål mail.docx", "A 29762-2024")</f>
        <v/>
      </c>
      <c r="X79">
        <f>HYPERLINK("https://klasma.github.io/Logging_2523/tillsyn/A 29762-2024 tillsynsbegäran.docx", "A 29762-2024")</f>
        <v/>
      </c>
      <c r="Y79">
        <f>HYPERLINK("https://klasma.github.io/Logging_2523/tillsynsmail/A 29762-2024 tillsynsbegäran mail.docx", "A 29762-2024")</f>
        <v/>
      </c>
    </row>
    <row r="80" ht="15" customHeight="1">
      <c r="A80" t="inlineStr">
        <is>
          <t>A 32828-2024</t>
        </is>
      </c>
      <c r="B80" s="1" t="n">
        <v>45516</v>
      </c>
      <c r="C80" s="1" t="n">
        <v>45566</v>
      </c>
      <c r="D80" t="inlineStr">
        <is>
          <t>NORRBOTTENS LÄN</t>
        </is>
      </c>
      <c r="E80" t="inlineStr">
        <is>
          <t>GÄLLIVARE</t>
        </is>
      </c>
      <c r="F80" t="inlineStr">
        <is>
          <t>Sveaskog</t>
        </is>
      </c>
      <c r="G80" t="n">
        <v>27.1</v>
      </c>
      <c r="H80" t="n">
        <v>1</v>
      </c>
      <c r="I80" t="n">
        <v>0</v>
      </c>
      <c r="J80" t="n">
        <v>0</v>
      </c>
      <c r="K80" t="n">
        <v>1</v>
      </c>
      <c r="L80" t="n">
        <v>0</v>
      </c>
      <c r="M80" t="n">
        <v>0</v>
      </c>
      <c r="N80" t="n">
        <v>0</v>
      </c>
      <c r="O80" t="n">
        <v>1</v>
      </c>
      <c r="P80" t="n">
        <v>1</v>
      </c>
      <c r="Q80" t="n">
        <v>1</v>
      </c>
      <c r="R80" s="2" t="inlineStr">
        <is>
          <t>Doftticka</t>
        </is>
      </c>
      <c r="S80">
        <f>HYPERLINK("https://klasma.github.io/Logging_2523/artfynd/A 32828-2024 artfynd.xlsx", "A 32828-2024")</f>
        <v/>
      </c>
      <c r="T80">
        <f>HYPERLINK("https://klasma.github.io/Logging_2523/kartor/A 32828-2024 karta.png", "A 32828-2024")</f>
        <v/>
      </c>
      <c r="V80">
        <f>HYPERLINK("https://klasma.github.io/Logging_2523/klagomål/A 32828-2024 FSC-klagomål.docx", "A 32828-2024")</f>
        <v/>
      </c>
      <c r="W80">
        <f>HYPERLINK("https://klasma.github.io/Logging_2523/klagomålsmail/A 32828-2024 FSC-klagomål mail.docx", "A 32828-2024")</f>
        <v/>
      </c>
      <c r="X80">
        <f>HYPERLINK("https://klasma.github.io/Logging_2523/tillsyn/A 32828-2024 tillsynsbegäran.docx", "A 32828-2024")</f>
        <v/>
      </c>
      <c r="Y80">
        <f>HYPERLINK("https://klasma.github.io/Logging_2523/tillsynsmail/A 32828-2024 tillsynsbegäran mail.docx", "A 32828-2024")</f>
        <v/>
      </c>
    </row>
    <row r="81" ht="15" customHeight="1">
      <c r="A81" t="inlineStr">
        <is>
          <t>A 34618-2024</t>
        </is>
      </c>
      <c r="B81" s="1" t="n">
        <v>45526</v>
      </c>
      <c r="C81" s="1" t="n">
        <v>45566</v>
      </c>
      <c r="D81" t="inlineStr">
        <is>
          <t>NORRBOTTENS LÄN</t>
        </is>
      </c>
      <c r="E81" t="inlineStr">
        <is>
          <t>GÄLLIVARE</t>
        </is>
      </c>
      <c r="F81" t="inlineStr">
        <is>
          <t>Sveaskog</t>
        </is>
      </c>
      <c r="G81" t="n">
        <v>11.2</v>
      </c>
      <c r="H81" t="n">
        <v>1</v>
      </c>
      <c r="I81" t="n">
        <v>0</v>
      </c>
      <c r="J81" t="n">
        <v>0</v>
      </c>
      <c r="K81" t="n">
        <v>1</v>
      </c>
      <c r="L81" t="n">
        <v>0</v>
      </c>
      <c r="M81" t="n">
        <v>0</v>
      </c>
      <c r="N81" t="n">
        <v>0</v>
      </c>
      <c r="O81" t="n">
        <v>1</v>
      </c>
      <c r="P81" t="n">
        <v>1</v>
      </c>
      <c r="Q81" t="n">
        <v>1</v>
      </c>
      <c r="R81" s="2" t="inlineStr">
        <is>
          <t>Doftticka</t>
        </is>
      </c>
      <c r="S81">
        <f>HYPERLINK("https://klasma.github.io/Logging_2523/artfynd/A 34618-2024 artfynd.xlsx", "A 34618-2024")</f>
        <v/>
      </c>
      <c r="T81">
        <f>HYPERLINK("https://klasma.github.io/Logging_2523/kartor/A 34618-2024 karta.png", "A 34618-2024")</f>
        <v/>
      </c>
      <c r="V81">
        <f>HYPERLINK("https://klasma.github.io/Logging_2523/klagomål/A 34618-2024 FSC-klagomål.docx", "A 34618-2024")</f>
        <v/>
      </c>
      <c r="W81">
        <f>HYPERLINK("https://klasma.github.io/Logging_2523/klagomålsmail/A 34618-2024 FSC-klagomål mail.docx", "A 34618-2024")</f>
        <v/>
      </c>
      <c r="X81">
        <f>HYPERLINK("https://klasma.github.io/Logging_2523/tillsyn/A 34618-2024 tillsynsbegäran.docx", "A 34618-2024")</f>
        <v/>
      </c>
      <c r="Y81">
        <f>HYPERLINK("https://klasma.github.io/Logging_2523/tillsynsmail/A 34618-2024 tillsynsbegäran mail.docx", "A 34618-2024")</f>
        <v/>
      </c>
    </row>
    <row r="82" ht="15" customHeight="1">
      <c r="A82" t="inlineStr">
        <is>
          <t>A 34591-2024</t>
        </is>
      </c>
      <c r="B82" s="1" t="n">
        <v>45526</v>
      </c>
      <c r="C82" s="1" t="n">
        <v>45566</v>
      </c>
      <c r="D82" t="inlineStr">
        <is>
          <t>NORRBOTTENS LÄN</t>
        </is>
      </c>
      <c r="E82" t="inlineStr">
        <is>
          <t>GÄLLIVARE</t>
        </is>
      </c>
      <c r="F82" t="inlineStr">
        <is>
          <t>Sveaskog</t>
        </is>
      </c>
      <c r="G82" t="n">
        <v>1.1</v>
      </c>
      <c r="H82" t="n">
        <v>0</v>
      </c>
      <c r="I82" t="n">
        <v>1</v>
      </c>
      <c r="J82" t="n">
        <v>0</v>
      </c>
      <c r="K82" t="n">
        <v>0</v>
      </c>
      <c r="L82" t="n">
        <v>0</v>
      </c>
      <c r="M82" t="n">
        <v>0</v>
      </c>
      <c r="N82" t="n">
        <v>0</v>
      </c>
      <c r="O82" t="n">
        <v>0</v>
      </c>
      <c r="P82" t="n">
        <v>0</v>
      </c>
      <c r="Q82" t="n">
        <v>1</v>
      </c>
      <c r="R82" s="2" t="inlineStr">
        <is>
          <t>Dropptaggsvamp</t>
        </is>
      </c>
      <c r="S82">
        <f>HYPERLINK("https://klasma.github.io/Logging_2523/artfynd/A 34591-2024 artfynd.xlsx", "A 34591-2024")</f>
        <v/>
      </c>
      <c r="T82">
        <f>HYPERLINK("https://klasma.github.io/Logging_2523/kartor/A 34591-2024 karta.png", "A 34591-2024")</f>
        <v/>
      </c>
      <c r="V82">
        <f>HYPERLINK("https://klasma.github.io/Logging_2523/klagomål/A 34591-2024 FSC-klagomål.docx", "A 34591-2024")</f>
        <v/>
      </c>
      <c r="W82">
        <f>HYPERLINK("https://klasma.github.io/Logging_2523/klagomålsmail/A 34591-2024 FSC-klagomål mail.docx", "A 34591-2024")</f>
        <v/>
      </c>
      <c r="X82">
        <f>HYPERLINK("https://klasma.github.io/Logging_2523/tillsyn/A 34591-2024 tillsynsbegäran.docx", "A 34591-2024")</f>
        <v/>
      </c>
      <c r="Y82">
        <f>HYPERLINK("https://klasma.github.io/Logging_2523/tillsynsmail/A 34591-2024 tillsynsbegäran mail.docx", "A 34591-2024")</f>
        <v/>
      </c>
    </row>
    <row r="83" ht="15" customHeight="1">
      <c r="A83" t="inlineStr">
        <is>
          <t>A 34879-2024</t>
        </is>
      </c>
      <c r="B83" s="1" t="n">
        <v>45527</v>
      </c>
      <c r="C83" s="1" t="n">
        <v>45566</v>
      </c>
      <c r="D83" t="inlineStr">
        <is>
          <t>NORRBOTTENS LÄN</t>
        </is>
      </c>
      <c r="E83" t="inlineStr">
        <is>
          <t>GÄLLIVARE</t>
        </is>
      </c>
      <c r="F83" t="inlineStr">
        <is>
          <t>SCA</t>
        </is>
      </c>
      <c r="G83" t="n">
        <v>4.3</v>
      </c>
      <c r="H83" t="n">
        <v>1</v>
      </c>
      <c r="I83" t="n">
        <v>0</v>
      </c>
      <c r="J83" t="n">
        <v>0</v>
      </c>
      <c r="K83" t="n">
        <v>0</v>
      </c>
      <c r="L83" t="n">
        <v>0</v>
      </c>
      <c r="M83" t="n">
        <v>0</v>
      </c>
      <c r="N83" t="n">
        <v>0</v>
      </c>
      <c r="O83" t="n">
        <v>0</v>
      </c>
      <c r="P83" t="n">
        <v>0</v>
      </c>
      <c r="Q83" t="n">
        <v>1</v>
      </c>
      <c r="R83" s="2" t="inlineStr">
        <is>
          <t>Huggorm</t>
        </is>
      </c>
      <c r="S83">
        <f>HYPERLINK("https://klasma.github.io/Logging_2523/artfynd/A 34879-2024 artfynd.xlsx", "A 34879-2024")</f>
        <v/>
      </c>
      <c r="T83">
        <f>HYPERLINK("https://klasma.github.io/Logging_2523/kartor/A 34879-2024 karta.png", "A 34879-2024")</f>
        <v/>
      </c>
      <c r="V83">
        <f>HYPERLINK("https://klasma.github.io/Logging_2523/klagomål/A 34879-2024 FSC-klagomål.docx", "A 34879-2024")</f>
        <v/>
      </c>
      <c r="W83">
        <f>HYPERLINK("https://klasma.github.io/Logging_2523/klagomålsmail/A 34879-2024 FSC-klagomål mail.docx", "A 34879-2024")</f>
        <v/>
      </c>
      <c r="X83">
        <f>HYPERLINK("https://klasma.github.io/Logging_2523/tillsyn/A 34879-2024 tillsynsbegäran.docx", "A 34879-2024")</f>
        <v/>
      </c>
      <c r="Y83">
        <f>HYPERLINK("https://klasma.github.io/Logging_2523/tillsynsmail/A 34879-2024 tillsynsbegäran mail.docx", "A 34879-2024")</f>
        <v/>
      </c>
    </row>
    <row r="84" ht="15" customHeight="1">
      <c r="A84" t="inlineStr">
        <is>
          <t>A 19954-2019</t>
        </is>
      </c>
      <c r="B84" s="1" t="n">
        <v>43569</v>
      </c>
      <c r="C84" s="1" t="n">
        <v>45566</v>
      </c>
      <c r="D84" t="inlineStr">
        <is>
          <t>NORRBOTTENS LÄN</t>
        </is>
      </c>
      <c r="E84" t="inlineStr">
        <is>
          <t>GÄLLIVARE</t>
        </is>
      </c>
      <c r="G84" t="n">
        <v>1.9</v>
      </c>
      <c r="H84" t="n">
        <v>0</v>
      </c>
      <c r="I84" t="n">
        <v>0</v>
      </c>
      <c r="J84" t="n">
        <v>0</v>
      </c>
      <c r="K84" t="n">
        <v>0</v>
      </c>
      <c r="L84" t="n">
        <v>0</v>
      </c>
      <c r="M84" t="n">
        <v>0</v>
      </c>
      <c r="N84" t="n">
        <v>0</v>
      </c>
      <c r="O84" t="n">
        <v>0</v>
      </c>
      <c r="P84" t="n">
        <v>0</v>
      </c>
      <c r="Q84" t="n">
        <v>0</v>
      </c>
      <c r="R84" s="2" t="inlineStr"/>
    </row>
    <row r="85" ht="15" customHeight="1">
      <c r="A85" t="inlineStr">
        <is>
          <t>A 21118-2019</t>
        </is>
      </c>
      <c r="B85" s="1" t="n">
        <v>43578</v>
      </c>
      <c r="C85" s="1" t="n">
        <v>45566</v>
      </c>
      <c r="D85" t="inlineStr">
        <is>
          <t>NORRBOTTENS LÄN</t>
        </is>
      </c>
      <c r="E85" t="inlineStr">
        <is>
          <t>GÄLLIVARE</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21556-2019</t>
        </is>
      </c>
      <c r="B86" s="1" t="n">
        <v>43579</v>
      </c>
      <c r="C86" s="1" t="n">
        <v>45566</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22481-2019</t>
        </is>
      </c>
      <c r="B87" s="1" t="n">
        <v>43587</v>
      </c>
      <c r="C87" s="1" t="n">
        <v>45566</v>
      </c>
      <c r="D87" t="inlineStr">
        <is>
          <t>NORRBOTTENS LÄN</t>
        </is>
      </c>
      <c r="E87" t="inlineStr">
        <is>
          <t>GÄLLIVARE</t>
        </is>
      </c>
      <c r="F87" t="inlineStr">
        <is>
          <t>Sveaskog</t>
        </is>
      </c>
      <c r="G87" t="n">
        <v>5.3</v>
      </c>
      <c r="H87" t="n">
        <v>0</v>
      </c>
      <c r="I87" t="n">
        <v>0</v>
      </c>
      <c r="J87" t="n">
        <v>0</v>
      </c>
      <c r="K87" t="n">
        <v>0</v>
      </c>
      <c r="L87" t="n">
        <v>0</v>
      </c>
      <c r="M87" t="n">
        <v>0</v>
      </c>
      <c r="N87" t="n">
        <v>0</v>
      </c>
      <c r="O87" t="n">
        <v>0</v>
      </c>
      <c r="P87" t="n">
        <v>0</v>
      </c>
      <c r="Q87" t="n">
        <v>0</v>
      </c>
      <c r="R87" s="2" t="inlineStr"/>
    </row>
    <row r="88" ht="15" customHeight="1">
      <c r="A88" t="inlineStr">
        <is>
          <t>A 23806-2019</t>
        </is>
      </c>
      <c r="B88" s="1" t="n">
        <v>43595</v>
      </c>
      <c r="C88" s="1" t="n">
        <v>45566</v>
      </c>
      <c r="D88" t="inlineStr">
        <is>
          <t>NORRBOTTENS LÄN</t>
        </is>
      </c>
      <c r="E88" t="inlineStr">
        <is>
          <t>GÄLLIVARE</t>
        </is>
      </c>
      <c r="G88" t="n">
        <v>10.4</v>
      </c>
      <c r="H88" t="n">
        <v>0</v>
      </c>
      <c r="I88" t="n">
        <v>0</v>
      </c>
      <c r="J88" t="n">
        <v>0</v>
      </c>
      <c r="K88" t="n">
        <v>0</v>
      </c>
      <c r="L88" t="n">
        <v>0</v>
      </c>
      <c r="M88" t="n">
        <v>0</v>
      </c>
      <c r="N88" t="n">
        <v>0</v>
      </c>
      <c r="O88" t="n">
        <v>0</v>
      </c>
      <c r="P88" t="n">
        <v>0</v>
      </c>
      <c r="Q88" t="n">
        <v>0</v>
      </c>
      <c r="R88" s="2" t="inlineStr"/>
    </row>
    <row r="89" ht="15" customHeight="1">
      <c r="A89" t="inlineStr">
        <is>
          <t>A 23812-2019</t>
        </is>
      </c>
      <c r="B89" s="1" t="n">
        <v>43595</v>
      </c>
      <c r="C89" s="1" t="n">
        <v>45566</v>
      </c>
      <c r="D89" t="inlineStr">
        <is>
          <t>NORRBOTTENS LÄN</t>
        </is>
      </c>
      <c r="E89" t="inlineStr">
        <is>
          <t>GÄLLIVARE</t>
        </is>
      </c>
      <c r="G89" t="n">
        <v>5.1</v>
      </c>
      <c r="H89" t="n">
        <v>0</v>
      </c>
      <c r="I89" t="n">
        <v>0</v>
      </c>
      <c r="J89" t="n">
        <v>0</v>
      </c>
      <c r="K89" t="n">
        <v>0</v>
      </c>
      <c r="L89" t="n">
        <v>0</v>
      </c>
      <c r="M89" t="n">
        <v>0</v>
      </c>
      <c r="N89" t="n">
        <v>0</v>
      </c>
      <c r="O89" t="n">
        <v>0</v>
      </c>
      <c r="P89" t="n">
        <v>0</v>
      </c>
      <c r="Q89" t="n">
        <v>0</v>
      </c>
      <c r="R89" s="2" t="inlineStr"/>
    </row>
    <row r="90" ht="15" customHeight="1">
      <c r="A90" t="inlineStr">
        <is>
          <t>A 23880-2019</t>
        </is>
      </c>
      <c r="B90" s="1" t="n">
        <v>43595</v>
      </c>
      <c r="C90" s="1" t="n">
        <v>45566</v>
      </c>
      <c r="D90" t="inlineStr">
        <is>
          <t>NORRBOTTENS LÄN</t>
        </is>
      </c>
      <c r="E90" t="inlineStr">
        <is>
          <t>GÄLLIVARE</t>
        </is>
      </c>
      <c r="G90" t="n">
        <v>2.3</v>
      </c>
      <c r="H90" t="n">
        <v>0</v>
      </c>
      <c r="I90" t="n">
        <v>0</v>
      </c>
      <c r="J90" t="n">
        <v>0</v>
      </c>
      <c r="K90" t="n">
        <v>0</v>
      </c>
      <c r="L90" t="n">
        <v>0</v>
      </c>
      <c r="M90" t="n">
        <v>0</v>
      </c>
      <c r="N90" t="n">
        <v>0</v>
      </c>
      <c r="O90" t="n">
        <v>0</v>
      </c>
      <c r="P90" t="n">
        <v>0</v>
      </c>
      <c r="Q90" t="n">
        <v>0</v>
      </c>
      <c r="R90" s="2" t="inlineStr"/>
    </row>
    <row r="91" ht="15" customHeight="1">
      <c r="A91" t="inlineStr">
        <is>
          <t>A 24996-2019</t>
        </is>
      </c>
      <c r="B91" s="1" t="n">
        <v>43600</v>
      </c>
      <c r="C91" s="1" t="n">
        <v>45566</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27498-2019</t>
        </is>
      </c>
      <c r="B92" s="1" t="n">
        <v>43612</v>
      </c>
      <c r="C92" s="1" t="n">
        <v>45566</v>
      </c>
      <c r="D92" t="inlineStr">
        <is>
          <t>NORRBOTTENS LÄN</t>
        </is>
      </c>
      <c r="E92" t="inlineStr">
        <is>
          <t>GÄLLIVARE</t>
        </is>
      </c>
      <c r="F92" t="inlineStr">
        <is>
          <t>Allmännings- och besparingsskogar</t>
        </is>
      </c>
      <c r="G92" t="n">
        <v>24</v>
      </c>
      <c r="H92" t="n">
        <v>0</v>
      </c>
      <c r="I92" t="n">
        <v>0</v>
      </c>
      <c r="J92" t="n">
        <v>0</v>
      </c>
      <c r="K92" t="n">
        <v>0</v>
      </c>
      <c r="L92" t="n">
        <v>0</v>
      </c>
      <c r="M92" t="n">
        <v>0</v>
      </c>
      <c r="N92" t="n">
        <v>0</v>
      </c>
      <c r="O92" t="n">
        <v>0</v>
      </c>
      <c r="P92" t="n">
        <v>0</v>
      </c>
      <c r="Q92" t="n">
        <v>0</v>
      </c>
      <c r="R92" s="2" t="inlineStr"/>
    </row>
    <row r="93" ht="15" customHeight="1">
      <c r="A93" t="inlineStr">
        <is>
          <t>A 26948-2019</t>
        </is>
      </c>
      <c r="B93" s="1" t="n">
        <v>43613</v>
      </c>
      <c r="C93" s="1" t="n">
        <v>45566</v>
      </c>
      <c r="D93" t="inlineStr">
        <is>
          <t>NORRBOTTENS LÄN</t>
        </is>
      </c>
      <c r="E93" t="inlineStr">
        <is>
          <t>GÄLLIVARE</t>
        </is>
      </c>
      <c r="F93" t="inlineStr">
        <is>
          <t>SCA</t>
        </is>
      </c>
      <c r="G93" t="n">
        <v>32.6</v>
      </c>
      <c r="H93" t="n">
        <v>0</v>
      </c>
      <c r="I93" t="n">
        <v>0</v>
      </c>
      <c r="J93" t="n">
        <v>0</v>
      </c>
      <c r="K93" t="n">
        <v>0</v>
      </c>
      <c r="L93" t="n">
        <v>0</v>
      </c>
      <c r="M93" t="n">
        <v>0</v>
      </c>
      <c r="N93" t="n">
        <v>0</v>
      </c>
      <c r="O93" t="n">
        <v>0</v>
      </c>
      <c r="P93" t="n">
        <v>0</v>
      </c>
      <c r="Q93" t="n">
        <v>0</v>
      </c>
      <c r="R93" s="2" t="inlineStr"/>
    </row>
    <row r="94" ht="15" customHeight="1">
      <c r="A94" t="inlineStr">
        <is>
          <t>A 26743-2019</t>
        </is>
      </c>
      <c r="B94" s="1" t="n">
        <v>43613</v>
      </c>
      <c r="C94" s="1" t="n">
        <v>45566</v>
      </c>
      <c r="D94" t="inlineStr">
        <is>
          <t>NORRBOTTENS LÄN</t>
        </is>
      </c>
      <c r="E94" t="inlineStr">
        <is>
          <t>GÄLLIVARE</t>
        </is>
      </c>
      <c r="F94" t="inlineStr">
        <is>
          <t>Sveaskog</t>
        </is>
      </c>
      <c r="G94" t="n">
        <v>7.6</v>
      </c>
      <c r="H94" t="n">
        <v>0</v>
      </c>
      <c r="I94" t="n">
        <v>0</v>
      </c>
      <c r="J94" t="n">
        <v>0</v>
      </c>
      <c r="K94" t="n">
        <v>0</v>
      </c>
      <c r="L94" t="n">
        <v>0</v>
      </c>
      <c r="M94" t="n">
        <v>0</v>
      </c>
      <c r="N94" t="n">
        <v>0</v>
      </c>
      <c r="O94" t="n">
        <v>0</v>
      </c>
      <c r="P94" t="n">
        <v>0</v>
      </c>
      <c r="Q94" t="n">
        <v>0</v>
      </c>
      <c r="R94" s="2" t="inlineStr"/>
    </row>
    <row r="95" ht="15" customHeight="1">
      <c r="A95" t="inlineStr">
        <is>
          <t>A 27043-2019</t>
        </is>
      </c>
      <c r="B95" s="1" t="n">
        <v>43614</v>
      </c>
      <c r="C95" s="1" t="n">
        <v>45566</v>
      </c>
      <c r="D95" t="inlineStr">
        <is>
          <t>NORRBOTTENS LÄN</t>
        </is>
      </c>
      <c r="E95" t="inlineStr">
        <is>
          <t>GÄLLIVARE</t>
        </is>
      </c>
      <c r="F95" t="inlineStr">
        <is>
          <t>Sveaskog</t>
        </is>
      </c>
      <c r="G95" t="n">
        <v>10.6</v>
      </c>
      <c r="H95" t="n">
        <v>0</v>
      </c>
      <c r="I95" t="n">
        <v>0</v>
      </c>
      <c r="J95" t="n">
        <v>0</v>
      </c>
      <c r="K95" t="n">
        <v>0</v>
      </c>
      <c r="L95" t="n">
        <v>0</v>
      </c>
      <c r="M95" t="n">
        <v>0</v>
      </c>
      <c r="N95" t="n">
        <v>0</v>
      </c>
      <c r="O95" t="n">
        <v>0</v>
      </c>
      <c r="P95" t="n">
        <v>0</v>
      </c>
      <c r="Q95" t="n">
        <v>0</v>
      </c>
      <c r="R95" s="2" t="inlineStr"/>
    </row>
    <row r="96" ht="15" customHeight="1">
      <c r="A96" t="inlineStr">
        <is>
          <t>A 27245-2019</t>
        </is>
      </c>
      <c r="B96" s="1" t="n">
        <v>43614</v>
      </c>
      <c r="C96" s="1" t="n">
        <v>45566</v>
      </c>
      <c r="D96" t="inlineStr">
        <is>
          <t>NORRBOTTENS LÄN</t>
        </is>
      </c>
      <c r="E96" t="inlineStr">
        <is>
          <t>GÄLLIVARE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27243-2019</t>
        </is>
      </c>
      <c r="B97" s="1" t="n">
        <v>43614</v>
      </c>
      <c r="C97" s="1" t="n">
        <v>45566</v>
      </c>
      <c r="D97" t="inlineStr">
        <is>
          <t>NORRBOTTENS LÄN</t>
        </is>
      </c>
      <c r="E97" t="inlineStr">
        <is>
          <t>GÄLLIVARE</t>
        </is>
      </c>
      <c r="F97" t="inlineStr">
        <is>
          <t>SCA</t>
        </is>
      </c>
      <c r="G97" t="n">
        <v>7.4</v>
      </c>
      <c r="H97" t="n">
        <v>0</v>
      </c>
      <c r="I97" t="n">
        <v>0</v>
      </c>
      <c r="J97" t="n">
        <v>0</v>
      </c>
      <c r="K97" t="n">
        <v>0</v>
      </c>
      <c r="L97" t="n">
        <v>0</v>
      </c>
      <c r="M97" t="n">
        <v>0</v>
      </c>
      <c r="N97" t="n">
        <v>0</v>
      </c>
      <c r="O97" t="n">
        <v>0</v>
      </c>
      <c r="P97" t="n">
        <v>0</v>
      </c>
      <c r="Q97" t="n">
        <v>0</v>
      </c>
      <c r="R97" s="2" t="inlineStr"/>
    </row>
    <row r="98" ht="15" customHeight="1">
      <c r="A98" t="inlineStr">
        <is>
          <t>A 27247-2019</t>
        </is>
      </c>
      <c r="B98" s="1" t="n">
        <v>43614</v>
      </c>
      <c r="C98" s="1" t="n">
        <v>45566</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28635-2019</t>
        </is>
      </c>
      <c r="B99" s="1" t="n">
        <v>43621</v>
      </c>
      <c r="C99" s="1" t="n">
        <v>45566</v>
      </c>
      <c r="D99" t="inlineStr">
        <is>
          <t>NORRBOTTENS LÄN</t>
        </is>
      </c>
      <c r="E99" t="inlineStr">
        <is>
          <t>GÄLLIVARE</t>
        </is>
      </c>
      <c r="F99" t="inlineStr">
        <is>
          <t>SCA</t>
        </is>
      </c>
      <c r="G99" t="n">
        <v>5.4</v>
      </c>
      <c r="H99" t="n">
        <v>0</v>
      </c>
      <c r="I99" t="n">
        <v>0</v>
      </c>
      <c r="J99" t="n">
        <v>0</v>
      </c>
      <c r="K99" t="n">
        <v>0</v>
      </c>
      <c r="L99" t="n">
        <v>0</v>
      </c>
      <c r="M99" t="n">
        <v>0</v>
      </c>
      <c r="N99" t="n">
        <v>0</v>
      </c>
      <c r="O99" t="n">
        <v>0</v>
      </c>
      <c r="P99" t="n">
        <v>0</v>
      </c>
      <c r="Q99" t="n">
        <v>0</v>
      </c>
      <c r="R99" s="2" t="inlineStr"/>
    </row>
    <row r="100" ht="15" customHeight="1">
      <c r="A100" t="inlineStr">
        <is>
          <t>A 28634-2019</t>
        </is>
      </c>
      <c r="B100" s="1" t="n">
        <v>43621</v>
      </c>
      <c r="C100" s="1" t="n">
        <v>45566</v>
      </c>
      <c r="D100" t="inlineStr">
        <is>
          <t>NORRBOTTENS LÄN</t>
        </is>
      </c>
      <c r="E100" t="inlineStr">
        <is>
          <t>GÄLLIVARE</t>
        </is>
      </c>
      <c r="F100" t="inlineStr">
        <is>
          <t>SCA</t>
        </is>
      </c>
      <c r="G100" t="n">
        <v>7.1</v>
      </c>
      <c r="H100" t="n">
        <v>0</v>
      </c>
      <c r="I100" t="n">
        <v>0</v>
      </c>
      <c r="J100" t="n">
        <v>0</v>
      </c>
      <c r="K100" t="n">
        <v>0</v>
      </c>
      <c r="L100" t="n">
        <v>0</v>
      </c>
      <c r="M100" t="n">
        <v>0</v>
      </c>
      <c r="N100" t="n">
        <v>0</v>
      </c>
      <c r="O100" t="n">
        <v>0</v>
      </c>
      <c r="P100" t="n">
        <v>0</v>
      </c>
      <c r="Q100" t="n">
        <v>0</v>
      </c>
      <c r="R100" s="2" t="inlineStr"/>
    </row>
    <row r="101" ht="15" customHeight="1">
      <c r="A101" t="inlineStr">
        <is>
          <t>A 28633-2019</t>
        </is>
      </c>
      <c r="B101" s="1" t="n">
        <v>43621</v>
      </c>
      <c r="C101" s="1" t="n">
        <v>45566</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28476-2019</t>
        </is>
      </c>
      <c r="B102" s="1" t="n">
        <v>43626</v>
      </c>
      <c r="C102" s="1" t="n">
        <v>45566</v>
      </c>
      <c r="D102" t="inlineStr">
        <is>
          <t>NORRBOTTENS LÄN</t>
        </is>
      </c>
      <c r="E102" t="inlineStr">
        <is>
          <t>GÄLLIVARE</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29148-2019</t>
        </is>
      </c>
      <c r="B103" s="1" t="n">
        <v>43628</v>
      </c>
      <c r="C103" s="1" t="n">
        <v>45566</v>
      </c>
      <c r="D103" t="inlineStr">
        <is>
          <t>NORRBOTTENS LÄN</t>
        </is>
      </c>
      <c r="E103" t="inlineStr">
        <is>
          <t>GÄLLIVARE</t>
        </is>
      </c>
      <c r="F103" t="inlineStr">
        <is>
          <t>SCA</t>
        </is>
      </c>
      <c r="G103" t="n">
        <v>11.3</v>
      </c>
      <c r="H103" t="n">
        <v>0</v>
      </c>
      <c r="I103" t="n">
        <v>0</v>
      </c>
      <c r="J103" t="n">
        <v>0</v>
      </c>
      <c r="K103" t="n">
        <v>0</v>
      </c>
      <c r="L103" t="n">
        <v>0</v>
      </c>
      <c r="M103" t="n">
        <v>0</v>
      </c>
      <c r="N103" t="n">
        <v>0</v>
      </c>
      <c r="O103" t="n">
        <v>0</v>
      </c>
      <c r="P103" t="n">
        <v>0</v>
      </c>
      <c r="Q103" t="n">
        <v>0</v>
      </c>
      <c r="R103" s="2" t="inlineStr"/>
    </row>
    <row r="104" ht="15" customHeight="1">
      <c r="A104" t="inlineStr">
        <is>
          <t>A 29149-2019</t>
        </is>
      </c>
      <c r="B104" s="1" t="n">
        <v>43628</v>
      </c>
      <c r="C104" s="1" t="n">
        <v>45566</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29552-2019</t>
        </is>
      </c>
      <c r="B105" s="1" t="n">
        <v>43630</v>
      </c>
      <c r="C105" s="1" t="n">
        <v>45566</v>
      </c>
      <c r="D105" t="inlineStr">
        <is>
          <t>NORRBOTTENS LÄN</t>
        </is>
      </c>
      <c r="E105" t="inlineStr">
        <is>
          <t>GÄLLIVARE</t>
        </is>
      </c>
      <c r="F105" t="inlineStr">
        <is>
          <t>Sveaskog</t>
        </is>
      </c>
      <c r="G105" t="n">
        <v>73.09999999999999</v>
      </c>
      <c r="H105" t="n">
        <v>0</v>
      </c>
      <c r="I105" t="n">
        <v>0</v>
      </c>
      <c r="J105" t="n">
        <v>0</v>
      </c>
      <c r="K105" t="n">
        <v>0</v>
      </c>
      <c r="L105" t="n">
        <v>0</v>
      </c>
      <c r="M105" t="n">
        <v>0</v>
      </c>
      <c r="N105" t="n">
        <v>0</v>
      </c>
      <c r="O105" t="n">
        <v>0</v>
      </c>
      <c r="P105" t="n">
        <v>0</v>
      </c>
      <c r="Q105" t="n">
        <v>0</v>
      </c>
      <c r="R105" s="2" t="inlineStr"/>
    </row>
    <row r="106" ht="15" customHeight="1">
      <c r="A106" t="inlineStr">
        <is>
          <t>A 30501-2019</t>
        </is>
      </c>
      <c r="B106" s="1" t="n">
        <v>43634</v>
      </c>
      <c r="C106" s="1" t="n">
        <v>45566</v>
      </c>
      <c r="D106" t="inlineStr">
        <is>
          <t>NORRBOTTENS LÄN</t>
        </is>
      </c>
      <c r="E106" t="inlineStr">
        <is>
          <t>GÄLLIVARE</t>
        </is>
      </c>
      <c r="G106" t="n">
        <v>4.5</v>
      </c>
      <c r="H106" t="n">
        <v>0</v>
      </c>
      <c r="I106" t="n">
        <v>0</v>
      </c>
      <c r="J106" t="n">
        <v>0</v>
      </c>
      <c r="K106" t="n">
        <v>0</v>
      </c>
      <c r="L106" t="n">
        <v>0</v>
      </c>
      <c r="M106" t="n">
        <v>0</v>
      </c>
      <c r="N106" t="n">
        <v>0</v>
      </c>
      <c r="O106" t="n">
        <v>0</v>
      </c>
      <c r="P106" t="n">
        <v>0</v>
      </c>
      <c r="Q106" t="n">
        <v>0</v>
      </c>
      <c r="R106" s="2" t="inlineStr"/>
    </row>
    <row r="107" ht="15" customHeight="1">
      <c r="A107" t="inlineStr">
        <is>
          <t>A 30693-2019</t>
        </is>
      </c>
      <c r="B107" s="1" t="n">
        <v>43636</v>
      </c>
      <c r="C107" s="1" t="n">
        <v>45566</v>
      </c>
      <c r="D107" t="inlineStr">
        <is>
          <t>NORRBOTTENS LÄN</t>
        </is>
      </c>
      <c r="E107" t="inlineStr">
        <is>
          <t>GÄLLIVARE</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30652-2019</t>
        </is>
      </c>
      <c r="B108" s="1" t="n">
        <v>43636</v>
      </c>
      <c r="C108" s="1" t="n">
        <v>45566</v>
      </c>
      <c r="D108" t="inlineStr">
        <is>
          <t>NORRBOTTENS LÄN</t>
        </is>
      </c>
      <c r="E108" t="inlineStr">
        <is>
          <t>GÄLLIVARE</t>
        </is>
      </c>
      <c r="F108" t="inlineStr">
        <is>
          <t>Sveaskog</t>
        </is>
      </c>
      <c r="G108" t="n">
        <v>7.9</v>
      </c>
      <c r="H108" t="n">
        <v>0</v>
      </c>
      <c r="I108" t="n">
        <v>0</v>
      </c>
      <c r="J108" t="n">
        <v>0</v>
      </c>
      <c r="K108" t="n">
        <v>0</v>
      </c>
      <c r="L108" t="n">
        <v>0</v>
      </c>
      <c r="M108" t="n">
        <v>0</v>
      </c>
      <c r="N108" t="n">
        <v>0</v>
      </c>
      <c r="O108" t="n">
        <v>0</v>
      </c>
      <c r="P108" t="n">
        <v>0</v>
      </c>
      <c r="Q108" t="n">
        <v>0</v>
      </c>
      <c r="R108" s="2" t="inlineStr"/>
    </row>
    <row r="109" ht="15" customHeight="1">
      <c r="A109" t="inlineStr">
        <is>
          <t>A 31453-2019</t>
        </is>
      </c>
      <c r="B109" s="1" t="n">
        <v>43640</v>
      </c>
      <c r="C109" s="1" t="n">
        <v>45566</v>
      </c>
      <c r="D109" t="inlineStr">
        <is>
          <t>NORRBOTTENS LÄN</t>
        </is>
      </c>
      <c r="E109" t="inlineStr">
        <is>
          <t>GÄLLIVARE</t>
        </is>
      </c>
      <c r="G109" t="n">
        <v>5.9</v>
      </c>
      <c r="H109" t="n">
        <v>0</v>
      </c>
      <c r="I109" t="n">
        <v>0</v>
      </c>
      <c r="J109" t="n">
        <v>0</v>
      </c>
      <c r="K109" t="n">
        <v>0</v>
      </c>
      <c r="L109" t="n">
        <v>0</v>
      </c>
      <c r="M109" t="n">
        <v>0</v>
      </c>
      <c r="N109" t="n">
        <v>0</v>
      </c>
      <c r="O109" t="n">
        <v>0</v>
      </c>
      <c r="P109" t="n">
        <v>0</v>
      </c>
      <c r="Q109" t="n">
        <v>0</v>
      </c>
      <c r="R109" s="2" t="inlineStr"/>
    </row>
    <row r="110" ht="15" customHeight="1">
      <c r="A110" t="inlineStr">
        <is>
          <t>A 31525-2019</t>
        </is>
      </c>
      <c r="B110" s="1" t="n">
        <v>43641</v>
      </c>
      <c r="C110" s="1" t="n">
        <v>45566</v>
      </c>
      <c r="D110" t="inlineStr">
        <is>
          <t>NORRBOTTENS LÄN</t>
        </is>
      </c>
      <c r="E110" t="inlineStr">
        <is>
          <t>GÄLLIVARE</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31515-2019</t>
        </is>
      </c>
      <c r="B111" s="1" t="n">
        <v>43641</v>
      </c>
      <c r="C111" s="1" t="n">
        <v>45566</v>
      </c>
      <c r="D111" t="inlineStr">
        <is>
          <t>NORRBOTTENS LÄN</t>
        </is>
      </c>
      <c r="E111" t="inlineStr">
        <is>
          <t>GÄLLIVARE</t>
        </is>
      </c>
      <c r="F111" t="inlineStr">
        <is>
          <t>Sveaskog</t>
        </is>
      </c>
      <c r="G111" t="n">
        <v>13.6</v>
      </c>
      <c r="H111" t="n">
        <v>0</v>
      </c>
      <c r="I111" t="n">
        <v>0</v>
      </c>
      <c r="J111" t="n">
        <v>0</v>
      </c>
      <c r="K111" t="n">
        <v>0</v>
      </c>
      <c r="L111" t="n">
        <v>0</v>
      </c>
      <c r="M111" t="n">
        <v>0</v>
      </c>
      <c r="N111" t="n">
        <v>0</v>
      </c>
      <c r="O111" t="n">
        <v>0</v>
      </c>
      <c r="P111" t="n">
        <v>0</v>
      </c>
      <c r="Q111" t="n">
        <v>0</v>
      </c>
      <c r="R111" s="2" t="inlineStr"/>
    </row>
    <row r="112" ht="15" customHeight="1">
      <c r="A112" t="inlineStr">
        <is>
          <t>A 32671-2019</t>
        </is>
      </c>
      <c r="B112" s="1" t="n">
        <v>43647</v>
      </c>
      <c r="C112" s="1" t="n">
        <v>45566</v>
      </c>
      <c r="D112" t="inlineStr">
        <is>
          <t>NORRBOTTENS LÄN</t>
        </is>
      </c>
      <c r="E112" t="inlineStr">
        <is>
          <t>GÄLLIVARE</t>
        </is>
      </c>
      <c r="G112" t="n">
        <v>10</v>
      </c>
      <c r="H112" t="n">
        <v>0</v>
      </c>
      <c r="I112" t="n">
        <v>0</v>
      </c>
      <c r="J112" t="n">
        <v>0</v>
      </c>
      <c r="K112" t="n">
        <v>0</v>
      </c>
      <c r="L112" t="n">
        <v>0</v>
      </c>
      <c r="M112" t="n">
        <v>0</v>
      </c>
      <c r="N112" t="n">
        <v>0</v>
      </c>
      <c r="O112" t="n">
        <v>0</v>
      </c>
      <c r="P112" t="n">
        <v>0</v>
      </c>
      <c r="Q112" t="n">
        <v>0</v>
      </c>
      <c r="R112" s="2" t="inlineStr"/>
    </row>
    <row r="113" ht="15" customHeight="1">
      <c r="A113" t="inlineStr">
        <is>
          <t>A 32549-2019</t>
        </is>
      </c>
      <c r="B113" s="1" t="n">
        <v>43647</v>
      </c>
      <c r="C113" s="1" t="n">
        <v>45566</v>
      </c>
      <c r="D113" t="inlineStr">
        <is>
          <t>NORRBOTTENS LÄN</t>
        </is>
      </c>
      <c r="E113" t="inlineStr">
        <is>
          <t>GÄLLIVARE</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32869-2019</t>
        </is>
      </c>
      <c r="B114" s="1" t="n">
        <v>43648</v>
      </c>
      <c r="C114" s="1" t="n">
        <v>45566</v>
      </c>
      <c r="D114" t="inlineStr">
        <is>
          <t>NORRBOTTENS LÄN</t>
        </is>
      </c>
      <c r="E114" t="inlineStr">
        <is>
          <t>GÄLLIVARE</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34053-2019</t>
        </is>
      </c>
      <c r="B115" s="1" t="n">
        <v>43654</v>
      </c>
      <c r="C115" s="1" t="n">
        <v>45566</v>
      </c>
      <c r="D115" t="inlineStr">
        <is>
          <t>NORRBOTTENS LÄN</t>
        </is>
      </c>
      <c r="E115" t="inlineStr">
        <is>
          <t>GÄLLIVARE</t>
        </is>
      </c>
      <c r="F115" t="inlineStr">
        <is>
          <t>Sveaskog</t>
        </is>
      </c>
      <c r="G115" t="n">
        <v>13.8</v>
      </c>
      <c r="H115" t="n">
        <v>0</v>
      </c>
      <c r="I115" t="n">
        <v>0</v>
      </c>
      <c r="J115" t="n">
        <v>0</v>
      </c>
      <c r="K115" t="n">
        <v>0</v>
      </c>
      <c r="L115" t="n">
        <v>0</v>
      </c>
      <c r="M115" t="n">
        <v>0</v>
      </c>
      <c r="N115" t="n">
        <v>0</v>
      </c>
      <c r="O115" t="n">
        <v>0</v>
      </c>
      <c r="P115" t="n">
        <v>0</v>
      </c>
      <c r="Q115" t="n">
        <v>0</v>
      </c>
      <c r="R115" s="2" t="inlineStr"/>
    </row>
    <row r="116" ht="15" customHeight="1">
      <c r="A116" t="inlineStr">
        <is>
          <t>A 34049-2019</t>
        </is>
      </c>
      <c r="B116" s="1" t="n">
        <v>43654</v>
      </c>
      <c r="C116" s="1" t="n">
        <v>45566</v>
      </c>
      <c r="D116" t="inlineStr">
        <is>
          <t>NORRBOTTENS LÄN</t>
        </is>
      </c>
      <c r="E116" t="inlineStr">
        <is>
          <t>GÄLLIVARE</t>
        </is>
      </c>
      <c r="F116" t="inlineStr">
        <is>
          <t>Sveaskog</t>
        </is>
      </c>
      <c r="G116" t="n">
        <v>10.2</v>
      </c>
      <c r="H116" t="n">
        <v>0</v>
      </c>
      <c r="I116" t="n">
        <v>0</v>
      </c>
      <c r="J116" t="n">
        <v>0</v>
      </c>
      <c r="K116" t="n">
        <v>0</v>
      </c>
      <c r="L116" t="n">
        <v>0</v>
      </c>
      <c r="M116" t="n">
        <v>0</v>
      </c>
      <c r="N116" t="n">
        <v>0</v>
      </c>
      <c r="O116" t="n">
        <v>0</v>
      </c>
      <c r="P116" t="n">
        <v>0</v>
      </c>
      <c r="Q116" t="n">
        <v>0</v>
      </c>
      <c r="R116" s="2" t="inlineStr"/>
    </row>
    <row r="117" ht="15" customHeight="1">
      <c r="A117" t="inlineStr">
        <is>
          <t>A 34255-2019</t>
        </is>
      </c>
      <c r="B117" s="1" t="n">
        <v>43655</v>
      </c>
      <c r="C117" s="1" t="n">
        <v>45566</v>
      </c>
      <c r="D117" t="inlineStr">
        <is>
          <t>NORRBOTTENS LÄN</t>
        </is>
      </c>
      <c r="E117" t="inlineStr">
        <is>
          <t>GÄLLIVARE</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36046-2019</t>
        </is>
      </c>
      <c r="B118" s="1" t="n">
        <v>43668</v>
      </c>
      <c r="C118" s="1" t="n">
        <v>45566</v>
      </c>
      <c r="D118" t="inlineStr">
        <is>
          <t>NORRBOTTENS LÄN</t>
        </is>
      </c>
      <c r="E118" t="inlineStr">
        <is>
          <t>GÄLLIVARE</t>
        </is>
      </c>
      <c r="F118" t="inlineStr">
        <is>
          <t>Sveaskog</t>
        </is>
      </c>
      <c r="G118" t="n">
        <v>14.9</v>
      </c>
      <c r="H118" t="n">
        <v>0</v>
      </c>
      <c r="I118" t="n">
        <v>0</v>
      </c>
      <c r="J118" t="n">
        <v>0</v>
      </c>
      <c r="K118" t="n">
        <v>0</v>
      </c>
      <c r="L118" t="n">
        <v>0</v>
      </c>
      <c r="M118" t="n">
        <v>0</v>
      </c>
      <c r="N118" t="n">
        <v>0</v>
      </c>
      <c r="O118" t="n">
        <v>0</v>
      </c>
      <c r="P118" t="n">
        <v>0</v>
      </c>
      <c r="Q118" t="n">
        <v>0</v>
      </c>
      <c r="R118" s="2" t="inlineStr"/>
    </row>
    <row r="119" ht="15" customHeight="1">
      <c r="A119" t="inlineStr">
        <is>
          <t>A 37123-2019</t>
        </is>
      </c>
      <c r="B119" s="1" t="n">
        <v>43676</v>
      </c>
      <c r="C119" s="1" t="n">
        <v>45566</v>
      </c>
      <c r="D119" t="inlineStr">
        <is>
          <t>NORRBOTTENS LÄN</t>
        </is>
      </c>
      <c r="E119" t="inlineStr">
        <is>
          <t>GÄLLIVARE</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37122-2019</t>
        </is>
      </c>
      <c r="B120" s="1" t="n">
        <v>43676</v>
      </c>
      <c r="C120" s="1" t="n">
        <v>45566</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38322-2019</t>
        </is>
      </c>
      <c r="B121" s="1" t="n">
        <v>43684</v>
      </c>
      <c r="C121" s="1" t="n">
        <v>45566</v>
      </c>
      <c r="D121" t="inlineStr">
        <is>
          <t>NORRBOTTENS LÄN</t>
        </is>
      </c>
      <c r="E121" t="inlineStr">
        <is>
          <t>GÄLLIVARE</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39604-2019</t>
        </is>
      </c>
      <c r="B122" s="1" t="n">
        <v>43686</v>
      </c>
      <c r="C122" s="1" t="n">
        <v>45566</v>
      </c>
      <c r="D122" t="inlineStr">
        <is>
          <t>NORRBOTTENS LÄN</t>
        </is>
      </c>
      <c r="E122" t="inlineStr">
        <is>
          <t>GÄLLIVARE</t>
        </is>
      </c>
      <c r="G122" t="n">
        <v>2</v>
      </c>
      <c r="H122" t="n">
        <v>0</v>
      </c>
      <c r="I122" t="n">
        <v>0</v>
      </c>
      <c r="J122" t="n">
        <v>0</v>
      </c>
      <c r="K122" t="n">
        <v>0</v>
      </c>
      <c r="L122" t="n">
        <v>0</v>
      </c>
      <c r="M122" t="n">
        <v>0</v>
      </c>
      <c r="N122" t="n">
        <v>0</v>
      </c>
      <c r="O122" t="n">
        <v>0</v>
      </c>
      <c r="P122" t="n">
        <v>0</v>
      </c>
      <c r="Q122" t="n">
        <v>0</v>
      </c>
      <c r="R122" s="2" t="inlineStr"/>
    </row>
    <row r="123" ht="15" customHeight="1">
      <c r="A123" t="inlineStr">
        <is>
          <t>A 39893-2019</t>
        </is>
      </c>
      <c r="B123" s="1" t="n">
        <v>43689</v>
      </c>
      <c r="C123" s="1" t="n">
        <v>45566</v>
      </c>
      <c r="D123" t="inlineStr">
        <is>
          <t>NORRBOTTENS LÄN</t>
        </is>
      </c>
      <c r="E123" t="inlineStr">
        <is>
          <t>GÄLLIVARE</t>
        </is>
      </c>
      <c r="G123" t="n">
        <v>7</v>
      </c>
      <c r="H123" t="n">
        <v>0</v>
      </c>
      <c r="I123" t="n">
        <v>0</v>
      </c>
      <c r="J123" t="n">
        <v>0</v>
      </c>
      <c r="K123" t="n">
        <v>0</v>
      </c>
      <c r="L123" t="n">
        <v>0</v>
      </c>
      <c r="M123" t="n">
        <v>0</v>
      </c>
      <c r="N123" t="n">
        <v>0</v>
      </c>
      <c r="O123" t="n">
        <v>0</v>
      </c>
      <c r="P123" t="n">
        <v>0</v>
      </c>
      <c r="Q123" t="n">
        <v>0</v>
      </c>
      <c r="R123" s="2" t="inlineStr"/>
    </row>
    <row r="124" ht="15" customHeight="1">
      <c r="A124" t="inlineStr">
        <is>
          <t>A 39907-2019</t>
        </is>
      </c>
      <c r="B124" s="1" t="n">
        <v>43689</v>
      </c>
      <c r="C124" s="1" t="n">
        <v>45566</v>
      </c>
      <c r="D124" t="inlineStr">
        <is>
          <t>NORRBOTTENS LÄN</t>
        </is>
      </c>
      <c r="E124" t="inlineStr">
        <is>
          <t>GÄLLIVARE</t>
        </is>
      </c>
      <c r="G124" t="n">
        <v>5.8</v>
      </c>
      <c r="H124" t="n">
        <v>0</v>
      </c>
      <c r="I124" t="n">
        <v>0</v>
      </c>
      <c r="J124" t="n">
        <v>0</v>
      </c>
      <c r="K124" t="n">
        <v>0</v>
      </c>
      <c r="L124" t="n">
        <v>0</v>
      </c>
      <c r="M124" t="n">
        <v>0</v>
      </c>
      <c r="N124" t="n">
        <v>0</v>
      </c>
      <c r="O124" t="n">
        <v>0</v>
      </c>
      <c r="P124" t="n">
        <v>0</v>
      </c>
      <c r="Q124" t="n">
        <v>0</v>
      </c>
      <c r="R124" s="2" t="inlineStr"/>
    </row>
    <row r="125" ht="15" customHeight="1">
      <c r="A125" t="inlineStr">
        <is>
          <t>A 40435-2019</t>
        </is>
      </c>
      <c r="B125" s="1" t="n">
        <v>43690</v>
      </c>
      <c r="C125" s="1" t="n">
        <v>45566</v>
      </c>
      <c r="D125" t="inlineStr">
        <is>
          <t>NORRBOTTENS LÄN</t>
        </is>
      </c>
      <c r="E125" t="inlineStr">
        <is>
          <t>GÄLLIVARE</t>
        </is>
      </c>
      <c r="G125" t="n">
        <v>3.2</v>
      </c>
      <c r="H125" t="n">
        <v>0</v>
      </c>
      <c r="I125" t="n">
        <v>0</v>
      </c>
      <c r="J125" t="n">
        <v>0</v>
      </c>
      <c r="K125" t="n">
        <v>0</v>
      </c>
      <c r="L125" t="n">
        <v>0</v>
      </c>
      <c r="M125" t="n">
        <v>0</v>
      </c>
      <c r="N125" t="n">
        <v>0</v>
      </c>
      <c r="O125" t="n">
        <v>0</v>
      </c>
      <c r="P125" t="n">
        <v>0</v>
      </c>
      <c r="Q125" t="n">
        <v>0</v>
      </c>
      <c r="R125" s="2" t="inlineStr"/>
    </row>
    <row r="126" ht="15" customHeight="1">
      <c r="A126" t="inlineStr">
        <is>
          <t>A 39733-2019</t>
        </is>
      </c>
      <c r="B126" s="1" t="n">
        <v>43691</v>
      </c>
      <c r="C126" s="1" t="n">
        <v>45566</v>
      </c>
      <c r="D126" t="inlineStr">
        <is>
          <t>NORRBOTTENS LÄN</t>
        </is>
      </c>
      <c r="E126" t="inlineStr">
        <is>
          <t>GÄLLIVARE</t>
        </is>
      </c>
      <c r="G126" t="n">
        <v>10.2</v>
      </c>
      <c r="H126" t="n">
        <v>0</v>
      </c>
      <c r="I126" t="n">
        <v>0</v>
      </c>
      <c r="J126" t="n">
        <v>0</v>
      </c>
      <c r="K126" t="n">
        <v>0</v>
      </c>
      <c r="L126" t="n">
        <v>0</v>
      </c>
      <c r="M126" t="n">
        <v>0</v>
      </c>
      <c r="N126" t="n">
        <v>0</v>
      </c>
      <c r="O126" t="n">
        <v>0</v>
      </c>
      <c r="P126" t="n">
        <v>0</v>
      </c>
      <c r="Q126" t="n">
        <v>0</v>
      </c>
      <c r="R126" s="2" t="inlineStr"/>
    </row>
    <row r="127" ht="15" customHeight="1">
      <c r="A127" t="inlineStr">
        <is>
          <t>A 40147-2019</t>
        </is>
      </c>
      <c r="B127" s="1" t="n">
        <v>43693</v>
      </c>
      <c r="C127" s="1" t="n">
        <v>45566</v>
      </c>
      <c r="D127" t="inlineStr">
        <is>
          <t>NORRBOTTENS LÄN</t>
        </is>
      </c>
      <c r="E127" t="inlineStr">
        <is>
          <t>GÄLLIVARE</t>
        </is>
      </c>
      <c r="F127" t="inlineStr">
        <is>
          <t>Sveaskog</t>
        </is>
      </c>
      <c r="G127" t="n">
        <v>6.5</v>
      </c>
      <c r="H127" t="n">
        <v>0</v>
      </c>
      <c r="I127" t="n">
        <v>0</v>
      </c>
      <c r="J127" t="n">
        <v>0</v>
      </c>
      <c r="K127" t="n">
        <v>0</v>
      </c>
      <c r="L127" t="n">
        <v>0</v>
      </c>
      <c r="M127" t="n">
        <v>0</v>
      </c>
      <c r="N127" t="n">
        <v>0</v>
      </c>
      <c r="O127" t="n">
        <v>0</v>
      </c>
      <c r="P127" t="n">
        <v>0</v>
      </c>
      <c r="Q127" t="n">
        <v>0</v>
      </c>
      <c r="R127" s="2" t="inlineStr"/>
    </row>
    <row r="128" ht="15" customHeight="1">
      <c r="A128" t="inlineStr">
        <is>
          <t>A 42081-2019</t>
        </is>
      </c>
      <c r="B128" s="1" t="n">
        <v>43700</v>
      </c>
      <c r="C128" s="1" t="n">
        <v>45566</v>
      </c>
      <c r="D128" t="inlineStr">
        <is>
          <t>NORRBOTTENS LÄN</t>
        </is>
      </c>
      <c r="E128" t="inlineStr">
        <is>
          <t>GÄLLIVARE</t>
        </is>
      </c>
      <c r="F128" t="inlineStr">
        <is>
          <t>SCA</t>
        </is>
      </c>
      <c r="G128" t="n">
        <v>15.2</v>
      </c>
      <c r="H128" t="n">
        <v>0</v>
      </c>
      <c r="I128" t="n">
        <v>0</v>
      </c>
      <c r="J128" t="n">
        <v>0</v>
      </c>
      <c r="K128" t="n">
        <v>0</v>
      </c>
      <c r="L128" t="n">
        <v>0</v>
      </c>
      <c r="M128" t="n">
        <v>0</v>
      </c>
      <c r="N128" t="n">
        <v>0</v>
      </c>
      <c r="O128" t="n">
        <v>0</v>
      </c>
      <c r="P128" t="n">
        <v>0</v>
      </c>
      <c r="Q128" t="n">
        <v>0</v>
      </c>
      <c r="R128" s="2" t="inlineStr"/>
    </row>
    <row r="129" ht="15" customHeight="1">
      <c r="A129" t="inlineStr">
        <is>
          <t>A 43256-2019</t>
        </is>
      </c>
      <c r="B129" s="1" t="n">
        <v>43703</v>
      </c>
      <c r="C129" s="1" t="n">
        <v>45566</v>
      </c>
      <c r="D129" t="inlineStr">
        <is>
          <t>NORRBOTTENS LÄN</t>
        </is>
      </c>
      <c r="E129" t="inlineStr">
        <is>
          <t>GÄLLIVARE</t>
        </is>
      </c>
      <c r="F129" t="inlineStr">
        <is>
          <t>Allmännings- och besparingsskogar</t>
        </is>
      </c>
      <c r="G129" t="n">
        <v>26.8</v>
      </c>
      <c r="H129" t="n">
        <v>0</v>
      </c>
      <c r="I129" t="n">
        <v>0</v>
      </c>
      <c r="J129" t="n">
        <v>0</v>
      </c>
      <c r="K129" t="n">
        <v>0</v>
      </c>
      <c r="L129" t="n">
        <v>0</v>
      </c>
      <c r="M129" t="n">
        <v>0</v>
      </c>
      <c r="N129" t="n">
        <v>0</v>
      </c>
      <c r="O129" t="n">
        <v>0</v>
      </c>
      <c r="P129" t="n">
        <v>0</v>
      </c>
      <c r="Q129" t="n">
        <v>0</v>
      </c>
      <c r="R129" s="2" t="inlineStr"/>
    </row>
    <row r="130" ht="15" customHeight="1">
      <c r="A130" t="inlineStr">
        <is>
          <t>A 42505-2019</t>
        </is>
      </c>
      <c r="B130" s="1" t="n">
        <v>43704</v>
      </c>
      <c r="C130" s="1" t="n">
        <v>45566</v>
      </c>
      <c r="D130" t="inlineStr">
        <is>
          <t>NORRBOTTENS LÄN</t>
        </is>
      </c>
      <c r="E130" t="inlineStr">
        <is>
          <t>GÄLLIVARE</t>
        </is>
      </c>
      <c r="F130" t="inlineStr">
        <is>
          <t>Sveaskog</t>
        </is>
      </c>
      <c r="G130" t="n">
        <v>11.2</v>
      </c>
      <c r="H130" t="n">
        <v>0</v>
      </c>
      <c r="I130" t="n">
        <v>0</v>
      </c>
      <c r="J130" t="n">
        <v>0</v>
      </c>
      <c r="K130" t="n">
        <v>0</v>
      </c>
      <c r="L130" t="n">
        <v>0</v>
      </c>
      <c r="M130" t="n">
        <v>0</v>
      </c>
      <c r="N130" t="n">
        <v>0</v>
      </c>
      <c r="O130" t="n">
        <v>0</v>
      </c>
      <c r="P130" t="n">
        <v>0</v>
      </c>
      <c r="Q130" t="n">
        <v>0</v>
      </c>
      <c r="R130" s="2" t="inlineStr"/>
    </row>
    <row r="131" ht="15" customHeight="1">
      <c r="A131" t="inlineStr">
        <is>
          <t>A 42513-2019</t>
        </is>
      </c>
      <c r="B131" s="1" t="n">
        <v>43704</v>
      </c>
      <c r="C131" s="1" t="n">
        <v>45566</v>
      </c>
      <c r="D131" t="inlineStr">
        <is>
          <t>NORRBOTTENS LÄN</t>
        </is>
      </c>
      <c r="E131" t="inlineStr">
        <is>
          <t>GÄLLIVARE</t>
        </is>
      </c>
      <c r="F131" t="inlineStr">
        <is>
          <t>Sveaskog</t>
        </is>
      </c>
      <c r="G131" t="n">
        <v>2.7</v>
      </c>
      <c r="H131" t="n">
        <v>0</v>
      </c>
      <c r="I131" t="n">
        <v>0</v>
      </c>
      <c r="J131" t="n">
        <v>0</v>
      </c>
      <c r="K131" t="n">
        <v>0</v>
      </c>
      <c r="L131" t="n">
        <v>0</v>
      </c>
      <c r="M131" t="n">
        <v>0</v>
      </c>
      <c r="N131" t="n">
        <v>0</v>
      </c>
      <c r="O131" t="n">
        <v>0</v>
      </c>
      <c r="P131" t="n">
        <v>0</v>
      </c>
      <c r="Q131" t="n">
        <v>0</v>
      </c>
      <c r="R131" s="2" t="inlineStr"/>
    </row>
    <row r="132" ht="15" customHeight="1">
      <c r="A132" t="inlineStr">
        <is>
          <t>A 44239-2019</t>
        </is>
      </c>
      <c r="B132" s="1" t="n">
        <v>43704</v>
      </c>
      <c r="C132" s="1" t="n">
        <v>45566</v>
      </c>
      <c r="D132" t="inlineStr">
        <is>
          <t>NORRBOTTENS LÄN</t>
        </is>
      </c>
      <c r="E132" t="inlineStr">
        <is>
          <t>GÄLLIVARE</t>
        </is>
      </c>
      <c r="G132" t="n">
        <v>0.4</v>
      </c>
      <c r="H132" t="n">
        <v>0</v>
      </c>
      <c r="I132" t="n">
        <v>0</v>
      </c>
      <c r="J132" t="n">
        <v>0</v>
      </c>
      <c r="K132" t="n">
        <v>0</v>
      </c>
      <c r="L132" t="n">
        <v>0</v>
      </c>
      <c r="M132" t="n">
        <v>0</v>
      </c>
      <c r="N132" t="n">
        <v>0</v>
      </c>
      <c r="O132" t="n">
        <v>0</v>
      </c>
      <c r="P132" t="n">
        <v>0</v>
      </c>
      <c r="Q132" t="n">
        <v>0</v>
      </c>
      <c r="R132" s="2" t="inlineStr"/>
    </row>
    <row r="133" ht="15" customHeight="1">
      <c r="A133" t="inlineStr">
        <is>
          <t>A 45655-2019</t>
        </is>
      </c>
      <c r="B133" s="1" t="n">
        <v>43704</v>
      </c>
      <c r="C133" s="1" t="n">
        <v>45566</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45652-2019</t>
        </is>
      </c>
      <c r="B134" s="1" t="n">
        <v>43704</v>
      </c>
      <c r="C134" s="1" t="n">
        <v>45566</v>
      </c>
      <c r="D134" t="inlineStr">
        <is>
          <t>NORRBOTTENS LÄN</t>
        </is>
      </c>
      <c r="E134" t="inlineStr">
        <is>
          <t>GÄLLIVARE</t>
        </is>
      </c>
      <c r="G134" t="n">
        <v>1</v>
      </c>
      <c r="H134" t="n">
        <v>0</v>
      </c>
      <c r="I134" t="n">
        <v>0</v>
      </c>
      <c r="J134" t="n">
        <v>0</v>
      </c>
      <c r="K134" t="n">
        <v>0</v>
      </c>
      <c r="L134" t="n">
        <v>0</v>
      </c>
      <c r="M134" t="n">
        <v>0</v>
      </c>
      <c r="N134" t="n">
        <v>0</v>
      </c>
      <c r="O134" t="n">
        <v>0</v>
      </c>
      <c r="P134" t="n">
        <v>0</v>
      </c>
      <c r="Q134" t="n">
        <v>0</v>
      </c>
      <c r="R134" s="2" t="inlineStr"/>
    </row>
    <row r="135" ht="15" customHeight="1">
      <c r="A135" t="inlineStr">
        <is>
          <t>A 45656-2019</t>
        </is>
      </c>
      <c r="B135" s="1" t="n">
        <v>43704</v>
      </c>
      <c r="C135" s="1" t="n">
        <v>45566</v>
      </c>
      <c r="D135" t="inlineStr">
        <is>
          <t>NORRBOTTENS LÄN</t>
        </is>
      </c>
      <c r="E135" t="inlineStr">
        <is>
          <t>GÄLLIVARE</t>
        </is>
      </c>
      <c r="G135" t="n">
        <v>1.5</v>
      </c>
      <c r="H135" t="n">
        <v>0</v>
      </c>
      <c r="I135" t="n">
        <v>0</v>
      </c>
      <c r="J135" t="n">
        <v>0</v>
      </c>
      <c r="K135" t="n">
        <v>0</v>
      </c>
      <c r="L135" t="n">
        <v>0</v>
      </c>
      <c r="M135" t="n">
        <v>0</v>
      </c>
      <c r="N135" t="n">
        <v>0</v>
      </c>
      <c r="O135" t="n">
        <v>0</v>
      </c>
      <c r="P135" t="n">
        <v>0</v>
      </c>
      <c r="Q135" t="n">
        <v>0</v>
      </c>
      <c r="R135" s="2" t="inlineStr"/>
    </row>
    <row r="136" ht="15" customHeight="1">
      <c r="A136" t="inlineStr">
        <is>
          <t>A 43505-2019</t>
        </is>
      </c>
      <c r="B136" s="1" t="n">
        <v>43706</v>
      </c>
      <c r="C136" s="1" t="n">
        <v>45566</v>
      </c>
      <c r="D136" t="inlineStr">
        <is>
          <t>NORRBOTTENS LÄN</t>
        </is>
      </c>
      <c r="E136" t="inlineStr">
        <is>
          <t>GÄLLIVARE</t>
        </is>
      </c>
      <c r="G136" t="n">
        <v>60.2</v>
      </c>
      <c r="H136" t="n">
        <v>0</v>
      </c>
      <c r="I136" t="n">
        <v>0</v>
      </c>
      <c r="J136" t="n">
        <v>0</v>
      </c>
      <c r="K136" t="n">
        <v>0</v>
      </c>
      <c r="L136" t="n">
        <v>0</v>
      </c>
      <c r="M136" t="n">
        <v>0</v>
      </c>
      <c r="N136" t="n">
        <v>0</v>
      </c>
      <c r="O136" t="n">
        <v>0</v>
      </c>
      <c r="P136" t="n">
        <v>0</v>
      </c>
      <c r="Q136" t="n">
        <v>0</v>
      </c>
      <c r="R136" s="2" t="inlineStr"/>
    </row>
    <row r="137" ht="15" customHeight="1">
      <c r="A137" t="inlineStr">
        <is>
          <t>A 43597-2019</t>
        </is>
      </c>
      <c r="B137" s="1" t="n">
        <v>43706</v>
      </c>
      <c r="C137" s="1" t="n">
        <v>45566</v>
      </c>
      <c r="D137" t="inlineStr">
        <is>
          <t>NORRBOTTENS LÄN</t>
        </is>
      </c>
      <c r="E137" t="inlineStr">
        <is>
          <t>GÄLLIVARE</t>
        </is>
      </c>
      <c r="F137" t="inlineStr">
        <is>
          <t>SCA</t>
        </is>
      </c>
      <c r="G137" t="n">
        <v>17.7</v>
      </c>
      <c r="H137" t="n">
        <v>0</v>
      </c>
      <c r="I137" t="n">
        <v>0</v>
      </c>
      <c r="J137" t="n">
        <v>0</v>
      </c>
      <c r="K137" t="n">
        <v>0</v>
      </c>
      <c r="L137" t="n">
        <v>0</v>
      </c>
      <c r="M137" t="n">
        <v>0</v>
      </c>
      <c r="N137" t="n">
        <v>0</v>
      </c>
      <c r="O137" t="n">
        <v>0</v>
      </c>
      <c r="P137" t="n">
        <v>0</v>
      </c>
      <c r="Q137" t="n">
        <v>0</v>
      </c>
      <c r="R137" s="2" t="inlineStr"/>
    </row>
    <row r="138" ht="15" customHeight="1">
      <c r="A138" t="inlineStr">
        <is>
          <t>A 43596-2019</t>
        </is>
      </c>
      <c r="B138" s="1" t="n">
        <v>43706</v>
      </c>
      <c r="C138" s="1" t="n">
        <v>45566</v>
      </c>
      <c r="D138" t="inlineStr">
        <is>
          <t>NORRBOTTENS LÄN</t>
        </is>
      </c>
      <c r="E138" t="inlineStr">
        <is>
          <t>GÄLLIVARE</t>
        </is>
      </c>
      <c r="F138" t="inlineStr">
        <is>
          <t>SCA</t>
        </is>
      </c>
      <c r="G138" t="n">
        <v>7.9</v>
      </c>
      <c r="H138" t="n">
        <v>0</v>
      </c>
      <c r="I138" t="n">
        <v>0</v>
      </c>
      <c r="J138" t="n">
        <v>0</v>
      </c>
      <c r="K138" t="n">
        <v>0</v>
      </c>
      <c r="L138" t="n">
        <v>0</v>
      </c>
      <c r="M138" t="n">
        <v>0</v>
      </c>
      <c r="N138" t="n">
        <v>0</v>
      </c>
      <c r="O138" t="n">
        <v>0</v>
      </c>
      <c r="P138" t="n">
        <v>0</v>
      </c>
      <c r="Q138" t="n">
        <v>0</v>
      </c>
      <c r="R138" s="2" t="inlineStr"/>
    </row>
    <row r="139" ht="15" customHeight="1">
      <c r="A139" t="inlineStr">
        <is>
          <t>A 46662-2019</t>
        </is>
      </c>
      <c r="B139" s="1" t="n">
        <v>43718</v>
      </c>
      <c r="C139" s="1" t="n">
        <v>45566</v>
      </c>
      <c r="D139" t="inlineStr">
        <is>
          <t>NORRBOTTENS LÄN</t>
        </is>
      </c>
      <c r="E139" t="inlineStr">
        <is>
          <t>GÄLLIVARE</t>
        </is>
      </c>
      <c r="G139" t="n">
        <v>2.1</v>
      </c>
      <c r="H139" t="n">
        <v>0</v>
      </c>
      <c r="I139" t="n">
        <v>0</v>
      </c>
      <c r="J139" t="n">
        <v>0</v>
      </c>
      <c r="K139" t="n">
        <v>0</v>
      </c>
      <c r="L139" t="n">
        <v>0</v>
      </c>
      <c r="M139" t="n">
        <v>0</v>
      </c>
      <c r="N139" t="n">
        <v>0</v>
      </c>
      <c r="O139" t="n">
        <v>0</v>
      </c>
      <c r="P139" t="n">
        <v>0</v>
      </c>
      <c r="Q139" t="n">
        <v>0</v>
      </c>
      <c r="R139" s="2" t="inlineStr"/>
    </row>
    <row r="140" ht="15" customHeight="1">
      <c r="A140" t="inlineStr">
        <is>
          <t>A 47093-2019</t>
        </is>
      </c>
      <c r="B140" s="1" t="n">
        <v>43720</v>
      </c>
      <c r="C140" s="1" t="n">
        <v>45566</v>
      </c>
      <c r="D140" t="inlineStr">
        <is>
          <t>NORRBOTTENS LÄN</t>
        </is>
      </c>
      <c r="E140" t="inlineStr">
        <is>
          <t>GÄLLIVARE</t>
        </is>
      </c>
      <c r="F140" t="inlineStr">
        <is>
          <t>SCA</t>
        </is>
      </c>
      <c r="G140" t="n">
        <v>20.4</v>
      </c>
      <c r="H140" t="n">
        <v>0</v>
      </c>
      <c r="I140" t="n">
        <v>0</v>
      </c>
      <c r="J140" t="n">
        <v>0</v>
      </c>
      <c r="K140" t="n">
        <v>0</v>
      </c>
      <c r="L140" t="n">
        <v>0</v>
      </c>
      <c r="M140" t="n">
        <v>0</v>
      </c>
      <c r="N140" t="n">
        <v>0</v>
      </c>
      <c r="O140" t="n">
        <v>0</v>
      </c>
      <c r="P140" t="n">
        <v>0</v>
      </c>
      <c r="Q140" t="n">
        <v>0</v>
      </c>
      <c r="R140" s="2" t="inlineStr"/>
    </row>
    <row r="141" ht="15" customHeight="1">
      <c r="A141" t="inlineStr">
        <is>
          <t>A 47637-2019</t>
        </is>
      </c>
      <c r="B141" s="1" t="n">
        <v>43724</v>
      </c>
      <c r="C141" s="1" t="n">
        <v>45566</v>
      </c>
      <c r="D141" t="inlineStr">
        <is>
          <t>NORRBOTTENS LÄN</t>
        </is>
      </c>
      <c r="E141" t="inlineStr">
        <is>
          <t>GÄLLIVARE</t>
        </is>
      </c>
      <c r="G141" t="n">
        <v>1.9</v>
      </c>
      <c r="H141" t="n">
        <v>0</v>
      </c>
      <c r="I141" t="n">
        <v>0</v>
      </c>
      <c r="J141" t="n">
        <v>0</v>
      </c>
      <c r="K141" t="n">
        <v>0</v>
      </c>
      <c r="L141" t="n">
        <v>0</v>
      </c>
      <c r="M141" t="n">
        <v>0</v>
      </c>
      <c r="N141" t="n">
        <v>0</v>
      </c>
      <c r="O141" t="n">
        <v>0</v>
      </c>
      <c r="P141" t="n">
        <v>0</v>
      </c>
      <c r="Q141" t="n">
        <v>0</v>
      </c>
      <c r="R141" s="2" t="inlineStr"/>
    </row>
    <row r="142" ht="15" customHeight="1">
      <c r="A142" t="inlineStr">
        <is>
          <t>A 47761-2019</t>
        </is>
      </c>
      <c r="B142" s="1" t="n">
        <v>43724</v>
      </c>
      <c r="C142" s="1" t="n">
        <v>45566</v>
      </c>
      <c r="D142" t="inlineStr">
        <is>
          <t>NORRBOTTENS LÄN</t>
        </is>
      </c>
      <c r="E142" t="inlineStr">
        <is>
          <t>GÄLLIVARE</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47625-2019</t>
        </is>
      </c>
      <c r="B143" s="1" t="n">
        <v>43724</v>
      </c>
      <c r="C143" s="1" t="n">
        <v>45566</v>
      </c>
      <c r="D143" t="inlineStr">
        <is>
          <t>NORRBOTTENS LÄN</t>
        </is>
      </c>
      <c r="E143" t="inlineStr">
        <is>
          <t>GÄLLIVARE</t>
        </is>
      </c>
      <c r="G143" t="n">
        <v>6.4</v>
      </c>
      <c r="H143" t="n">
        <v>0</v>
      </c>
      <c r="I143" t="n">
        <v>0</v>
      </c>
      <c r="J143" t="n">
        <v>0</v>
      </c>
      <c r="K143" t="n">
        <v>0</v>
      </c>
      <c r="L143" t="n">
        <v>0</v>
      </c>
      <c r="M143" t="n">
        <v>0</v>
      </c>
      <c r="N143" t="n">
        <v>0</v>
      </c>
      <c r="O143" t="n">
        <v>0</v>
      </c>
      <c r="P143" t="n">
        <v>0</v>
      </c>
      <c r="Q143" t="n">
        <v>0</v>
      </c>
      <c r="R143" s="2" t="inlineStr"/>
    </row>
    <row r="144" ht="15" customHeight="1">
      <c r="A144" t="inlineStr">
        <is>
          <t>A 47635-2019</t>
        </is>
      </c>
      <c r="B144" s="1" t="n">
        <v>43724</v>
      </c>
      <c r="C144" s="1" t="n">
        <v>45566</v>
      </c>
      <c r="D144" t="inlineStr">
        <is>
          <t>NORRBOTTENS LÄN</t>
        </is>
      </c>
      <c r="E144" t="inlineStr">
        <is>
          <t>GÄLLIVARE</t>
        </is>
      </c>
      <c r="G144" t="n">
        <v>6.2</v>
      </c>
      <c r="H144" t="n">
        <v>0</v>
      </c>
      <c r="I144" t="n">
        <v>0</v>
      </c>
      <c r="J144" t="n">
        <v>0</v>
      </c>
      <c r="K144" t="n">
        <v>0</v>
      </c>
      <c r="L144" t="n">
        <v>0</v>
      </c>
      <c r="M144" t="n">
        <v>0</v>
      </c>
      <c r="N144" t="n">
        <v>0</v>
      </c>
      <c r="O144" t="n">
        <v>0</v>
      </c>
      <c r="P144" t="n">
        <v>0</v>
      </c>
      <c r="Q144" t="n">
        <v>0</v>
      </c>
      <c r="R144" s="2" t="inlineStr"/>
    </row>
    <row r="145" ht="15" customHeight="1">
      <c r="A145" t="inlineStr">
        <is>
          <t>A 48094-2019</t>
        </is>
      </c>
      <c r="B145" s="1" t="n">
        <v>43725</v>
      </c>
      <c r="C145" s="1" t="n">
        <v>45566</v>
      </c>
      <c r="D145" t="inlineStr">
        <is>
          <t>NORRBOTTENS LÄN</t>
        </is>
      </c>
      <c r="E145" t="inlineStr">
        <is>
          <t>GÄLLIVARE</t>
        </is>
      </c>
      <c r="G145" t="n">
        <v>7.6</v>
      </c>
      <c r="H145" t="n">
        <v>0</v>
      </c>
      <c r="I145" t="n">
        <v>0</v>
      </c>
      <c r="J145" t="n">
        <v>0</v>
      </c>
      <c r="K145" t="n">
        <v>0</v>
      </c>
      <c r="L145" t="n">
        <v>0</v>
      </c>
      <c r="M145" t="n">
        <v>0</v>
      </c>
      <c r="N145" t="n">
        <v>0</v>
      </c>
      <c r="O145" t="n">
        <v>0</v>
      </c>
      <c r="P145" t="n">
        <v>0</v>
      </c>
      <c r="Q145" t="n">
        <v>0</v>
      </c>
      <c r="R145" s="2" t="inlineStr"/>
    </row>
    <row r="146" ht="15" customHeight="1">
      <c r="A146" t="inlineStr">
        <is>
          <t>A 50126-2019</t>
        </is>
      </c>
      <c r="B146" s="1" t="n">
        <v>43734</v>
      </c>
      <c r="C146" s="1" t="n">
        <v>45566</v>
      </c>
      <c r="D146" t="inlineStr">
        <is>
          <t>NORRBOTTENS LÄN</t>
        </is>
      </c>
      <c r="E146" t="inlineStr">
        <is>
          <t>GÄLLIVARE</t>
        </is>
      </c>
      <c r="F146" t="inlineStr">
        <is>
          <t>Sveaskog</t>
        </is>
      </c>
      <c r="G146" t="n">
        <v>9</v>
      </c>
      <c r="H146" t="n">
        <v>0</v>
      </c>
      <c r="I146" t="n">
        <v>0</v>
      </c>
      <c r="J146" t="n">
        <v>0</v>
      </c>
      <c r="K146" t="n">
        <v>0</v>
      </c>
      <c r="L146" t="n">
        <v>0</v>
      </c>
      <c r="M146" t="n">
        <v>0</v>
      </c>
      <c r="N146" t="n">
        <v>0</v>
      </c>
      <c r="O146" t="n">
        <v>0</v>
      </c>
      <c r="P146" t="n">
        <v>0</v>
      </c>
      <c r="Q146" t="n">
        <v>0</v>
      </c>
      <c r="R146" s="2" t="inlineStr"/>
    </row>
    <row r="147" ht="15" customHeight="1">
      <c r="A147" t="inlineStr">
        <is>
          <t>A 50123-2019</t>
        </is>
      </c>
      <c r="B147" s="1" t="n">
        <v>43734</v>
      </c>
      <c r="C147" s="1" t="n">
        <v>45566</v>
      </c>
      <c r="D147" t="inlineStr">
        <is>
          <t>NORRBOTTENS LÄN</t>
        </is>
      </c>
      <c r="E147" t="inlineStr">
        <is>
          <t>GÄLLIVARE</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52026-2019</t>
        </is>
      </c>
      <c r="B148" s="1" t="n">
        <v>43734</v>
      </c>
      <c r="C148" s="1" t="n">
        <v>45566</v>
      </c>
      <c r="D148" t="inlineStr">
        <is>
          <t>NORRBOTTENS LÄN</t>
        </is>
      </c>
      <c r="E148" t="inlineStr">
        <is>
          <t>GÄLLIVARE</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50120-2019</t>
        </is>
      </c>
      <c r="B149" s="1" t="n">
        <v>43734</v>
      </c>
      <c r="C149" s="1" t="n">
        <v>45566</v>
      </c>
      <c r="D149" t="inlineStr">
        <is>
          <t>NORRBOTTENS LÄN</t>
        </is>
      </c>
      <c r="E149" t="inlineStr">
        <is>
          <t>GÄLLIVARE</t>
        </is>
      </c>
      <c r="F149" t="inlineStr">
        <is>
          <t>Sveaskog</t>
        </is>
      </c>
      <c r="G149" t="n">
        <v>4.2</v>
      </c>
      <c r="H149" t="n">
        <v>0</v>
      </c>
      <c r="I149" t="n">
        <v>0</v>
      </c>
      <c r="J149" t="n">
        <v>0</v>
      </c>
      <c r="K149" t="n">
        <v>0</v>
      </c>
      <c r="L149" t="n">
        <v>0</v>
      </c>
      <c r="M149" t="n">
        <v>0</v>
      </c>
      <c r="N149" t="n">
        <v>0</v>
      </c>
      <c r="O149" t="n">
        <v>0</v>
      </c>
      <c r="P149" t="n">
        <v>0</v>
      </c>
      <c r="Q149" t="n">
        <v>0</v>
      </c>
      <c r="R149" s="2" t="inlineStr"/>
    </row>
    <row r="150" ht="15" customHeight="1">
      <c r="A150" t="inlineStr">
        <is>
          <t>A 52748-2019</t>
        </is>
      </c>
      <c r="B150" s="1" t="n">
        <v>43739</v>
      </c>
      <c r="C150" s="1" t="n">
        <v>45566</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51514-2019</t>
        </is>
      </c>
      <c r="B151" s="1" t="n">
        <v>43740</v>
      </c>
      <c r="C151" s="1" t="n">
        <v>45566</v>
      </c>
      <c r="D151" t="inlineStr">
        <is>
          <t>NORRBOTTENS LÄN</t>
        </is>
      </c>
      <c r="E151" t="inlineStr">
        <is>
          <t>GÄLLIVARE</t>
        </is>
      </c>
      <c r="F151" t="inlineStr">
        <is>
          <t>Sveaskog</t>
        </is>
      </c>
      <c r="G151" t="n">
        <v>11.8</v>
      </c>
      <c r="H151" t="n">
        <v>0</v>
      </c>
      <c r="I151" t="n">
        <v>0</v>
      </c>
      <c r="J151" t="n">
        <v>0</v>
      </c>
      <c r="K151" t="n">
        <v>0</v>
      </c>
      <c r="L151" t="n">
        <v>0</v>
      </c>
      <c r="M151" t="n">
        <v>0</v>
      </c>
      <c r="N151" t="n">
        <v>0</v>
      </c>
      <c r="O151" t="n">
        <v>0</v>
      </c>
      <c r="P151" t="n">
        <v>0</v>
      </c>
      <c r="Q151" t="n">
        <v>0</v>
      </c>
      <c r="R151" s="2" t="inlineStr"/>
    </row>
    <row r="152" ht="15" customHeight="1">
      <c r="A152" t="inlineStr">
        <is>
          <t>A 53201-2019</t>
        </is>
      </c>
      <c r="B152" s="1" t="n">
        <v>43748</v>
      </c>
      <c r="C152" s="1" t="n">
        <v>45566</v>
      </c>
      <c r="D152" t="inlineStr">
        <is>
          <t>NORRBOTTENS LÄN</t>
        </is>
      </c>
      <c r="E152" t="inlineStr">
        <is>
          <t>GÄLLIVARE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53922-2019</t>
        </is>
      </c>
      <c r="B153" s="1" t="n">
        <v>43752</v>
      </c>
      <c r="C153" s="1" t="n">
        <v>45566</v>
      </c>
      <c r="D153" t="inlineStr">
        <is>
          <t>NORRBOTTENS LÄN</t>
        </is>
      </c>
      <c r="E153" t="inlineStr">
        <is>
          <t>GÄLLIVARE</t>
        </is>
      </c>
      <c r="F153" t="inlineStr">
        <is>
          <t>Sveaskog</t>
        </is>
      </c>
      <c r="G153" t="n">
        <v>15.9</v>
      </c>
      <c r="H153" t="n">
        <v>0</v>
      </c>
      <c r="I153" t="n">
        <v>0</v>
      </c>
      <c r="J153" t="n">
        <v>0</v>
      </c>
      <c r="K153" t="n">
        <v>0</v>
      </c>
      <c r="L153" t="n">
        <v>0</v>
      </c>
      <c r="M153" t="n">
        <v>0</v>
      </c>
      <c r="N153" t="n">
        <v>0</v>
      </c>
      <c r="O153" t="n">
        <v>0</v>
      </c>
      <c r="P153" t="n">
        <v>0</v>
      </c>
      <c r="Q153" t="n">
        <v>0</v>
      </c>
      <c r="R153" s="2" t="inlineStr"/>
    </row>
    <row r="154" ht="15" customHeight="1">
      <c r="A154" t="inlineStr">
        <is>
          <t>A 58826-2019</t>
        </is>
      </c>
      <c r="B154" s="1" t="n">
        <v>43752</v>
      </c>
      <c r="C154" s="1" t="n">
        <v>45566</v>
      </c>
      <c r="D154" t="inlineStr">
        <is>
          <t>NORRBOTTENS LÄN</t>
        </is>
      </c>
      <c r="E154" t="inlineStr">
        <is>
          <t>GÄLLIVARE</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54373-2019</t>
        </is>
      </c>
      <c r="B155" s="1" t="n">
        <v>43753</v>
      </c>
      <c r="C155" s="1" t="n">
        <v>45566</v>
      </c>
      <c r="D155" t="inlineStr">
        <is>
          <t>NORRBOTTENS LÄN</t>
        </is>
      </c>
      <c r="E155" t="inlineStr">
        <is>
          <t>GÄLLIVARE</t>
        </is>
      </c>
      <c r="F155" t="inlineStr">
        <is>
          <t>SCA</t>
        </is>
      </c>
      <c r="G155" t="n">
        <v>6.8</v>
      </c>
      <c r="H155" t="n">
        <v>0</v>
      </c>
      <c r="I155" t="n">
        <v>0</v>
      </c>
      <c r="J155" t="n">
        <v>0</v>
      </c>
      <c r="K155" t="n">
        <v>0</v>
      </c>
      <c r="L155" t="n">
        <v>0</v>
      </c>
      <c r="M155" t="n">
        <v>0</v>
      </c>
      <c r="N155" t="n">
        <v>0</v>
      </c>
      <c r="O155" t="n">
        <v>0</v>
      </c>
      <c r="P155" t="n">
        <v>0</v>
      </c>
      <c r="Q155" t="n">
        <v>0</v>
      </c>
      <c r="R155" s="2" t="inlineStr"/>
    </row>
    <row r="156" ht="15" customHeight="1">
      <c r="A156" t="inlineStr">
        <is>
          <t>A 54457-2019</t>
        </is>
      </c>
      <c r="B156" s="1" t="n">
        <v>43754</v>
      </c>
      <c r="C156" s="1" t="n">
        <v>45566</v>
      </c>
      <c r="D156" t="inlineStr">
        <is>
          <t>NORRBOTTENS LÄN</t>
        </is>
      </c>
      <c r="E156" t="inlineStr">
        <is>
          <t>GÄLLIVARE</t>
        </is>
      </c>
      <c r="F156" t="inlineStr">
        <is>
          <t>Sveaskog</t>
        </is>
      </c>
      <c r="G156" t="n">
        <v>39.5</v>
      </c>
      <c r="H156" t="n">
        <v>0</v>
      </c>
      <c r="I156" t="n">
        <v>0</v>
      </c>
      <c r="J156" t="n">
        <v>0</v>
      </c>
      <c r="K156" t="n">
        <v>0</v>
      </c>
      <c r="L156" t="n">
        <v>0</v>
      </c>
      <c r="M156" t="n">
        <v>0</v>
      </c>
      <c r="N156" t="n">
        <v>0</v>
      </c>
      <c r="O156" t="n">
        <v>0</v>
      </c>
      <c r="P156" t="n">
        <v>0</v>
      </c>
      <c r="Q156" t="n">
        <v>0</v>
      </c>
      <c r="R156" s="2" t="inlineStr"/>
    </row>
    <row r="157" ht="15" customHeight="1">
      <c r="A157" t="inlineStr">
        <is>
          <t>A 54476-2019</t>
        </is>
      </c>
      <c r="B157" s="1" t="n">
        <v>43754</v>
      </c>
      <c r="C157" s="1" t="n">
        <v>45566</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54525-2019</t>
        </is>
      </c>
      <c r="B158" s="1" t="n">
        <v>43754</v>
      </c>
      <c r="C158" s="1" t="n">
        <v>45566</v>
      </c>
      <c r="D158" t="inlineStr">
        <is>
          <t>NORRBOTTENS LÄN</t>
        </is>
      </c>
      <c r="E158" t="inlineStr">
        <is>
          <t>GÄLLIVARE</t>
        </is>
      </c>
      <c r="F158" t="inlineStr">
        <is>
          <t>Sveaskog</t>
        </is>
      </c>
      <c r="G158" t="n">
        <v>5.7</v>
      </c>
      <c r="H158" t="n">
        <v>0</v>
      </c>
      <c r="I158" t="n">
        <v>0</v>
      </c>
      <c r="J158" t="n">
        <v>0</v>
      </c>
      <c r="K158" t="n">
        <v>0</v>
      </c>
      <c r="L158" t="n">
        <v>0</v>
      </c>
      <c r="M158" t="n">
        <v>0</v>
      </c>
      <c r="N158" t="n">
        <v>0</v>
      </c>
      <c r="O158" t="n">
        <v>0</v>
      </c>
      <c r="P158" t="n">
        <v>0</v>
      </c>
      <c r="Q158" t="n">
        <v>0</v>
      </c>
      <c r="R158" s="2" t="inlineStr"/>
    </row>
    <row r="159" ht="15" customHeight="1">
      <c r="A159" t="inlineStr">
        <is>
          <t>A 55027-2019</t>
        </is>
      </c>
      <c r="B159" s="1" t="n">
        <v>43755</v>
      </c>
      <c r="C159" s="1" t="n">
        <v>45566</v>
      </c>
      <c r="D159" t="inlineStr">
        <is>
          <t>NORRBOTTENS LÄN</t>
        </is>
      </c>
      <c r="E159" t="inlineStr">
        <is>
          <t>GÄLLIVARE</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57322-2019</t>
        </is>
      </c>
      <c r="B160" s="1" t="n">
        <v>43759</v>
      </c>
      <c r="C160" s="1" t="n">
        <v>45566</v>
      </c>
      <c r="D160" t="inlineStr">
        <is>
          <t>NORRBOTTENS LÄN</t>
        </is>
      </c>
      <c r="E160" t="inlineStr">
        <is>
          <t>GÄLLIVARE</t>
        </is>
      </c>
      <c r="G160" t="n">
        <v>14.1</v>
      </c>
      <c r="H160" t="n">
        <v>0</v>
      </c>
      <c r="I160" t="n">
        <v>0</v>
      </c>
      <c r="J160" t="n">
        <v>0</v>
      </c>
      <c r="K160" t="n">
        <v>0</v>
      </c>
      <c r="L160" t="n">
        <v>0</v>
      </c>
      <c r="M160" t="n">
        <v>0</v>
      </c>
      <c r="N160" t="n">
        <v>0</v>
      </c>
      <c r="O160" t="n">
        <v>0</v>
      </c>
      <c r="P160" t="n">
        <v>0</v>
      </c>
      <c r="Q160" t="n">
        <v>0</v>
      </c>
      <c r="R160" s="2" t="inlineStr"/>
    </row>
    <row r="161" ht="15" customHeight="1">
      <c r="A161" t="inlineStr">
        <is>
          <t>A 57315-2019</t>
        </is>
      </c>
      <c r="B161" s="1" t="n">
        <v>43759</v>
      </c>
      <c r="C161" s="1" t="n">
        <v>45566</v>
      </c>
      <c r="D161" t="inlineStr">
        <is>
          <t>NORRBOTTENS LÄN</t>
        </is>
      </c>
      <c r="E161" t="inlineStr">
        <is>
          <t>GÄLLIVARE</t>
        </is>
      </c>
      <c r="G161" t="n">
        <v>15.2</v>
      </c>
      <c r="H161" t="n">
        <v>0</v>
      </c>
      <c r="I161" t="n">
        <v>0</v>
      </c>
      <c r="J161" t="n">
        <v>0</v>
      </c>
      <c r="K161" t="n">
        <v>0</v>
      </c>
      <c r="L161" t="n">
        <v>0</v>
      </c>
      <c r="M161" t="n">
        <v>0</v>
      </c>
      <c r="N161" t="n">
        <v>0</v>
      </c>
      <c r="O161" t="n">
        <v>0</v>
      </c>
      <c r="P161" t="n">
        <v>0</v>
      </c>
      <c r="Q161" t="n">
        <v>0</v>
      </c>
      <c r="R161" s="2" t="inlineStr"/>
    </row>
    <row r="162" ht="15" customHeight="1">
      <c r="A162" t="inlineStr">
        <is>
          <t>A 57069-2019</t>
        </is>
      </c>
      <c r="B162" s="1" t="n">
        <v>43766</v>
      </c>
      <c r="C162" s="1" t="n">
        <v>45566</v>
      </c>
      <c r="D162" t="inlineStr">
        <is>
          <t>NORRBOTTENS LÄN</t>
        </is>
      </c>
      <c r="E162" t="inlineStr">
        <is>
          <t>GÄLLIVARE</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57056-2019</t>
        </is>
      </c>
      <c r="B163" s="1" t="n">
        <v>43766</v>
      </c>
      <c r="C163" s="1" t="n">
        <v>45566</v>
      </c>
      <c r="D163" t="inlineStr">
        <is>
          <t>NORRBOTTENS LÄN</t>
        </is>
      </c>
      <c r="E163" t="inlineStr">
        <is>
          <t>GÄLLIVARE</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57060-2019</t>
        </is>
      </c>
      <c r="B164" s="1" t="n">
        <v>43766</v>
      </c>
      <c r="C164" s="1" t="n">
        <v>45566</v>
      </c>
      <c r="D164" t="inlineStr">
        <is>
          <t>NORRBOTTENS LÄN</t>
        </is>
      </c>
      <c r="E164" t="inlineStr">
        <is>
          <t>GÄLLIVARE</t>
        </is>
      </c>
      <c r="F164" t="inlineStr">
        <is>
          <t>Sveaskog</t>
        </is>
      </c>
      <c r="G164" t="n">
        <v>17.9</v>
      </c>
      <c r="H164" t="n">
        <v>0</v>
      </c>
      <c r="I164" t="n">
        <v>0</v>
      </c>
      <c r="J164" t="n">
        <v>0</v>
      </c>
      <c r="K164" t="n">
        <v>0</v>
      </c>
      <c r="L164" t="n">
        <v>0</v>
      </c>
      <c r="M164" t="n">
        <v>0</v>
      </c>
      <c r="N164" t="n">
        <v>0</v>
      </c>
      <c r="O164" t="n">
        <v>0</v>
      </c>
      <c r="P164" t="n">
        <v>0</v>
      </c>
      <c r="Q164" t="n">
        <v>0</v>
      </c>
      <c r="R164" s="2" t="inlineStr"/>
    </row>
    <row r="165" ht="15" customHeight="1">
      <c r="A165" t="inlineStr">
        <is>
          <t>A 57081-2019</t>
        </is>
      </c>
      <c r="B165" s="1" t="n">
        <v>43766</v>
      </c>
      <c r="C165" s="1" t="n">
        <v>45566</v>
      </c>
      <c r="D165" t="inlineStr">
        <is>
          <t>NORRBOTTENS LÄN</t>
        </is>
      </c>
      <c r="E165" t="inlineStr">
        <is>
          <t>GÄLLIVARE</t>
        </is>
      </c>
      <c r="F165" t="inlineStr">
        <is>
          <t>Sveaskog</t>
        </is>
      </c>
      <c r="G165" t="n">
        <v>5.7</v>
      </c>
      <c r="H165" t="n">
        <v>0</v>
      </c>
      <c r="I165" t="n">
        <v>0</v>
      </c>
      <c r="J165" t="n">
        <v>0</v>
      </c>
      <c r="K165" t="n">
        <v>0</v>
      </c>
      <c r="L165" t="n">
        <v>0</v>
      </c>
      <c r="M165" t="n">
        <v>0</v>
      </c>
      <c r="N165" t="n">
        <v>0</v>
      </c>
      <c r="O165" t="n">
        <v>0</v>
      </c>
      <c r="P165" t="n">
        <v>0</v>
      </c>
      <c r="Q165" t="n">
        <v>0</v>
      </c>
      <c r="R165" s="2" t="inlineStr"/>
    </row>
    <row r="166" ht="15" customHeight="1">
      <c r="A166" t="inlineStr">
        <is>
          <t>A 57072-2019</t>
        </is>
      </c>
      <c r="B166" s="1" t="n">
        <v>43766</v>
      </c>
      <c r="C166" s="1" t="n">
        <v>45566</v>
      </c>
      <c r="D166" t="inlineStr">
        <is>
          <t>NORRBOTTENS LÄN</t>
        </is>
      </c>
      <c r="E166" t="inlineStr">
        <is>
          <t>GÄLLIVARE</t>
        </is>
      </c>
      <c r="F166" t="inlineStr">
        <is>
          <t>Sveaskog</t>
        </is>
      </c>
      <c r="G166" t="n">
        <v>15.7</v>
      </c>
      <c r="H166" t="n">
        <v>0</v>
      </c>
      <c r="I166" t="n">
        <v>0</v>
      </c>
      <c r="J166" t="n">
        <v>0</v>
      </c>
      <c r="K166" t="n">
        <v>0</v>
      </c>
      <c r="L166" t="n">
        <v>0</v>
      </c>
      <c r="M166" t="n">
        <v>0</v>
      </c>
      <c r="N166" t="n">
        <v>0</v>
      </c>
      <c r="O166" t="n">
        <v>0</v>
      </c>
      <c r="P166" t="n">
        <v>0</v>
      </c>
      <c r="Q166" t="n">
        <v>0</v>
      </c>
      <c r="R166" s="2" t="inlineStr"/>
    </row>
    <row r="167" ht="15" customHeight="1">
      <c r="A167" t="inlineStr">
        <is>
          <t>A 57087-2019</t>
        </is>
      </c>
      <c r="B167" s="1" t="n">
        <v>43766</v>
      </c>
      <c r="C167" s="1" t="n">
        <v>45566</v>
      </c>
      <c r="D167" t="inlineStr">
        <is>
          <t>NORRBOTTENS LÄN</t>
        </is>
      </c>
      <c r="E167" t="inlineStr">
        <is>
          <t>GÄLLIVARE</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58609-2019</t>
        </is>
      </c>
      <c r="B168" s="1" t="n">
        <v>43768</v>
      </c>
      <c r="C168" s="1" t="n">
        <v>45566</v>
      </c>
      <c r="D168" t="inlineStr">
        <is>
          <t>NORRBOTTENS LÄN</t>
        </is>
      </c>
      <c r="E168" t="inlineStr">
        <is>
          <t>GÄLLIVARE</t>
        </is>
      </c>
      <c r="G168" t="n">
        <v>7.8</v>
      </c>
      <c r="H168" t="n">
        <v>0</v>
      </c>
      <c r="I168" t="n">
        <v>0</v>
      </c>
      <c r="J168" t="n">
        <v>0</v>
      </c>
      <c r="K168" t="n">
        <v>0</v>
      </c>
      <c r="L168" t="n">
        <v>0</v>
      </c>
      <c r="M168" t="n">
        <v>0</v>
      </c>
      <c r="N168" t="n">
        <v>0</v>
      </c>
      <c r="O168" t="n">
        <v>0</v>
      </c>
      <c r="P168" t="n">
        <v>0</v>
      </c>
      <c r="Q168" t="n">
        <v>0</v>
      </c>
      <c r="R168" s="2" t="inlineStr"/>
    </row>
    <row r="169" ht="15" customHeight="1">
      <c r="A169" t="inlineStr">
        <is>
          <t>A 60542-2019</t>
        </is>
      </c>
      <c r="B169" s="1" t="n">
        <v>43776</v>
      </c>
      <c r="C169" s="1" t="n">
        <v>45566</v>
      </c>
      <c r="D169" t="inlineStr">
        <is>
          <t>NORRBOTTENS LÄN</t>
        </is>
      </c>
      <c r="E169" t="inlineStr">
        <is>
          <t>GÄLLIVARE</t>
        </is>
      </c>
      <c r="G169" t="n">
        <v>24.1</v>
      </c>
      <c r="H169" t="n">
        <v>0</v>
      </c>
      <c r="I169" t="n">
        <v>0</v>
      </c>
      <c r="J169" t="n">
        <v>0</v>
      </c>
      <c r="K169" t="n">
        <v>0</v>
      </c>
      <c r="L169" t="n">
        <v>0</v>
      </c>
      <c r="M169" t="n">
        <v>0</v>
      </c>
      <c r="N169" t="n">
        <v>0</v>
      </c>
      <c r="O169" t="n">
        <v>0</v>
      </c>
      <c r="P169" t="n">
        <v>0</v>
      </c>
      <c r="Q169" t="n">
        <v>0</v>
      </c>
      <c r="R169" s="2" t="inlineStr"/>
    </row>
    <row r="170" ht="15" customHeight="1">
      <c r="A170" t="inlineStr">
        <is>
          <t>A 61206-2019</t>
        </is>
      </c>
      <c r="B170" s="1" t="n">
        <v>43782</v>
      </c>
      <c r="C170" s="1" t="n">
        <v>45566</v>
      </c>
      <c r="D170" t="inlineStr">
        <is>
          <t>NORRBOTTENS LÄN</t>
        </is>
      </c>
      <c r="E170" t="inlineStr">
        <is>
          <t>GÄLLIVARE</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61207-2019</t>
        </is>
      </c>
      <c r="B171" s="1" t="n">
        <v>43782</v>
      </c>
      <c r="C171" s="1" t="n">
        <v>45566</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63843-2019</t>
        </is>
      </c>
      <c r="B172" s="1" t="n">
        <v>43795</v>
      </c>
      <c r="C172" s="1" t="n">
        <v>45566</v>
      </c>
      <c r="D172" t="inlineStr">
        <is>
          <t>NORRBOTTENS LÄN</t>
        </is>
      </c>
      <c r="E172" t="inlineStr">
        <is>
          <t>GÄLLIVARE</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65725-2019</t>
        </is>
      </c>
      <c r="B173" s="1" t="n">
        <v>43804</v>
      </c>
      <c r="C173" s="1" t="n">
        <v>45566</v>
      </c>
      <c r="D173" t="inlineStr">
        <is>
          <t>NORRBOTTENS LÄN</t>
        </is>
      </c>
      <c r="E173" t="inlineStr">
        <is>
          <t>GÄLLIVARE</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66409-2019</t>
        </is>
      </c>
      <c r="B174" s="1" t="n">
        <v>43809</v>
      </c>
      <c r="C174" s="1" t="n">
        <v>45566</v>
      </c>
      <c r="D174" t="inlineStr">
        <is>
          <t>NORRBOTTENS LÄN</t>
        </is>
      </c>
      <c r="E174" t="inlineStr">
        <is>
          <t>GÄLLIVARE</t>
        </is>
      </c>
      <c r="G174" t="n">
        <v>2.7</v>
      </c>
      <c r="H174" t="n">
        <v>0</v>
      </c>
      <c r="I174" t="n">
        <v>0</v>
      </c>
      <c r="J174" t="n">
        <v>0</v>
      </c>
      <c r="K174" t="n">
        <v>0</v>
      </c>
      <c r="L174" t="n">
        <v>0</v>
      </c>
      <c r="M174" t="n">
        <v>0</v>
      </c>
      <c r="N174" t="n">
        <v>0</v>
      </c>
      <c r="O174" t="n">
        <v>0</v>
      </c>
      <c r="P174" t="n">
        <v>0</v>
      </c>
      <c r="Q174" t="n">
        <v>0</v>
      </c>
      <c r="R174" s="2" t="inlineStr"/>
    </row>
    <row r="175" ht="15" customHeight="1">
      <c r="A175" t="inlineStr">
        <is>
          <t>A 68502-2019</t>
        </is>
      </c>
      <c r="B175" s="1" t="n">
        <v>43811</v>
      </c>
      <c r="C175" s="1" t="n">
        <v>45566</v>
      </c>
      <c r="D175" t="inlineStr">
        <is>
          <t>NORRBOTTENS LÄN</t>
        </is>
      </c>
      <c r="E175" t="inlineStr">
        <is>
          <t>GÄLLIVARE</t>
        </is>
      </c>
      <c r="F175" t="inlineStr">
        <is>
          <t>Sveaskog</t>
        </is>
      </c>
      <c r="G175" t="n">
        <v>101</v>
      </c>
      <c r="H175" t="n">
        <v>0</v>
      </c>
      <c r="I175" t="n">
        <v>0</v>
      </c>
      <c r="J175" t="n">
        <v>0</v>
      </c>
      <c r="K175" t="n">
        <v>0</v>
      </c>
      <c r="L175" t="n">
        <v>0</v>
      </c>
      <c r="M175" t="n">
        <v>0</v>
      </c>
      <c r="N175" t="n">
        <v>0</v>
      </c>
      <c r="O175" t="n">
        <v>0</v>
      </c>
      <c r="P175" t="n">
        <v>0</v>
      </c>
      <c r="Q175" t="n">
        <v>0</v>
      </c>
      <c r="R175" s="2" t="inlineStr"/>
    </row>
    <row r="176" ht="15" customHeight="1">
      <c r="A176" t="inlineStr">
        <is>
          <t>A 68576-2019</t>
        </is>
      </c>
      <c r="B176" s="1" t="n">
        <v>43812</v>
      </c>
      <c r="C176" s="1" t="n">
        <v>45566</v>
      </c>
      <c r="D176" t="inlineStr">
        <is>
          <t>NORRBOTTENS LÄN</t>
        </is>
      </c>
      <c r="E176" t="inlineStr">
        <is>
          <t>GÄLLIVARE</t>
        </is>
      </c>
      <c r="G176" t="n">
        <v>1.4</v>
      </c>
      <c r="H176" t="n">
        <v>0</v>
      </c>
      <c r="I176" t="n">
        <v>0</v>
      </c>
      <c r="J176" t="n">
        <v>0</v>
      </c>
      <c r="K176" t="n">
        <v>0</v>
      </c>
      <c r="L176" t="n">
        <v>0</v>
      </c>
      <c r="M176" t="n">
        <v>0</v>
      </c>
      <c r="N176" t="n">
        <v>0</v>
      </c>
      <c r="O176" t="n">
        <v>0</v>
      </c>
      <c r="P176" t="n">
        <v>0</v>
      </c>
      <c r="Q176" t="n">
        <v>0</v>
      </c>
      <c r="R176" s="2" t="inlineStr"/>
    </row>
    <row r="177" ht="15" customHeight="1">
      <c r="A177" t="inlineStr">
        <is>
          <t>A 68297-2019</t>
        </is>
      </c>
      <c r="B177" s="1" t="n">
        <v>43817</v>
      </c>
      <c r="C177" s="1" t="n">
        <v>45566</v>
      </c>
      <c r="D177" t="inlineStr">
        <is>
          <t>NORRBOTTENS LÄN</t>
        </is>
      </c>
      <c r="E177" t="inlineStr">
        <is>
          <t>GÄLLIVARE</t>
        </is>
      </c>
      <c r="F177" t="inlineStr">
        <is>
          <t>SCA</t>
        </is>
      </c>
      <c r="G177" t="n">
        <v>3.8</v>
      </c>
      <c r="H177" t="n">
        <v>0</v>
      </c>
      <c r="I177" t="n">
        <v>0</v>
      </c>
      <c r="J177" t="n">
        <v>0</v>
      </c>
      <c r="K177" t="n">
        <v>0</v>
      </c>
      <c r="L177" t="n">
        <v>0</v>
      </c>
      <c r="M177" t="n">
        <v>0</v>
      </c>
      <c r="N177" t="n">
        <v>0</v>
      </c>
      <c r="O177" t="n">
        <v>0</v>
      </c>
      <c r="P177" t="n">
        <v>0</v>
      </c>
      <c r="Q177" t="n">
        <v>0</v>
      </c>
      <c r="R177" s="2" t="inlineStr"/>
    </row>
    <row r="178" ht="15" customHeight="1">
      <c r="A178" t="inlineStr">
        <is>
          <t>A 68569-2019</t>
        </is>
      </c>
      <c r="B178" s="1" t="n">
        <v>43818</v>
      </c>
      <c r="C178" s="1" t="n">
        <v>45566</v>
      </c>
      <c r="D178" t="inlineStr">
        <is>
          <t>NORRBOTTENS LÄN</t>
        </is>
      </c>
      <c r="E178" t="inlineStr">
        <is>
          <t>GÄLLIVARE</t>
        </is>
      </c>
      <c r="F178" t="inlineStr">
        <is>
          <t>Sveaskog</t>
        </is>
      </c>
      <c r="G178" t="n">
        <v>41.5</v>
      </c>
      <c r="H178" t="n">
        <v>0</v>
      </c>
      <c r="I178" t="n">
        <v>0</v>
      </c>
      <c r="J178" t="n">
        <v>0</v>
      </c>
      <c r="K178" t="n">
        <v>0</v>
      </c>
      <c r="L178" t="n">
        <v>0</v>
      </c>
      <c r="M178" t="n">
        <v>0</v>
      </c>
      <c r="N178" t="n">
        <v>0</v>
      </c>
      <c r="O178" t="n">
        <v>0</v>
      </c>
      <c r="P178" t="n">
        <v>0</v>
      </c>
      <c r="Q178" t="n">
        <v>0</v>
      </c>
      <c r="R178" s="2" t="inlineStr"/>
    </row>
    <row r="179" ht="15" customHeight="1">
      <c r="A179" t="inlineStr">
        <is>
          <t>A 2837-2020</t>
        </is>
      </c>
      <c r="B179" s="1" t="n">
        <v>43843</v>
      </c>
      <c r="C179" s="1" t="n">
        <v>45566</v>
      </c>
      <c r="D179" t="inlineStr">
        <is>
          <t>NORRBOTTENS LÄN</t>
        </is>
      </c>
      <c r="E179" t="inlineStr">
        <is>
          <t>GÄLLIVARE</t>
        </is>
      </c>
      <c r="F179" t="inlineStr">
        <is>
          <t>Sveaskog</t>
        </is>
      </c>
      <c r="G179" t="n">
        <v>21.7</v>
      </c>
      <c r="H179" t="n">
        <v>0</v>
      </c>
      <c r="I179" t="n">
        <v>0</v>
      </c>
      <c r="J179" t="n">
        <v>0</v>
      </c>
      <c r="K179" t="n">
        <v>0</v>
      </c>
      <c r="L179" t="n">
        <v>0</v>
      </c>
      <c r="M179" t="n">
        <v>0</v>
      </c>
      <c r="N179" t="n">
        <v>0</v>
      </c>
      <c r="O179" t="n">
        <v>0</v>
      </c>
      <c r="P179" t="n">
        <v>0</v>
      </c>
      <c r="Q179" t="n">
        <v>0</v>
      </c>
      <c r="R179" s="2" t="inlineStr"/>
    </row>
    <row r="180" ht="15" customHeight="1">
      <c r="A180" t="inlineStr">
        <is>
          <t>A 2761-2020</t>
        </is>
      </c>
      <c r="B180" s="1" t="n">
        <v>43843</v>
      </c>
      <c r="C180" s="1" t="n">
        <v>45566</v>
      </c>
      <c r="D180" t="inlineStr">
        <is>
          <t>NORRBOTTENS LÄN</t>
        </is>
      </c>
      <c r="E180" t="inlineStr">
        <is>
          <t>GÄLLIVARE</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2804-2020</t>
        </is>
      </c>
      <c r="B181" s="1" t="n">
        <v>43843</v>
      </c>
      <c r="C181" s="1" t="n">
        <v>45566</v>
      </c>
      <c r="D181" t="inlineStr">
        <is>
          <t>NORRBOTTENS LÄN</t>
        </is>
      </c>
      <c r="E181" t="inlineStr">
        <is>
          <t>GÄLLIVARE</t>
        </is>
      </c>
      <c r="F181" t="inlineStr">
        <is>
          <t>Sveaskog</t>
        </is>
      </c>
      <c r="G181" t="n">
        <v>58.1</v>
      </c>
      <c r="H181" t="n">
        <v>0</v>
      </c>
      <c r="I181" t="n">
        <v>0</v>
      </c>
      <c r="J181" t="n">
        <v>0</v>
      </c>
      <c r="K181" t="n">
        <v>0</v>
      </c>
      <c r="L181" t="n">
        <v>0</v>
      </c>
      <c r="M181" t="n">
        <v>0</v>
      </c>
      <c r="N181" t="n">
        <v>0</v>
      </c>
      <c r="O181" t="n">
        <v>0</v>
      </c>
      <c r="P181" t="n">
        <v>0</v>
      </c>
      <c r="Q181" t="n">
        <v>0</v>
      </c>
      <c r="R181" s="2" t="inlineStr"/>
    </row>
    <row r="182" ht="15" customHeight="1">
      <c r="A182" t="inlineStr">
        <is>
          <t>A 2768-2020</t>
        </is>
      </c>
      <c r="B182" s="1" t="n">
        <v>43843</v>
      </c>
      <c r="C182" s="1" t="n">
        <v>45566</v>
      </c>
      <c r="D182" t="inlineStr">
        <is>
          <t>NORRBOTTENS LÄN</t>
        </is>
      </c>
      <c r="E182" t="inlineStr">
        <is>
          <t>GÄLLIVARE</t>
        </is>
      </c>
      <c r="F182" t="inlineStr">
        <is>
          <t>Sveaskog</t>
        </is>
      </c>
      <c r="G182" t="n">
        <v>4.9</v>
      </c>
      <c r="H182" t="n">
        <v>0</v>
      </c>
      <c r="I182" t="n">
        <v>0</v>
      </c>
      <c r="J182" t="n">
        <v>0</v>
      </c>
      <c r="K182" t="n">
        <v>0</v>
      </c>
      <c r="L182" t="n">
        <v>0</v>
      </c>
      <c r="M182" t="n">
        <v>0</v>
      </c>
      <c r="N182" t="n">
        <v>0</v>
      </c>
      <c r="O182" t="n">
        <v>0</v>
      </c>
      <c r="P182" t="n">
        <v>0</v>
      </c>
      <c r="Q182" t="n">
        <v>0</v>
      </c>
      <c r="R182" s="2" t="inlineStr"/>
    </row>
    <row r="183" ht="15" customHeight="1">
      <c r="A183" t="inlineStr">
        <is>
          <t>A 2816-2020</t>
        </is>
      </c>
      <c r="B183" s="1" t="n">
        <v>43843</v>
      </c>
      <c r="C183" s="1" t="n">
        <v>45566</v>
      </c>
      <c r="D183" t="inlineStr">
        <is>
          <t>NORRBOTTENS LÄN</t>
        </is>
      </c>
      <c r="E183" t="inlineStr">
        <is>
          <t>GÄLLIVARE</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1723-2020</t>
        </is>
      </c>
      <c r="B184" s="1" t="n">
        <v>43844</v>
      </c>
      <c r="C184" s="1" t="n">
        <v>45566</v>
      </c>
      <c r="D184" t="inlineStr">
        <is>
          <t>NORRBOTTENS LÄN</t>
        </is>
      </c>
      <c r="E184" t="inlineStr">
        <is>
          <t>GÄLLIVARE</t>
        </is>
      </c>
      <c r="F184" t="inlineStr">
        <is>
          <t>Sveaskog</t>
        </is>
      </c>
      <c r="G184" t="n">
        <v>16.9</v>
      </c>
      <c r="H184" t="n">
        <v>0</v>
      </c>
      <c r="I184" t="n">
        <v>0</v>
      </c>
      <c r="J184" t="n">
        <v>0</v>
      </c>
      <c r="K184" t="n">
        <v>0</v>
      </c>
      <c r="L184" t="n">
        <v>0</v>
      </c>
      <c r="M184" t="n">
        <v>0</v>
      </c>
      <c r="N184" t="n">
        <v>0</v>
      </c>
      <c r="O184" t="n">
        <v>0</v>
      </c>
      <c r="P184" t="n">
        <v>0</v>
      </c>
      <c r="Q184" t="n">
        <v>0</v>
      </c>
      <c r="R184" s="2" t="inlineStr"/>
    </row>
    <row r="185" ht="15" customHeight="1">
      <c r="A185" t="inlineStr">
        <is>
          <t>A 8575-2020</t>
        </is>
      </c>
      <c r="B185" s="1" t="n">
        <v>43875</v>
      </c>
      <c r="C185" s="1" t="n">
        <v>45566</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8572-2020</t>
        </is>
      </c>
      <c r="B186" s="1" t="n">
        <v>43875</v>
      </c>
      <c r="C186" s="1" t="n">
        <v>45566</v>
      </c>
      <c r="D186" t="inlineStr">
        <is>
          <t>NORRBOTTENS LÄN</t>
        </is>
      </c>
      <c r="E186" t="inlineStr">
        <is>
          <t>GÄLLIVARE</t>
        </is>
      </c>
      <c r="G186" t="n">
        <v>7.5</v>
      </c>
      <c r="H186" t="n">
        <v>0</v>
      </c>
      <c r="I186" t="n">
        <v>0</v>
      </c>
      <c r="J186" t="n">
        <v>0</v>
      </c>
      <c r="K186" t="n">
        <v>0</v>
      </c>
      <c r="L186" t="n">
        <v>0</v>
      </c>
      <c r="M186" t="n">
        <v>0</v>
      </c>
      <c r="N186" t="n">
        <v>0</v>
      </c>
      <c r="O186" t="n">
        <v>0</v>
      </c>
      <c r="P186" t="n">
        <v>0</v>
      </c>
      <c r="Q186" t="n">
        <v>0</v>
      </c>
      <c r="R186" s="2" t="inlineStr"/>
    </row>
    <row r="187" ht="15" customHeight="1">
      <c r="A187" t="inlineStr">
        <is>
          <t>A 11758-2020</t>
        </is>
      </c>
      <c r="B187" s="1" t="n">
        <v>43887</v>
      </c>
      <c r="C187" s="1" t="n">
        <v>45566</v>
      </c>
      <c r="D187" t="inlineStr">
        <is>
          <t>NORRBOTTENS LÄN</t>
        </is>
      </c>
      <c r="E187" t="inlineStr">
        <is>
          <t>GÄLLIVARE</t>
        </is>
      </c>
      <c r="F187" t="inlineStr">
        <is>
          <t>Övriga statliga verk och myndigheter</t>
        </is>
      </c>
      <c r="G187" t="n">
        <v>5</v>
      </c>
      <c r="H187" t="n">
        <v>0</v>
      </c>
      <c r="I187" t="n">
        <v>0</v>
      </c>
      <c r="J187" t="n">
        <v>0</v>
      </c>
      <c r="K187" t="n">
        <v>0</v>
      </c>
      <c r="L187" t="n">
        <v>0</v>
      </c>
      <c r="M187" t="n">
        <v>0</v>
      </c>
      <c r="N187" t="n">
        <v>0</v>
      </c>
      <c r="O187" t="n">
        <v>0</v>
      </c>
      <c r="P187" t="n">
        <v>0</v>
      </c>
      <c r="Q187" t="n">
        <v>0</v>
      </c>
      <c r="R187" s="2" t="inlineStr"/>
    </row>
    <row r="188" ht="15" customHeight="1">
      <c r="A188" t="inlineStr">
        <is>
          <t>A 11136-2020</t>
        </is>
      </c>
      <c r="B188" s="1" t="n">
        <v>43890</v>
      </c>
      <c r="C188" s="1" t="n">
        <v>45566</v>
      </c>
      <c r="D188" t="inlineStr">
        <is>
          <t>NORRBOTTENS LÄN</t>
        </is>
      </c>
      <c r="E188" t="inlineStr">
        <is>
          <t>GÄLLIVARE</t>
        </is>
      </c>
      <c r="G188" t="n">
        <v>13.4</v>
      </c>
      <c r="H188" t="n">
        <v>0</v>
      </c>
      <c r="I188" t="n">
        <v>0</v>
      </c>
      <c r="J188" t="n">
        <v>0</v>
      </c>
      <c r="K188" t="n">
        <v>0</v>
      </c>
      <c r="L188" t="n">
        <v>0</v>
      </c>
      <c r="M188" t="n">
        <v>0</v>
      </c>
      <c r="N188" t="n">
        <v>0</v>
      </c>
      <c r="O188" t="n">
        <v>0</v>
      </c>
      <c r="P188" t="n">
        <v>0</v>
      </c>
      <c r="Q188" t="n">
        <v>0</v>
      </c>
      <c r="R188" s="2" t="inlineStr"/>
    </row>
    <row r="189" ht="15" customHeight="1">
      <c r="A189" t="inlineStr">
        <is>
          <t>A 16621-2020</t>
        </is>
      </c>
      <c r="B189" s="1" t="n">
        <v>43910</v>
      </c>
      <c r="C189" s="1" t="n">
        <v>45566</v>
      </c>
      <c r="D189" t="inlineStr">
        <is>
          <t>NORRBOTTENS LÄN</t>
        </is>
      </c>
      <c r="E189" t="inlineStr">
        <is>
          <t>GÄLLIVARE</t>
        </is>
      </c>
      <c r="G189" t="n">
        <v>13.2</v>
      </c>
      <c r="H189" t="n">
        <v>0</v>
      </c>
      <c r="I189" t="n">
        <v>0</v>
      </c>
      <c r="J189" t="n">
        <v>0</v>
      </c>
      <c r="K189" t="n">
        <v>0</v>
      </c>
      <c r="L189" t="n">
        <v>0</v>
      </c>
      <c r="M189" t="n">
        <v>0</v>
      </c>
      <c r="N189" t="n">
        <v>0</v>
      </c>
      <c r="O189" t="n">
        <v>0</v>
      </c>
      <c r="P189" t="n">
        <v>0</v>
      </c>
      <c r="Q189" t="n">
        <v>0</v>
      </c>
      <c r="R189" s="2" t="inlineStr"/>
    </row>
    <row r="190" ht="15" customHeight="1">
      <c r="A190" t="inlineStr">
        <is>
          <t>A 15644-2020</t>
        </is>
      </c>
      <c r="B190" s="1" t="n">
        <v>43914</v>
      </c>
      <c r="C190" s="1" t="n">
        <v>45566</v>
      </c>
      <c r="D190" t="inlineStr">
        <is>
          <t>NORRBOTTENS LÄN</t>
        </is>
      </c>
      <c r="E190" t="inlineStr">
        <is>
          <t>GÄLLIVARE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15636-2020</t>
        </is>
      </c>
      <c r="B191" s="1" t="n">
        <v>43914</v>
      </c>
      <c r="C191" s="1" t="n">
        <v>45566</v>
      </c>
      <c r="D191" t="inlineStr">
        <is>
          <t>NORRBOTTENS LÄN</t>
        </is>
      </c>
      <c r="E191" t="inlineStr">
        <is>
          <t>GÄLLIVARE</t>
        </is>
      </c>
      <c r="F191" t="inlineStr">
        <is>
          <t>SCA</t>
        </is>
      </c>
      <c r="G191" t="n">
        <v>4.9</v>
      </c>
      <c r="H191" t="n">
        <v>0</v>
      </c>
      <c r="I191" t="n">
        <v>0</v>
      </c>
      <c r="J191" t="n">
        <v>0</v>
      </c>
      <c r="K191" t="n">
        <v>0</v>
      </c>
      <c r="L191" t="n">
        <v>0</v>
      </c>
      <c r="M191" t="n">
        <v>0</v>
      </c>
      <c r="N191" t="n">
        <v>0</v>
      </c>
      <c r="O191" t="n">
        <v>0</v>
      </c>
      <c r="P191" t="n">
        <v>0</v>
      </c>
      <c r="Q191" t="n">
        <v>0</v>
      </c>
      <c r="R191" s="2" t="inlineStr"/>
    </row>
    <row r="192" ht="15" customHeight="1">
      <c r="A192" t="inlineStr">
        <is>
          <t>A 15642-2020</t>
        </is>
      </c>
      <c r="B192" s="1" t="n">
        <v>43914</v>
      </c>
      <c r="C192" s="1" t="n">
        <v>45566</v>
      </c>
      <c r="D192" t="inlineStr">
        <is>
          <t>NORRBOTTENS LÄN</t>
        </is>
      </c>
      <c r="E192" t="inlineStr">
        <is>
          <t>GÄLLIVARE</t>
        </is>
      </c>
      <c r="F192" t="inlineStr">
        <is>
          <t>SCA</t>
        </is>
      </c>
      <c r="G192" t="n">
        <v>6</v>
      </c>
      <c r="H192" t="n">
        <v>0</v>
      </c>
      <c r="I192" t="n">
        <v>0</v>
      </c>
      <c r="J192" t="n">
        <v>0</v>
      </c>
      <c r="K192" t="n">
        <v>0</v>
      </c>
      <c r="L192" t="n">
        <v>0</v>
      </c>
      <c r="M192" t="n">
        <v>0</v>
      </c>
      <c r="N192" t="n">
        <v>0</v>
      </c>
      <c r="O192" t="n">
        <v>0</v>
      </c>
      <c r="P192" t="n">
        <v>0</v>
      </c>
      <c r="Q192" t="n">
        <v>0</v>
      </c>
      <c r="R192" s="2" t="inlineStr"/>
    </row>
    <row r="193" ht="15" customHeight="1">
      <c r="A193" t="inlineStr">
        <is>
          <t>A 15648-2020</t>
        </is>
      </c>
      <c r="B193" s="1" t="n">
        <v>43914</v>
      </c>
      <c r="C193" s="1" t="n">
        <v>45566</v>
      </c>
      <c r="D193" t="inlineStr">
        <is>
          <t>NORRBOTTENS LÄN</t>
        </is>
      </c>
      <c r="E193" t="inlineStr">
        <is>
          <t>GÄLLIVARE</t>
        </is>
      </c>
      <c r="F193" t="inlineStr">
        <is>
          <t>SCA</t>
        </is>
      </c>
      <c r="G193" t="n">
        <v>7</v>
      </c>
      <c r="H193" t="n">
        <v>0</v>
      </c>
      <c r="I193" t="n">
        <v>0</v>
      </c>
      <c r="J193" t="n">
        <v>0</v>
      </c>
      <c r="K193" t="n">
        <v>0</v>
      </c>
      <c r="L193" t="n">
        <v>0</v>
      </c>
      <c r="M193" t="n">
        <v>0</v>
      </c>
      <c r="N193" t="n">
        <v>0</v>
      </c>
      <c r="O193" t="n">
        <v>0</v>
      </c>
      <c r="P193" t="n">
        <v>0</v>
      </c>
      <c r="Q193" t="n">
        <v>0</v>
      </c>
      <c r="R193" s="2" t="inlineStr"/>
    </row>
    <row r="194" ht="15" customHeight="1">
      <c r="A194" t="inlineStr">
        <is>
          <t>A 15637-2020</t>
        </is>
      </c>
      <c r="B194" s="1" t="n">
        <v>43914</v>
      </c>
      <c r="C194" s="1" t="n">
        <v>45566</v>
      </c>
      <c r="D194" t="inlineStr">
        <is>
          <t>NORRBOTTENS LÄN</t>
        </is>
      </c>
      <c r="E194" t="inlineStr">
        <is>
          <t>GÄLLIVARE</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15643-2020</t>
        </is>
      </c>
      <c r="B195" s="1" t="n">
        <v>43914</v>
      </c>
      <c r="C195" s="1" t="n">
        <v>45566</v>
      </c>
      <c r="D195" t="inlineStr">
        <is>
          <t>NORRBOTTENS LÄN</t>
        </is>
      </c>
      <c r="E195" t="inlineStr">
        <is>
          <t>GÄLLIVARE</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16162-2020</t>
        </is>
      </c>
      <c r="B196" s="1" t="n">
        <v>43916</v>
      </c>
      <c r="C196" s="1" t="n">
        <v>45566</v>
      </c>
      <c r="D196" t="inlineStr">
        <is>
          <t>NORRBOTTENS LÄN</t>
        </is>
      </c>
      <c r="E196" t="inlineStr">
        <is>
          <t>GÄLLIVARE</t>
        </is>
      </c>
      <c r="F196" t="inlineStr">
        <is>
          <t>SCA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16161-2020</t>
        </is>
      </c>
      <c r="B197" s="1" t="n">
        <v>43916</v>
      </c>
      <c r="C197" s="1" t="n">
        <v>45566</v>
      </c>
      <c r="D197" t="inlineStr">
        <is>
          <t>NORRBOTTENS LÄN</t>
        </is>
      </c>
      <c r="E197" t="inlineStr">
        <is>
          <t>GÄLLIVARE</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16164-2020</t>
        </is>
      </c>
      <c r="B198" s="1" t="n">
        <v>43916</v>
      </c>
      <c r="C198" s="1" t="n">
        <v>45566</v>
      </c>
      <c r="D198" t="inlineStr">
        <is>
          <t>NORRBOTTENS LÄN</t>
        </is>
      </c>
      <c r="E198" t="inlineStr">
        <is>
          <t>GÄLLIVARE</t>
        </is>
      </c>
      <c r="F198" t="inlineStr">
        <is>
          <t>SCA</t>
        </is>
      </c>
      <c r="G198" t="n">
        <v>11.8</v>
      </c>
      <c r="H198" t="n">
        <v>0</v>
      </c>
      <c r="I198" t="n">
        <v>0</v>
      </c>
      <c r="J198" t="n">
        <v>0</v>
      </c>
      <c r="K198" t="n">
        <v>0</v>
      </c>
      <c r="L198" t="n">
        <v>0</v>
      </c>
      <c r="M198" t="n">
        <v>0</v>
      </c>
      <c r="N198" t="n">
        <v>0</v>
      </c>
      <c r="O198" t="n">
        <v>0</v>
      </c>
      <c r="P198" t="n">
        <v>0</v>
      </c>
      <c r="Q198" t="n">
        <v>0</v>
      </c>
      <c r="R198" s="2" t="inlineStr"/>
    </row>
    <row r="199" ht="15" customHeight="1">
      <c r="A199" t="inlineStr">
        <is>
          <t>A 16163-2020</t>
        </is>
      </c>
      <c r="B199" s="1" t="n">
        <v>43916</v>
      </c>
      <c r="C199" s="1" t="n">
        <v>45566</v>
      </c>
      <c r="D199" t="inlineStr">
        <is>
          <t>NORRBOTTENS LÄN</t>
        </is>
      </c>
      <c r="E199" t="inlineStr">
        <is>
          <t>GÄLLIVARE</t>
        </is>
      </c>
      <c r="F199" t="inlineStr">
        <is>
          <t>SCA</t>
        </is>
      </c>
      <c r="G199" t="n">
        <v>7.4</v>
      </c>
      <c r="H199" t="n">
        <v>0</v>
      </c>
      <c r="I199" t="n">
        <v>0</v>
      </c>
      <c r="J199" t="n">
        <v>0</v>
      </c>
      <c r="K199" t="n">
        <v>0</v>
      </c>
      <c r="L199" t="n">
        <v>0</v>
      </c>
      <c r="M199" t="n">
        <v>0</v>
      </c>
      <c r="N199" t="n">
        <v>0</v>
      </c>
      <c r="O199" t="n">
        <v>0</v>
      </c>
      <c r="P199" t="n">
        <v>0</v>
      </c>
      <c r="Q199" t="n">
        <v>0</v>
      </c>
      <c r="R199" s="2" t="inlineStr"/>
    </row>
    <row r="200" ht="15" customHeight="1">
      <c r="A200" t="inlineStr">
        <is>
          <t>A 16424-2020</t>
        </is>
      </c>
      <c r="B200" s="1" t="n">
        <v>43919</v>
      </c>
      <c r="C200" s="1" t="n">
        <v>45566</v>
      </c>
      <c r="D200" t="inlineStr">
        <is>
          <t>NORRBOTTENS LÄN</t>
        </is>
      </c>
      <c r="E200" t="inlineStr">
        <is>
          <t>GÄLLIVARE</t>
        </is>
      </c>
      <c r="G200" t="n">
        <v>3.8</v>
      </c>
      <c r="H200" t="n">
        <v>0</v>
      </c>
      <c r="I200" t="n">
        <v>0</v>
      </c>
      <c r="J200" t="n">
        <v>0</v>
      </c>
      <c r="K200" t="n">
        <v>0</v>
      </c>
      <c r="L200" t="n">
        <v>0</v>
      </c>
      <c r="M200" t="n">
        <v>0</v>
      </c>
      <c r="N200" t="n">
        <v>0</v>
      </c>
      <c r="O200" t="n">
        <v>0</v>
      </c>
      <c r="P200" t="n">
        <v>0</v>
      </c>
      <c r="Q200" t="n">
        <v>0</v>
      </c>
      <c r="R200" s="2" t="inlineStr"/>
    </row>
    <row r="201" ht="15" customHeight="1">
      <c r="A201" t="inlineStr">
        <is>
          <t>A 18213-2020</t>
        </is>
      </c>
      <c r="B201" s="1" t="n">
        <v>43927</v>
      </c>
      <c r="C201" s="1" t="n">
        <v>45566</v>
      </c>
      <c r="D201" t="inlineStr">
        <is>
          <t>NORRBOTTENS LÄN</t>
        </is>
      </c>
      <c r="E201" t="inlineStr">
        <is>
          <t>GÄLLIVARE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18203-2020</t>
        </is>
      </c>
      <c r="B202" s="1" t="n">
        <v>43927</v>
      </c>
      <c r="C202" s="1" t="n">
        <v>45566</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18214-2020</t>
        </is>
      </c>
      <c r="B203" s="1" t="n">
        <v>43927</v>
      </c>
      <c r="C203" s="1" t="n">
        <v>45566</v>
      </c>
      <c r="D203" t="inlineStr">
        <is>
          <t>NORRBOTTENS LÄN</t>
        </is>
      </c>
      <c r="E203" t="inlineStr">
        <is>
          <t>GÄLLIVARE</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22779-2020</t>
        </is>
      </c>
      <c r="B204" s="1" t="n">
        <v>43958</v>
      </c>
      <c r="C204" s="1" t="n">
        <v>45566</v>
      </c>
      <c r="D204" t="inlineStr">
        <is>
          <t>NORRBOTTENS LÄN</t>
        </is>
      </c>
      <c r="E204" t="inlineStr">
        <is>
          <t>GÄLLIVARE</t>
        </is>
      </c>
      <c r="G204" t="n">
        <v>0.2</v>
      </c>
      <c r="H204" t="n">
        <v>0</v>
      </c>
      <c r="I204" t="n">
        <v>0</v>
      </c>
      <c r="J204" t="n">
        <v>0</v>
      </c>
      <c r="K204" t="n">
        <v>0</v>
      </c>
      <c r="L204" t="n">
        <v>0</v>
      </c>
      <c r="M204" t="n">
        <v>0</v>
      </c>
      <c r="N204" t="n">
        <v>0</v>
      </c>
      <c r="O204" t="n">
        <v>0</v>
      </c>
      <c r="P204" t="n">
        <v>0</v>
      </c>
      <c r="Q204" t="n">
        <v>0</v>
      </c>
      <c r="R204" s="2" t="inlineStr"/>
    </row>
    <row r="205" ht="15" customHeight="1">
      <c r="A205" t="inlineStr">
        <is>
          <t>A 22780-2020</t>
        </is>
      </c>
      <c r="B205" s="1" t="n">
        <v>43958</v>
      </c>
      <c r="C205" s="1" t="n">
        <v>45566</v>
      </c>
      <c r="D205" t="inlineStr">
        <is>
          <t>NORRBOTTENS LÄN</t>
        </is>
      </c>
      <c r="E205" t="inlineStr">
        <is>
          <t>GÄLLIVARE</t>
        </is>
      </c>
      <c r="G205" t="n">
        <v>0.3</v>
      </c>
      <c r="H205" t="n">
        <v>0</v>
      </c>
      <c r="I205" t="n">
        <v>0</v>
      </c>
      <c r="J205" t="n">
        <v>0</v>
      </c>
      <c r="K205" t="n">
        <v>0</v>
      </c>
      <c r="L205" t="n">
        <v>0</v>
      </c>
      <c r="M205" t="n">
        <v>0</v>
      </c>
      <c r="N205" t="n">
        <v>0</v>
      </c>
      <c r="O205" t="n">
        <v>0</v>
      </c>
      <c r="P205" t="n">
        <v>0</v>
      </c>
      <c r="Q205" t="n">
        <v>0</v>
      </c>
      <c r="R205" s="2" t="inlineStr"/>
    </row>
    <row r="206" ht="15" customHeight="1">
      <c r="A206" t="inlineStr">
        <is>
          <t>A 22786-2020</t>
        </is>
      </c>
      <c r="B206" s="1" t="n">
        <v>43958</v>
      </c>
      <c r="C206" s="1" t="n">
        <v>45566</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22774-2020</t>
        </is>
      </c>
      <c r="B207" s="1" t="n">
        <v>43958</v>
      </c>
      <c r="C207" s="1" t="n">
        <v>45566</v>
      </c>
      <c r="D207" t="inlineStr">
        <is>
          <t>NORRBOTTENS LÄN</t>
        </is>
      </c>
      <c r="E207" t="inlineStr">
        <is>
          <t>GÄLLIVARE</t>
        </is>
      </c>
      <c r="G207" t="n">
        <v>0.1</v>
      </c>
      <c r="H207" t="n">
        <v>0</v>
      </c>
      <c r="I207" t="n">
        <v>0</v>
      </c>
      <c r="J207" t="n">
        <v>0</v>
      </c>
      <c r="K207" t="n">
        <v>0</v>
      </c>
      <c r="L207" t="n">
        <v>0</v>
      </c>
      <c r="M207" t="n">
        <v>0</v>
      </c>
      <c r="N207" t="n">
        <v>0</v>
      </c>
      <c r="O207" t="n">
        <v>0</v>
      </c>
      <c r="P207" t="n">
        <v>0</v>
      </c>
      <c r="Q207" t="n">
        <v>0</v>
      </c>
      <c r="R207" s="2" t="inlineStr"/>
    </row>
    <row r="208" ht="15" customHeight="1">
      <c r="A208" t="inlineStr">
        <is>
          <t>A 22784-2020</t>
        </is>
      </c>
      <c r="B208" s="1" t="n">
        <v>43958</v>
      </c>
      <c r="C208" s="1" t="n">
        <v>45566</v>
      </c>
      <c r="D208" t="inlineStr">
        <is>
          <t>NORRBOTTENS LÄN</t>
        </is>
      </c>
      <c r="E208" t="inlineStr">
        <is>
          <t>GÄLLIVARE</t>
        </is>
      </c>
      <c r="G208" t="n">
        <v>0.4</v>
      </c>
      <c r="H208" t="n">
        <v>0</v>
      </c>
      <c r="I208" t="n">
        <v>0</v>
      </c>
      <c r="J208" t="n">
        <v>0</v>
      </c>
      <c r="K208" t="n">
        <v>0</v>
      </c>
      <c r="L208" t="n">
        <v>0</v>
      </c>
      <c r="M208" t="n">
        <v>0</v>
      </c>
      <c r="N208" t="n">
        <v>0</v>
      </c>
      <c r="O208" t="n">
        <v>0</v>
      </c>
      <c r="P208" t="n">
        <v>0</v>
      </c>
      <c r="Q208" t="n">
        <v>0</v>
      </c>
      <c r="R208" s="2" t="inlineStr"/>
    </row>
    <row r="209" ht="15" customHeight="1">
      <c r="A209" t="inlineStr">
        <is>
          <t>A 22782-2020</t>
        </is>
      </c>
      <c r="B209" s="1" t="n">
        <v>43958</v>
      </c>
      <c r="C209" s="1" t="n">
        <v>45566</v>
      </c>
      <c r="D209" t="inlineStr">
        <is>
          <t>NORRBOTTENS LÄN</t>
        </is>
      </c>
      <c r="E209" t="inlineStr">
        <is>
          <t>GÄLLIVARE</t>
        </is>
      </c>
      <c r="G209" t="n">
        <v>6.9</v>
      </c>
      <c r="H209" t="n">
        <v>0</v>
      </c>
      <c r="I209" t="n">
        <v>0</v>
      </c>
      <c r="J209" t="n">
        <v>0</v>
      </c>
      <c r="K209" t="n">
        <v>0</v>
      </c>
      <c r="L209" t="n">
        <v>0</v>
      </c>
      <c r="M209" t="n">
        <v>0</v>
      </c>
      <c r="N209" t="n">
        <v>0</v>
      </c>
      <c r="O209" t="n">
        <v>0</v>
      </c>
      <c r="P209" t="n">
        <v>0</v>
      </c>
      <c r="Q209" t="n">
        <v>0</v>
      </c>
      <c r="R209" s="2" t="inlineStr"/>
    </row>
    <row r="210" ht="15" customHeight="1">
      <c r="A210" t="inlineStr">
        <is>
          <t>A 22177-2020</t>
        </is>
      </c>
      <c r="B210" s="1" t="n">
        <v>43959</v>
      </c>
      <c r="C210" s="1" t="n">
        <v>45566</v>
      </c>
      <c r="D210" t="inlineStr">
        <is>
          <t>NORRBOTTENS LÄN</t>
        </is>
      </c>
      <c r="E210" t="inlineStr">
        <is>
          <t>GÄLLIVARE</t>
        </is>
      </c>
      <c r="G210" t="n">
        <v>14.2</v>
      </c>
      <c r="H210" t="n">
        <v>0</v>
      </c>
      <c r="I210" t="n">
        <v>0</v>
      </c>
      <c r="J210" t="n">
        <v>0</v>
      </c>
      <c r="K210" t="n">
        <v>0</v>
      </c>
      <c r="L210" t="n">
        <v>0</v>
      </c>
      <c r="M210" t="n">
        <v>0</v>
      </c>
      <c r="N210" t="n">
        <v>0</v>
      </c>
      <c r="O210" t="n">
        <v>0</v>
      </c>
      <c r="P210" t="n">
        <v>0</v>
      </c>
      <c r="Q210" t="n">
        <v>0</v>
      </c>
      <c r="R210" s="2" t="inlineStr"/>
    </row>
    <row r="211" ht="15" customHeight="1">
      <c r="A211" t="inlineStr">
        <is>
          <t>A 24241-2020</t>
        </is>
      </c>
      <c r="B211" s="1" t="n">
        <v>43976</v>
      </c>
      <c r="C211" s="1" t="n">
        <v>45566</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26850-2020</t>
        </is>
      </c>
      <c r="B212" s="1" t="n">
        <v>43987</v>
      </c>
      <c r="C212" s="1" t="n">
        <v>45566</v>
      </c>
      <c r="D212" t="inlineStr">
        <is>
          <t>NORRBOTTENS LÄN</t>
        </is>
      </c>
      <c r="E212" t="inlineStr">
        <is>
          <t>GÄLLIVARE</t>
        </is>
      </c>
      <c r="F212" t="inlineStr">
        <is>
          <t>Allmännings- och besparingsskogar</t>
        </is>
      </c>
      <c r="G212" t="n">
        <v>2.1</v>
      </c>
      <c r="H212" t="n">
        <v>0</v>
      </c>
      <c r="I212" t="n">
        <v>0</v>
      </c>
      <c r="J212" t="n">
        <v>0</v>
      </c>
      <c r="K212" t="n">
        <v>0</v>
      </c>
      <c r="L212" t="n">
        <v>0</v>
      </c>
      <c r="M212" t="n">
        <v>0</v>
      </c>
      <c r="N212" t="n">
        <v>0</v>
      </c>
      <c r="O212" t="n">
        <v>0</v>
      </c>
      <c r="P212" t="n">
        <v>0</v>
      </c>
      <c r="Q212" t="n">
        <v>0</v>
      </c>
      <c r="R212" s="2" t="inlineStr"/>
    </row>
    <row r="213" ht="15" customHeight="1">
      <c r="A213" t="inlineStr">
        <is>
          <t>A 29589-2020</t>
        </is>
      </c>
      <c r="B213" s="1" t="n">
        <v>44004</v>
      </c>
      <c r="C213" s="1" t="n">
        <v>45566</v>
      </c>
      <c r="D213" t="inlineStr">
        <is>
          <t>NORRBOTTENS LÄN</t>
        </is>
      </c>
      <c r="E213" t="inlineStr">
        <is>
          <t>GÄLLIVARE</t>
        </is>
      </c>
      <c r="G213" t="n">
        <v>3.7</v>
      </c>
      <c r="H213" t="n">
        <v>0</v>
      </c>
      <c r="I213" t="n">
        <v>0</v>
      </c>
      <c r="J213" t="n">
        <v>0</v>
      </c>
      <c r="K213" t="n">
        <v>0</v>
      </c>
      <c r="L213" t="n">
        <v>0</v>
      </c>
      <c r="M213" t="n">
        <v>0</v>
      </c>
      <c r="N213" t="n">
        <v>0</v>
      </c>
      <c r="O213" t="n">
        <v>0</v>
      </c>
      <c r="P213" t="n">
        <v>0</v>
      </c>
      <c r="Q213" t="n">
        <v>0</v>
      </c>
      <c r="R213" s="2" t="inlineStr"/>
    </row>
    <row r="214" ht="15" customHeight="1">
      <c r="A214" t="inlineStr">
        <is>
          <t>A 29981-2020</t>
        </is>
      </c>
      <c r="B214" s="1" t="n">
        <v>44006</v>
      </c>
      <c r="C214" s="1" t="n">
        <v>45566</v>
      </c>
      <c r="D214" t="inlineStr">
        <is>
          <t>NORRBOTTENS LÄN</t>
        </is>
      </c>
      <c r="E214" t="inlineStr">
        <is>
          <t>GÄLLIVARE</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row>
    <row r="215" ht="15" customHeight="1">
      <c r="A215" t="inlineStr">
        <is>
          <t>A 32776-2020</t>
        </is>
      </c>
      <c r="B215" s="1" t="n">
        <v>44019</v>
      </c>
      <c r="C215" s="1" t="n">
        <v>45566</v>
      </c>
      <c r="D215" t="inlineStr">
        <is>
          <t>NORRBOTTENS LÄN</t>
        </is>
      </c>
      <c r="E215" t="inlineStr">
        <is>
          <t>GÄLLIVARE</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33595-2020</t>
        </is>
      </c>
      <c r="B216" s="1" t="n">
        <v>44025</v>
      </c>
      <c r="C216" s="1" t="n">
        <v>45566</v>
      </c>
      <c r="D216" t="inlineStr">
        <is>
          <t>NORRBOTTENS LÄN</t>
        </is>
      </c>
      <c r="E216" t="inlineStr">
        <is>
          <t>GÄLLIVARE</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33981-2020</t>
        </is>
      </c>
      <c r="B217" s="1" t="n">
        <v>44028</v>
      </c>
      <c r="C217" s="1" t="n">
        <v>45566</v>
      </c>
      <c r="D217" t="inlineStr">
        <is>
          <t>NORRBOTTENS LÄN</t>
        </is>
      </c>
      <c r="E217" t="inlineStr">
        <is>
          <t>GÄLLIVARE</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34663-2020</t>
        </is>
      </c>
      <c r="B218" s="1" t="n">
        <v>44034</v>
      </c>
      <c r="C218" s="1" t="n">
        <v>45566</v>
      </c>
      <c r="D218" t="inlineStr">
        <is>
          <t>NORRBOTTENS LÄN</t>
        </is>
      </c>
      <c r="E218" t="inlineStr">
        <is>
          <t>GÄLLIVARE</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36333-2020</t>
        </is>
      </c>
      <c r="B219" s="1" t="n">
        <v>44049</v>
      </c>
      <c r="C219" s="1" t="n">
        <v>45566</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36578-2020</t>
        </is>
      </c>
      <c r="B220" s="1" t="n">
        <v>44050</v>
      </c>
      <c r="C220" s="1" t="n">
        <v>45566</v>
      </c>
      <c r="D220" t="inlineStr">
        <is>
          <t>NORRBOTTENS LÄN</t>
        </is>
      </c>
      <c r="E220" t="inlineStr">
        <is>
          <t>GÄLLIVARE</t>
        </is>
      </c>
      <c r="G220" t="n">
        <v>0.6</v>
      </c>
      <c r="H220" t="n">
        <v>0</v>
      </c>
      <c r="I220" t="n">
        <v>0</v>
      </c>
      <c r="J220" t="n">
        <v>0</v>
      </c>
      <c r="K220" t="n">
        <v>0</v>
      </c>
      <c r="L220" t="n">
        <v>0</v>
      </c>
      <c r="M220" t="n">
        <v>0</v>
      </c>
      <c r="N220" t="n">
        <v>0</v>
      </c>
      <c r="O220" t="n">
        <v>0</v>
      </c>
      <c r="P220" t="n">
        <v>0</v>
      </c>
      <c r="Q220" t="n">
        <v>0</v>
      </c>
      <c r="R220" s="2" t="inlineStr"/>
    </row>
    <row r="221" ht="15" customHeight="1">
      <c r="A221" t="inlineStr">
        <is>
          <t>A 37392-2020</t>
        </is>
      </c>
      <c r="B221" s="1" t="n">
        <v>44055</v>
      </c>
      <c r="C221" s="1" t="n">
        <v>45566</v>
      </c>
      <c r="D221" t="inlineStr">
        <is>
          <t>NORRBOTTENS LÄN</t>
        </is>
      </c>
      <c r="E221" t="inlineStr">
        <is>
          <t>GÄLLIVARE</t>
        </is>
      </c>
      <c r="F221" t="inlineStr">
        <is>
          <t>Allmännings- och besparingsskogar</t>
        </is>
      </c>
      <c r="G221" t="n">
        <v>8.4</v>
      </c>
      <c r="H221" t="n">
        <v>0</v>
      </c>
      <c r="I221" t="n">
        <v>0</v>
      </c>
      <c r="J221" t="n">
        <v>0</v>
      </c>
      <c r="K221" t="n">
        <v>0</v>
      </c>
      <c r="L221" t="n">
        <v>0</v>
      </c>
      <c r="M221" t="n">
        <v>0</v>
      </c>
      <c r="N221" t="n">
        <v>0</v>
      </c>
      <c r="O221" t="n">
        <v>0</v>
      </c>
      <c r="P221" t="n">
        <v>0</v>
      </c>
      <c r="Q221" t="n">
        <v>0</v>
      </c>
      <c r="R221" s="2" t="inlineStr"/>
    </row>
    <row r="222" ht="15" customHeight="1">
      <c r="A222" t="inlineStr">
        <is>
          <t>A 38115-2020</t>
        </is>
      </c>
      <c r="B222" s="1" t="n">
        <v>44058</v>
      </c>
      <c r="C222" s="1" t="n">
        <v>45566</v>
      </c>
      <c r="D222" t="inlineStr">
        <is>
          <t>NORRBOTTENS LÄN</t>
        </is>
      </c>
      <c r="E222" t="inlineStr">
        <is>
          <t>GÄLLIVARE</t>
        </is>
      </c>
      <c r="G222" t="n">
        <v>2.6</v>
      </c>
      <c r="H222" t="n">
        <v>0</v>
      </c>
      <c r="I222" t="n">
        <v>0</v>
      </c>
      <c r="J222" t="n">
        <v>0</v>
      </c>
      <c r="K222" t="n">
        <v>0</v>
      </c>
      <c r="L222" t="n">
        <v>0</v>
      </c>
      <c r="M222" t="n">
        <v>0</v>
      </c>
      <c r="N222" t="n">
        <v>0</v>
      </c>
      <c r="O222" t="n">
        <v>0</v>
      </c>
      <c r="P222" t="n">
        <v>0</v>
      </c>
      <c r="Q222" t="n">
        <v>0</v>
      </c>
      <c r="R222" s="2" t="inlineStr"/>
    </row>
    <row r="223" ht="15" customHeight="1">
      <c r="A223" t="inlineStr">
        <is>
          <t>A 38114-2020</t>
        </is>
      </c>
      <c r="B223" s="1" t="n">
        <v>44058</v>
      </c>
      <c r="C223" s="1" t="n">
        <v>45566</v>
      </c>
      <c r="D223" t="inlineStr">
        <is>
          <t>NORRBOTTENS LÄN</t>
        </is>
      </c>
      <c r="E223" t="inlineStr">
        <is>
          <t>GÄLLIVARE</t>
        </is>
      </c>
      <c r="G223" t="n">
        <v>0.2</v>
      </c>
      <c r="H223" t="n">
        <v>0</v>
      </c>
      <c r="I223" t="n">
        <v>0</v>
      </c>
      <c r="J223" t="n">
        <v>0</v>
      </c>
      <c r="K223" t="n">
        <v>0</v>
      </c>
      <c r="L223" t="n">
        <v>0</v>
      </c>
      <c r="M223" t="n">
        <v>0</v>
      </c>
      <c r="N223" t="n">
        <v>0</v>
      </c>
      <c r="O223" t="n">
        <v>0</v>
      </c>
      <c r="P223" t="n">
        <v>0</v>
      </c>
      <c r="Q223" t="n">
        <v>0</v>
      </c>
      <c r="R223" s="2" t="inlineStr"/>
    </row>
    <row r="224" ht="15" customHeight="1">
      <c r="A224" t="inlineStr">
        <is>
          <t>A 39248-2020</t>
        </is>
      </c>
      <c r="B224" s="1" t="n">
        <v>44063</v>
      </c>
      <c r="C224" s="1" t="n">
        <v>45566</v>
      </c>
      <c r="D224" t="inlineStr">
        <is>
          <t>NORRBOTTENS LÄN</t>
        </is>
      </c>
      <c r="E224" t="inlineStr">
        <is>
          <t>GÄLLIVARE</t>
        </is>
      </c>
      <c r="G224" t="n">
        <v>0.6</v>
      </c>
      <c r="H224" t="n">
        <v>0</v>
      </c>
      <c r="I224" t="n">
        <v>0</v>
      </c>
      <c r="J224" t="n">
        <v>0</v>
      </c>
      <c r="K224" t="n">
        <v>0</v>
      </c>
      <c r="L224" t="n">
        <v>0</v>
      </c>
      <c r="M224" t="n">
        <v>0</v>
      </c>
      <c r="N224" t="n">
        <v>0</v>
      </c>
      <c r="O224" t="n">
        <v>0</v>
      </c>
      <c r="P224" t="n">
        <v>0</v>
      </c>
      <c r="Q224" t="n">
        <v>0</v>
      </c>
      <c r="R224" s="2" t="inlineStr"/>
    </row>
    <row r="225" ht="15" customHeight="1">
      <c r="A225" t="inlineStr">
        <is>
          <t>A 39319-2020</t>
        </is>
      </c>
      <c r="B225" s="1" t="n">
        <v>44063</v>
      </c>
      <c r="C225" s="1" t="n">
        <v>45566</v>
      </c>
      <c r="D225" t="inlineStr">
        <is>
          <t>NORRBOTTENS LÄN</t>
        </is>
      </c>
      <c r="E225" t="inlineStr">
        <is>
          <t>GÄLLIVARE</t>
        </is>
      </c>
      <c r="G225" t="n">
        <v>1.8</v>
      </c>
      <c r="H225" t="n">
        <v>0</v>
      </c>
      <c r="I225" t="n">
        <v>0</v>
      </c>
      <c r="J225" t="n">
        <v>0</v>
      </c>
      <c r="K225" t="n">
        <v>0</v>
      </c>
      <c r="L225" t="n">
        <v>0</v>
      </c>
      <c r="M225" t="n">
        <v>0</v>
      </c>
      <c r="N225" t="n">
        <v>0</v>
      </c>
      <c r="O225" t="n">
        <v>0</v>
      </c>
      <c r="P225" t="n">
        <v>0</v>
      </c>
      <c r="Q225" t="n">
        <v>0</v>
      </c>
      <c r="R225" s="2" t="inlineStr"/>
    </row>
    <row r="226" ht="15" customHeight="1">
      <c r="A226" t="inlineStr">
        <is>
          <t>A 39330-2020</t>
        </is>
      </c>
      <c r="B226" s="1" t="n">
        <v>44063</v>
      </c>
      <c r="C226" s="1" t="n">
        <v>45566</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39331-2020</t>
        </is>
      </c>
      <c r="B227" s="1" t="n">
        <v>44063</v>
      </c>
      <c r="C227" s="1" t="n">
        <v>45566</v>
      </c>
      <c r="D227" t="inlineStr">
        <is>
          <t>NORRBOTTENS LÄN</t>
        </is>
      </c>
      <c r="E227" t="inlineStr">
        <is>
          <t>GÄLLIVARE</t>
        </is>
      </c>
      <c r="G227" t="n">
        <v>0.6</v>
      </c>
      <c r="H227" t="n">
        <v>0</v>
      </c>
      <c r="I227" t="n">
        <v>0</v>
      </c>
      <c r="J227" t="n">
        <v>0</v>
      </c>
      <c r="K227" t="n">
        <v>0</v>
      </c>
      <c r="L227" t="n">
        <v>0</v>
      </c>
      <c r="M227" t="n">
        <v>0</v>
      </c>
      <c r="N227" t="n">
        <v>0</v>
      </c>
      <c r="O227" t="n">
        <v>0</v>
      </c>
      <c r="P227" t="n">
        <v>0</v>
      </c>
      <c r="Q227" t="n">
        <v>0</v>
      </c>
      <c r="R227" s="2" t="inlineStr"/>
    </row>
    <row r="228" ht="15" customHeight="1">
      <c r="A228" t="inlineStr">
        <is>
          <t>A 40899-2020</t>
        </is>
      </c>
      <c r="B228" s="1" t="n">
        <v>44070</v>
      </c>
      <c r="C228" s="1" t="n">
        <v>45566</v>
      </c>
      <c r="D228" t="inlineStr">
        <is>
          <t>NORRBOTTENS LÄN</t>
        </is>
      </c>
      <c r="E228" t="inlineStr">
        <is>
          <t>GÄLLIVARE</t>
        </is>
      </c>
      <c r="G228" t="n">
        <v>3.8</v>
      </c>
      <c r="H228" t="n">
        <v>0</v>
      </c>
      <c r="I228" t="n">
        <v>0</v>
      </c>
      <c r="J228" t="n">
        <v>0</v>
      </c>
      <c r="K228" t="n">
        <v>0</v>
      </c>
      <c r="L228" t="n">
        <v>0</v>
      </c>
      <c r="M228" t="n">
        <v>0</v>
      </c>
      <c r="N228" t="n">
        <v>0</v>
      </c>
      <c r="O228" t="n">
        <v>0</v>
      </c>
      <c r="P228" t="n">
        <v>0</v>
      </c>
      <c r="Q228" t="n">
        <v>0</v>
      </c>
      <c r="R228" s="2" t="inlineStr"/>
    </row>
    <row r="229" ht="15" customHeight="1">
      <c r="A229" t="inlineStr">
        <is>
          <t>A 41736-2020</t>
        </is>
      </c>
      <c r="B229" s="1" t="n">
        <v>44070</v>
      </c>
      <c r="C229" s="1" t="n">
        <v>45566</v>
      </c>
      <c r="D229" t="inlineStr">
        <is>
          <t>NORRBOTTENS LÄN</t>
        </is>
      </c>
      <c r="E229" t="inlineStr">
        <is>
          <t>GÄLLIVARE</t>
        </is>
      </c>
      <c r="F229" t="inlineStr">
        <is>
          <t>Allmännings- och besparingsskogar</t>
        </is>
      </c>
      <c r="G229" t="n">
        <v>18</v>
      </c>
      <c r="H229" t="n">
        <v>0</v>
      </c>
      <c r="I229" t="n">
        <v>0</v>
      </c>
      <c r="J229" t="n">
        <v>0</v>
      </c>
      <c r="K229" t="n">
        <v>0</v>
      </c>
      <c r="L229" t="n">
        <v>0</v>
      </c>
      <c r="M229" t="n">
        <v>0</v>
      </c>
      <c r="N229" t="n">
        <v>0</v>
      </c>
      <c r="O229" t="n">
        <v>0</v>
      </c>
      <c r="P229" t="n">
        <v>0</v>
      </c>
      <c r="Q229" t="n">
        <v>0</v>
      </c>
      <c r="R229" s="2" t="inlineStr"/>
    </row>
    <row r="230" ht="15" customHeight="1">
      <c r="A230" t="inlineStr">
        <is>
          <t>A 41692-2020</t>
        </is>
      </c>
      <c r="B230" s="1" t="n">
        <v>44070</v>
      </c>
      <c r="C230" s="1" t="n">
        <v>45566</v>
      </c>
      <c r="D230" t="inlineStr">
        <is>
          <t>NORRBOTTENS LÄN</t>
        </is>
      </c>
      <c r="E230" t="inlineStr">
        <is>
          <t>GÄLLIVARE</t>
        </is>
      </c>
      <c r="F230" t="inlineStr">
        <is>
          <t>Allmännings- och besparingsskogar</t>
        </is>
      </c>
      <c r="G230" t="n">
        <v>27.7</v>
      </c>
      <c r="H230" t="n">
        <v>0</v>
      </c>
      <c r="I230" t="n">
        <v>0</v>
      </c>
      <c r="J230" t="n">
        <v>0</v>
      </c>
      <c r="K230" t="n">
        <v>0</v>
      </c>
      <c r="L230" t="n">
        <v>0</v>
      </c>
      <c r="M230" t="n">
        <v>0</v>
      </c>
      <c r="N230" t="n">
        <v>0</v>
      </c>
      <c r="O230" t="n">
        <v>0</v>
      </c>
      <c r="P230" t="n">
        <v>0</v>
      </c>
      <c r="Q230" t="n">
        <v>0</v>
      </c>
      <c r="R230" s="2" t="inlineStr"/>
    </row>
    <row r="231" ht="15" customHeight="1">
      <c r="A231" t="inlineStr">
        <is>
          <t>A 43909-2020</t>
        </is>
      </c>
      <c r="B231" s="1" t="n">
        <v>44081</v>
      </c>
      <c r="C231" s="1" t="n">
        <v>45566</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43910-2020</t>
        </is>
      </c>
      <c r="B232" s="1" t="n">
        <v>44081</v>
      </c>
      <c r="C232" s="1" t="n">
        <v>45566</v>
      </c>
      <c r="D232" t="inlineStr">
        <is>
          <t>NORRBOTTENS LÄN</t>
        </is>
      </c>
      <c r="E232" t="inlineStr">
        <is>
          <t>GÄLLIVARE</t>
        </is>
      </c>
      <c r="G232" t="n">
        <v>3.4</v>
      </c>
      <c r="H232" t="n">
        <v>0</v>
      </c>
      <c r="I232" t="n">
        <v>0</v>
      </c>
      <c r="J232" t="n">
        <v>0</v>
      </c>
      <c r="K232" t="n">
        <v>0</v>
      </c>
      <c r="L232" t="n">
        <v>0</v>
      </c>
      <c r="M232" t="n">
        <v>0</v>
      </c>
      <c r="N232" t="n">
        <v>0</v>
      </c>
      <c r="O232" t="n">
        <v>0</v>
      </c>
      <c r="P232" t="n">
        <v>0</v>
      </c>
      <c r="Q232" t="n">
        <v>0</v>
      </c>
      <c r="R232" s="2" t="inlineStr"/>
    </row>
    <row r="233" ht="15" customHeight="1">
      <c r="A233" t="inlineStr">
        <is>
          <t>A 46133-2020</t>
        </is>
      </c>
      <c r="B233" s="1" t="n">
        <v>44091</v>
      </c>
      <c r="C233" s="1" t="n">
        <v>45566</v>
      </c>
      <c r="D233" t="inlineStr">
        <is>
          <t>NORRBOTTENS LÄN</t>
        </is>
      </c>
      <c r="E233" t="inlineStr">
        <is>
          <t>GÄLLIVARE</t>
        </is>
      </c>
      <c r="F233" t="inlineStr">
        <is>
          <t>SCA</t>
        </is>
      </c>
      <c r="G233" t="n">
        <v>8.1</v>
      </c>
      <c r="H233" t="n">
        <v>0</v>
      </c>
      <c r="I233" t="n">
        <v>0</v>
      </c>
      <c r="J233" t="n">
        <v>0</v>
      </c>
      <c r="K233" t="n">
        <v>0</v>
      </c>
      <c r="L233" t="n">
        <v>0</v>
      </c>
      <c r="M233" t="n">
        <v>0</v>
      </c>
      <c r="N233" t="n">
        <v>0</v>
      </c>
      <c r="O233" t="n">
        <v>0</v>
      </c>
      <c r="P233" t="n">
        <v>0</v>
      </c>
      <c r="Q233" t="n">
        <v>0</v>
      </c>
      <c r="R233" s="2" t="inlineStr"/>
    </row>
    <row r="234" ht="15" customHeight="1">
      <c r="A234" t="inlineStr">
        <is>
          <t>A 46131-2020</t>
        </is>
      </c>
      <c r="B234" s="1" t="n">
        <v>44091</v>
      </c>
      <c r="C234" s="1" t="n">
        <v>45566</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46368-2020</t>
        </is>
      </c>
      <c r="B235" s="1" t="n">
        <v>44092</v>
      </c>
      <c r="C235" s="1" t="n">
        <v>45566</v>
      </c>
      <c r="D235" t="inlineStr">
        <is>
          <t>NORRBOTTENS LÄN</t>
        </is>
      </c>
      <c r="E235" t="inlineStr">
        <is>
          <t>GÄLLIVARE</t>
        </is>
      </c>
      <c r="F235" t="inlineStr">
        <is>
          <t>SCA</t>
        </is>
      </c>
      <c r="G235" t="n">
        <v>45.9</v>
      </c>
      <c r="H235" t="n">
        <v>0</v>
      </c>
      <c r="I235" t="n">
        <v>0</v>
      </c>
      <c r="J235" t="n">
        <v>0</v>
      </c>
      <c r="K235" t="n">
        <v>0</v>
      </c>
      <c r="L235" t="n">
        <v>0</v>
      </c>
      <c r="M235" t="n">
        <v>0</v>
      </c>
      <c r="N235" t="n">
        <v>0</v>
      </c>
      <c r="O235" t="n">
        <v>0</v>
      </c>
      <c r="P235" t="n">
        <v>0</v>
      </c>
      <c r="Q235" t="n">
        <v>0</v>
      </c>
      <c r="R235" s="2" t="inlineStr"/>
    </row>
    <row r="236" ht="15" customHeight="1">
      <c r="A236" t="inlineStr">
        <is>
          <t>A 47311-2020</t>
        </is>
      </c>
      <c r="B236" s="1" t="n">
        <v>44095</v>
      </c>
      <c r="C236" s="1" t="n">
        <v>45566</v>
      </c>
      <c r="D236" t="inlineStr">
        <is>
          <t>NORRBOTTENS LÄN</t>
        </is>
      </c>
      <c r="E236" t="inlineStr">
        <is>
          <t>GÄLLIVARE</t>
        </is>
      </c>
      <c r="G236" t="n">
        <v>1.1</v>
      </c>
      <c r="H236" t="n">
        <v>0</v>
      </c>
      <c r="I236" t="n">
        <v>0</v>
      </c>
      <c r="J236" t="n">
        <v>0</v>
      </c>
      <c r="K236" t="n">
        <v>0</v>
      </c>
      <c r="L236" t="n">
        <v>0</v>
      </c>
      <c r="M236" t="n">
        <v>0</v>
      </c>
      <c r="N236" t="n">
        <v>0</v>
      </c>
      <c r="O236" t="n">
        <v>0</v>
      </c>
      <c r="P236" t="n">
        <v>0</v>
      </c>
      <c r="Q236" t="n">
        <v>0</v>
      </c>
      <c r="R236" s="2" t="inlineStr"/>
    </row>
    <row r="237" ht="15" customHeight="1">
      <c r="A237" t="inlineStr">
        <is>
          <t>A 47379-2020</t>
        </is>
      </c>
      <c r="B237" s="1" t="n">
        <v>44097</v>
      </c>
      <c r="C237" s="1" t="n">
        <v>45566</v>
      </c>
      <c r="D237" t="inlineStr">
        <is>
          <t>NORRBOTTENS LÄN</t>
        </is>
      </c>
      <c r="E237" t="inlineStr">
        <is>
          <t>GÄLLIVARE</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49013-2020</t>
        </is>
      </c>
      <c r="B238" s="1" t="n">
        <v>44104</v>
      </c>
      <c r="C238" s="1" t="n">
        <v>45566</v>
      </c>
      <c r="D238" t="inlineStr">
        <is>
          <t>NORRBOTTENS LÄN</t>
        </is>
      </c>
      <c r="E238" t="inlineStr">
        <is>
          <t>GÄLLIVARE</t>
        </is>
      </c>
      <c r="G238" t="n">
        <v>2.2</v>
      </c>
      <c r="H238" t="n">
        <v>0</v>
      </c>
      <c r="I238" t="n">
        <v>0</v>
      </c>
      <c r="J238" t="n">
        <v>0</v>
      </c>
      <c r="K238" t="n">
        <v>0</v>
      </c>
      <c r="L238" t="n">
        <v>0</v>
      </c>
      <c r="M238" t="n">
        <v>0</v>
      </c>
      <c r="N238" t="n">
        <v>0</v>
      </c>
      <c r="O238" t="n">
        <v>0</v>
      </c>
      <c r="P238" t="n">
        <v>0</v>
      </c>
      <c r="Q238" t="n">
        <v>0</v>
      </c>
      <c r="R238" s="2" t="inlineStr"/>
    </row>
    <row r="239" ht="15" customHeight="1">
      <c r="A239" t="inlineStr">
        <is>
          <t>A 49019-2020</t>
        </is>
      </c>
      <c r="B239" s="1" t="n">
        <v>44104</v>
      </c>
      <c r="C239" s="1" t="n">
        <v>45566</v>
      </c>
      <c r="D239" t="inlineStr">
        <is>
          <t>NORRBOTTENS LÄN</t>
        </is>
      </c>
      <c r="E239" t="inlineStr">
        <is>
          <t>GÄLLIVARE</t>
        </is>
      </c>
      <c r="G239" t="n">
        <v>2.1</v>
      </c>
      <c r="H239" t="n">
        <v>0</v>
      </c>
      <c r="I239" t="n">
        <v>0</v>
      </c>
      <c r="J239" t="n">
        <v>0</v>
      </c>
      <c r="K239" t="n">
        <v>0</v>
      </c>
      <c r="L239" t="n">
        <v>0</v>
      </c>
      <c r="M239" t="n">
        <v>0</v>
      </c>
      <c r="N239" t="n">
        <v>0</v>
      </c>
      <c r="O239" t="n">
        <v>0</v>
      </c>
      <c r="P239" t="n">
        <v>0</v>
      </c>
      <c r="Q239" t="n">
        <v>0</v>
      </c>
      <c r="R239" s="2" t="inlineStr"/>
    </row>
    <row r="240" ht="15" customHeight="1">
      <c r="A240" t="inlineStr">
        <is>
          <t>A 51992-2020</t>
        </is>
      </c>
      <c r="B240" s="1" t="n">
        <v>44109</v>
      </c>
      <c r="C240" s="1" t="n">
        <v>45566</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51701-2020</t>
        </is>
      </c>
      <c r="B241" s="1" t="n">
        <v>44113</v>
      </c>
      <c r="C241" s="1" t="n">
        <v>45566</v>
      </c>
      <c r="D241" t="inlineStr">
        <is>
          <t>NORRBOTTENS LÄN</t>
        </is>
      </c>
      <c r="E241" t="inlineStr">
        <is>
          <t>GÄLLIVARE</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51706-2020</t>
        </is>
      </c>
      <c r="B242" s="1" t="n">
        <v>44113</v>
      </c>
      <c r="C242" s="1" t="n">
        <v>45566</v>
      </c>
      <c r="D242" t="inlineStr">
        <is>
          <t>NORRBOTTENS LÄN</t>
        </is>
      </c>
      <c r="E242" t="inlineStr">
        <is>
          <t>GÄLLIVARE</t>
        </is>
      </c>
      <c r="F242" t="inlineStr">
        <is>
          <t>SCA</t>
        </is>
      </c>
      <c r="G242" t="n">
        <v>7.3</v>
      </c>
      <c r="H242" t="n">
        <v>0</v>
      </c>
      <c r="I242" t="n">
        <v>0</v>
      </c>
      <c r="J242" t="n">
        <v>0</v>
      </c>
      <c r="K242" t="n">
        <v>0</v>
      </c>
      <c r="L242" t="n">
        <v>0</v>
      </c>
      <c r="M242" t="n">
        <v>0</v>
      </c>
      <c r="N242" t="n">
        <v>0</v>
      </c>
      <c r="O242" t="n">
        <v>0</v>
      </c>
      <c r="P242" t="n">
        <v>0</v>
      </c>
      <c r="Q242" t="n">
        <v>0</v>
      </c>
      <c r="R242" s="2" t="inlineStr"/>
    </row>
    <row r="243" ht="15" customHeight="1">
      <c r="A243" t="inlineStr">
        <is>
          <t>A 51700-2020</t>
        </is>
      </c>
      <c r="B243" s="1" t="n">
        <v>44113</v>
      </c>
      <c r="C243" s="1" t="n">
        <v>45566</v>
      </c>
      <c r="D243" t="inlineStr">
        <is>
          <t>NORRBOTTENS LÄN</t>
        </is>
      </c>
      <c r="E243" t="inlineStr">
        <is>
          <t>GÄLLIVARE</t>
        </is>
      </c>
      <c r="F243" t="inlineStr">
        <is>
          <t>SCA</t>
        </is>
      </c>
      <c r="G243" t="n">
        <v>6.8</v>
      </c>
      <c r="H243" t="n">
        <v>0</v>
      </c>
      <c r="I243" t="n">
        <v>0</v>
      </c>
      <c r="J243" t="n">
        <v>0</v>
      </c>
      <c r="K243" t="n">
        <v>0</v>
      </c>
      <c r="L243" t="n">
        <v>0</v>
      </c>
      <c r="M243" t="n">
        <v>0</v>
      </c>
      <c r="N243" t="n">
        <v>0</v>
      </c>
      <c r="O243" t="n">
        <v>0</v>
      </c>
      <c r="P243" t="n">
        <v>0</v>
      </c>
      <c r="Q243" t="n">
        <v>0</v>
      </c>
      <c r="R243" s="2" t="inlineStr"/>
    </row>
    <row r="244" ht="15" customHeight="1">
      <c r="A244" t="inlineStr">
        <is>
          <t>A 51713-2020</t>
        </is>
      </c>
      <c r="B244" s="1" t="n">
        <v>44113</v>
      </c>
      <c r="C244" s="1" t="n">
        <v>45566</v>
      </c>
      <c r="D244" t="inlineStr">
        <is>
          <t>NORRBOTTENS LÄN</t>
        </is>
      </c>
      <c r="E244" t="inlineStr">
        <is>
          <t>GÄLLIVARE</t>
        </is>
      </c>
      <c r="F244" t="inlineStr">
        <is>
          <t>SCA</t>
        </is>
      </c>
      <c r="G244" t="n">
        <v>8</v>
      </c>
      <c r="H244" t="n">
        <v>0</v>
      </c>
      <c r="I244" t="n">
        <v>0</v>
      </c>
      <c r="J244" t="n">
        <v>0</v>
      </c>
      <c r="K244" t="n">
        <v>0</v>
      </c>
      <c r="L244" t="n">
        <v>0</v>
      </c>
      <c r="M244" t="n">
        <v>0</v>
      </c>
      <c r="N244" t="n">
        <v>0</v>
      </c>
      <c r="O244" t="n">
        <v>0</v>
      </c>
      <c r="P244" t="n">
        <v>0</v>
      </c>
      <c r="Q244" t="n">
        <v>0</v>
      </c>
      <c r="R244" s="2" t="inlineStr"/>
    </row>
    <row r="245" ht="15" customHeight="1">
      <c r="A245" t="inlineStr">
        <is>
          <t>A 52061-2020</t>
        </is>
      </c>
      <c r="B245" s="1" t="n">
        <v>44116</v>
      </c>
      <c r="C245" s="1" t="n">
        <v>45566</v>
      </c>
      <c r="D245" t="inlineStr">
        <is>
          <t>NORRBOTTENS LÄN</t>
        </is>
      </c>
      <c r="E245" t="inlineStr">
        <is>
          <t>GÄLLIVARE</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52055-2020</t>
        </is>
      </c>
      <c r="B246" s="1" t="n">
        <v>44116</v>
      </c>
      <c r="C246" s="1" t="n">
        <v>45566</v>
      </c>
      <c r="D246" t="inlineStr">
        <is>
          <t>NORRBOTTENS LÄN</t>
        </is>
      </c>
      <c r="E246" t="inlineStr">
        <is>
          <t>GÄLLIVARE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55168-2020</t>
        </is>
      </c>
      <c r="B247" s="1" t="n">
        <v>44130</v>
      </c>
      <c r="C247" s="1" t="n">
        <v>45566</v>
      </c>
      <c r="D247" t="inlineStr">
        <is>
          <t>NORRBOTTENS LÄN</t>
        </is>
      </c>
      <c r="E247" t="inlineStr">
        <is>
          <t>GÄLLIVARE</t>
        </is>
      </c>
      <c r="G247" t="n">
        <v>0.7</v>
      </c>
      <c r="H247" t="n">
        <v>0</v>
      </c>
      <c r="I247" t="n">
        <v>0</v>
      </c>
      <c r="J247" t="n">
        <v>0</v>
      </c>
      <c r="K247" t="n">
        <v>0</v>
      </c>
      <c r="L247" t="n">
        <v>0</v>
      </c>
      <c r="M247" t="n">
        <v>0</v>
      </c>
      <c r="N247" t="n">
        <v>0</v>
      </c>
      <c r="O247" t="n">
        <v>0</v>
      </c>
      <c r="P247" t="n">
        <v>0</v>
      </c>
      <c r="Q247" t="n">
        <v>0</v>
      </c>
      <c r="R247" s="2" t="inlineStr"/>
    </row>
    <row r="248" ht="15" customHeight="1">
      <c r="A248" t="inlineStr">
        <is>
          <t>A 55180-2020</t>
        </is>
      </c>
      <c r="B248" s="1" t="n">
        <v>44130</v>
      </c>
      <c r="C248" s="1" t="n">
        <v>45566</v>
      </c>
      <c r="D248" t="inlineStr">
        <is>
          <t>NORRBOTTENS LÄN</t>
        </is>
      </c>
      <c r="E248" t="inlineStr">
        <is>
          <t>GÄLLIVARE</t>
        </is>
      </c>
      <c r="G248" t="n">
        <v>5.3</v>
      </c>
      <c r="H248" t="n">
        <v>0</v>
      </c>
      <c r="I248" t="n">
        <v>0</v>
      </c>
      <c r="J248" t="n">
        <v>0</v>
      </c>
      <c r="K248" t="n">
        <v>0</v>
      </c>
      <c r="L248" t="n">
        <v>0</v>
      </c>
      <c r="M248" t="n">
        <v>0</v>
      </c>
      <c r="N248" t="n">
        <v>0</v>
      </c>
      <c r="O248" t="n">
        <v>0</v>
      </c>
      <c r="P248" t="n">
        <v>0</v>
      </c>
      <c r="Q248" t="n">
        <v>0</v>
      </c>
      <c r="R248" s="2" t="inlineStr"/>
    </row>
    <row r="249" ht="15" customHeight="1">
      <c r="A249" t="inlineStr">
        <is>
          <t>A 58384-2020</t>
        </is>
      </c>
      <c r="B249" s="1" t="n">
        <v>44144</v>
      </c>
      <c r="C249" s="1" t="n">
        <v>45566</v>
      </c>
      <c r="D249" t="inlineStr">
        <is>
          <t>NORRBOTTENS LÄN</t>
        </is>
      </c>
      <c r="E249" t="inlineStr">
        <is>
          <t>GÄLLIVARE</t>
        </is>
      </c>
      <c r="F249" t="inlineStr">
        <is>
          <t>Allmännings- och besparingsskogar</t>
        </is>
      </c>
      <c r="G249" t="n">
        <v>7.1</v>
      </c>
      <c r="H249" t="n">
        <v>0</v>
      </c>
      <c r="I249" t="n">
        <v>0</v>
      </c>
      <c r="J249" t="n">
        <v>0</v>
      </c>
      <c r="K249" t="n">
        <v>0</v>
      </c>
      <c r="L249" t="n">
        <v>0</v>
      </c>
      <c r="M249" t="n">
        <v>0</v>
      </c>
      <c r="N249" t="n">
        <v>0</v>
      </c>
      <c r="O249" t="n">
        <v>0</v>
      </c>
      <c r="P249" t="n">
        <v>0</v>
      </c>
      <c r="Q249" t="n">
        <v>0</v>
      </c>
      <c r="R249" s="2" t="inlineStr"/>
    </row>
    <row r="250" ht="15" customHeight="1">
      <c r="A250" t="inlineStr">
        <is>
          <t>A 58409-2020</t>
        </is>
      </c>
      <c r="B250" s="1" t="n">
        <v>44144</v>
      </c>
      <c r="C250" s="1" t="n">
        <v>45566</v>
      </c>
      <c r="D250" t="inlineStr">
        <is>
          <t>NORRBOTTENS LÄN</t>
        </is>
      </c>
      <c r="E250" t="inlineStr">
        <is>
          <t>GÄLLIVARE</t>
        </is>
      </c>
      <c r="F250" t="inlineStr">
        <is>
          <t>Allmännings- och besparingsskogar</t>
        </is>
      </c>
      <c r="G250" t="n">
        <v>9.1</v>
      </c>
      <c r="H250" t="n">
        <v>0</v>
      </c>
      <c r="I250" t="n">
        <v>0</v>
      </c>
      <c r="J250" t="n">
        <v>0</v>
      </c>
      <c r="K250" t="n">
        <v>0</v>
      </c>
      <c r="L250" t="n">
        <v>0</v>
      </c>
      <c r="M250" t="n">
        <v>0</v>
      </c>
      <c r="N250" t="n">
        <v>0</v>
      </c>
      <c r="O250" t="n">
        <v>0</v>
      </c>
      <c r="P250" t="n">
        <v>0</v>
      </c>
      <c r="Q250" t="n">
        <v>0</v>
      </c>
      <c r="R250" s="2" t="inlineStr"/>
    </row>
    <row r="251" ht="15" customHeight="1">
      <c r="A251" t="inlineStr">
        <is>
          <t>A 65484-2020</t>
        </is>
      </c>
      <c r="B251" s="1" t="n">
        <v>44169</v>
      </c>
      <c r="C251" s="1" t="n">
        <v>45566</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291-2021</t>
        </is>
      </c>
      <c r="B252" s="1" t="n">
        <v>44200</v>
      </c>
      <c r="C252" s="1" t="n">
        <v>45566</v>
      </c>
      <c r="D252" t="inlineStr">
        <is>
          <t>NORRBOTTENS LÄN</t>
        </is>
      </c>
      <c r="E252" t="inlineStr">
        <is>
          <t>GÄLLIVARE</t>
        </is>
      </c>
      <c r="F252" t="inlineStr">
        <is>
          <t>Allmännings- och besparingsskogar</t>
        </is>
      </c>
      <c r="G252" t="n">
        <v>2.6</v>
      </c>
      <c r="H252" t="n">
        <v>0</v>
      </c>
      <c r="I252" t="n">
        <v>0</v>
      </c>
      <c r="J252" t="n">
        <v>0</v>
      </c>
      <c r="K252" t="n">
        <v>0</v>
      </c>
      <c r="L252" t="n">
        <v>0</v>
      </c>
      <c r="M252" t="n">
        <v>0</v>
      </c>
      <c r="N252" t="n">
        <v>0</v>
      </c>
      <c r="O252" t="n">
        <v>0</v>
      </c>
      <c r="P252" t="n">
        <v>0</v>
      </c>
      <c r="Q252" t="n">
        <v>0</v>
      </c>
      <c r="R252" s="2" t="inlineStr"/>
    </row>
    <row r="253" ht="15" customHeight="1">
      <c r="A253" t="inlineStr">
        <is>
          <t>A 2540-2021</t>
        </is>
      </c>
      <c r="B253" s="1" t="n">
        <v>44214</v>
      </c>
      <c r="C253" s="1" t="n">
        <v>45566</v>
      </c>
      <c r="D253" t="inlineStr">
        <is>
          <t>NORRBOTTENS LÄN</t>
        </is>
      </c>
      <c r="E253" t="inlineStr">
        <is>
          <t>GÄLLIVARE</t>
        </is>
      </c>
      <c r="G253" t="n">
        <v>6.5</v>
      </c>
      <c r="H253" t="n">
        <v>0</v>
      </c>
      <c r="I253" t="n">
        <v>0</v>
      </c>
      <c r="J253" t="n">
        <v>0</v>
      </c>
      <c r="K253" t="n">
        <v>0</v>
      </c>
      <c r="L253" t="n">
        <v>0</v>
      </c>
      <c r="M253" t="n">
        <v>0</v>
      </c>
      <c r="N253" t="n">
        <v>0</v>
      </c>
      <c r="O253" t="n">
        <v>0</v>
      </c>
      <c r="P253" t="n">
        <v>0</v>
      </c>
      <c r="Q253" t="n">
        <v>0</v>
      </c>
      <c r="R253" s="2" t="inlineStr"/>
    </row>
    <row r="254" ht="15" customHeight="1">
      <c r="A254" t="inlineStr">
        <is>
          <t>A 2545-2021</t>
        </is>
      </c>
      <c r="B254" s="1" t="n">
        <v>44214</v>
      </c>
      <c r="C254" s="1" t="n">
        <v>45566</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2538-2021</t>
        </is>
      </c>
      <c r="B255" s="1" t="n">
        <v>44214</v>
      </c>
      <c r="C255" s="1" t="n">
        <v>45566</v>
      </c>
      <c r="D255" t="inlineStr">
        <is>
          <t>NORRBOTTENS LÄN</t>
        </is>
      </c>
      <c r="E255" t="inlineStr">
        <is>
          <t>GÄLLIVARE</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2548-2021</t>
        </is>
      </c>
      <c r="B256" s="1" t="n">
        <v>44214</v>
      </c>
      <c r="C256" s="1" t="n">
        <v>45566</v>
      </c>
      <c r="D256" t="inlineStr">
        <is>
          <t>NORRBOTTENS LÄN</t>
        </is>
      </c>
      <c r="E256" t="inlineStr">
        <is>
          <t>GÄLLIVARE</t>
        </is>
      </c>
      <c r="G256" t="n">
        <v>6.6</v>
      </c>
      <c r="H256" t="n">
        <v>0</v>
      </c>
      <c r="I256" t="n">
        <v>0</v>
      </c>
      <c r="J256" t="n">
        <v>0</v>
      </c>
      <c r="K256" t="n">
        <v>0</v>
      </c>
      <c r="L256" t="n">
        <v>0</v>
      </c>
      <c r="M256" t="n">
        <v>0</v>
      </c>
      <c r="N256" t="n">
        <v>0</v>
      </c>
      <c r="O256" t="n">
        <v>0</v>
      </c>
      <c r="P256" t="n">
        <v>0</v>
      </c>
      <c r="Q256" t="n">
        <v>0</v>
      </c>
      <c r="R256" s="2" t="inlineStr"/>
    </row>
    <row r="257" ht="15" customHeight="1">
      <c r="A257" t="inlineStr">
        <is>
          <t>A 13204-2021</t>
        </is>
      </c>
      <c r="B257" s="1" t="n">
        <v>44272</v>
      </c>
      <c r="C257" s="1" t="n">
        <v>45566</v>
      </c>
      <c r="D257" t="inlineStr">
        <is>
          <t>NORRBOTTENS LÄN</t>
        </is>
      </c>
      <c r="E257" t="inlineStr">
        <is>
          <t>GÄLLIVARE</t>
        </is>
      </c>
      <c r="G257" t="n">
        <v>41.2</v>
      </c>
      <c r="H257" t="n">
        <v>0</v>
      </c>
      <c r="I257" t="n">
        <v>0</v>
      </c>
      <c r="J257" t="n">
        <v>0</v>
      </c>
      <c r="K257" t="n">
        <v>0</v>
      </c>
      <c r="L257" t="n">
        <v>0</v>
      </c>
      <c r="M257" t="n">
        <v>0</v>
      </c>
      <c r="N257" t="n">
        <v>0</v>
      </c>
      <c r="O257" t="n">
        <v>0</v>
      </c>
      <c r="P257" t="n">
        <v>0</v>
      </c>
      <c r="Q257" t="n">
        <v>0</v>
      </c>
      <c r="R257" s="2" t="inlineStr"/>
    </row>
    <row r="258" ht="15" customHeight="1">
      <c r="A258" t="inlineStr">
        <is>
          <t>A 18677-2021</t>
        </is>
      </c>
      <c r="B258" s="1" t="n">
        <v>44307</v>
      </c>
      <c r="C258" s="1" t="n">
        <v>45566</v>
      </c>
      <c r="D258" t="inlineStr">
        <is>
          <t>NORRBOTTENS LÄN</t>
        </is>
      </c>
      <c r="E258" t="inlineStr">
        <is>
          <t>GÄLLIVARE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18678-2021</t>
        </is>
      </c>
      <c r="B259" s="1" t="n">
        <v>44307</v>
      </c>
      <c r="C259" s="1" t="n">
        <v>45566</v>
      </c>
      <c r="D259" t="inlineStr">
        <is>
          <t>NORRBOTTENS LÄN</t>
        </is>
      </c>
      <c r="E259" t="inlineStr">
        <is>
          <t>GÄLLIVARE</t>
        </is>
      </c>
      <c r="F259" t="inlineStr">
        <is>
          <t>SCA</t>
        </is>
      </c>
      <c r="G259" t="n">
        <v>23.2</v>
      </c>
      <c r="H259" t="n">
        <v>0</v>
      </c>
      <c r="I259" t="n">
        <v>0</v>
      </c>
      <c r="J259" t="n">
        <v>0</v>
      </c>
      <c r="K259" t="n">
        <v>0</v>
      </c>
      <c r="L259" t="n">
        <v>0</v>
      </c>
      <c r="M259" t="n">
        <v>0</v>
      </c>
      <c r="N259" t="n">
        <v>0</v>
      </c>
      <c r="O259" t="n">
        <v>0</v>
      </c>
      <c r="P259" t="n">
        <v>0</v>
      </c>
      <c r="Q259" t="n">
        <v>0</v>
      </c>
      <c r="R259" s="2" t="inlineStr"/>
    </row>
    <row r="260" ht="15" customHeight="1">
      <c r="A260" t="inlineStr">
        <is>
          <t>A 21425-2021</t>
        </is>
      </c>
      <c r="B260" s="1" t="n">
        <v>44321</v>
      </c>
      <c r="C260" s="1" t="n">
        <v>45566</v>
      </c>
      <c r="D260" t="inlineStr">
        <is>
          <t>NORRBOTTENS LÄN</t>
        </is>
      </c>
      <c r="E260" t="inlineStr">
        <is>
          <t>GÄLLIVARE</t>
        </is>
      </c>
      <c r="G260" t="n">
        <v>4.7</v>
      </c>
      <c r="H260" t="n">
        <v>0</v>
      </c>
      <c r="I260" t="n">
        <v>0</v>
      </c>
      <c r="J260" t="n">
        <v>0</v>
      </c>
      <c r="K260" t="n">
        <v>0</v>
      </c>
      <c r="L260" t="n">
        <v>0</v>
      </c>
      <c r="M260" t="n">
        <v>0</v>
      </c>
      <c r="N260" t="n">
        <v>0</v>
      </c>
      <c r="O260" t="n">
        <v>0</v>
      </c>
      <c r="P260" t="n">
        <v>0</v>
      </c>
      <c r="Q260" t="n">
        <v>0</v>
      </c>
      <c r="R260" s="2" t="inlineStr"/>
    </row>
    <row r="261" ht="15" customHeight="1">
      <c r="A261" t="inlineStr">
        <is>
          <t>A 21441-2021</t>
        </is>
      </c>
      <c r="B261" s="1" t="n">
        <v>44321</v>
      </c>
      <c r="C261" s="1" t="n">
        <v>45566</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28314-2021</t>
        </is>
      </c>
      <c r="B262" s="1" t="n">
        <v>44356</v>
      </c>
      <c r="C262" s="1" t="n">
        <v>45566</v>
      </c>
      <c r="D262" t="inlineStr">
        <is>
          <t>NORRBOTTENS LÄN</t>
        </is>
      </c>
      <c r="E262" t="inlineStr">
        <is>
          <t>GÄLLIVARE</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29196-2021</t>
        </is>
      </c>
      <c r="B263" s="1" t="n">
        <v>44358</v>
      </c>
      <c r="C263" s="1" t="n">
        <v>45566</v>
      </c>
      <c r="D263" t="inlineStr">
        <is>
          <t>NORRBOTTENS LÄN</t>
        </is>
      </c>
      <c r="E263" t="inlineStr">
        <is>
          <t>GÄLLIVARE</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29194-2021</t>
        </is>
      </c>
      <c r="B264" s="1" t="n">
        <v>44358</v>
      </c>
      <c r="C264" s="1" t="n">
        <v>45566</v>
      </c>
      <c r="D264" t="inlineStr">
        <is>
          <t>NORRBOTTENS LÄN</t>
        </is>
      </c>
      <c r="E264" t="inlineStr">
        <is>
          <t>GÄLLIVARE</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29608-2021</t>
        </is>
      </c>
      <c r="B265" s="1" t="n">
        <v>44361</v>
      </c>
      <c r="C265" s="1" t="n">
        <v>45566</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30994-2021</t>
        </is>
      </c>
      <c r="B266" s="1" t="n">
        <v>44366</v>
      </c>
      <c r="C266" s="1" t="n">
        <v>45566</v>
      </c>
      <c r="D266" t="inlineStr">
        <is>
          <t>NORRBOTTENS LÄN</t>
        </is>
      </c>
      <c r="E266" t="inlineStr">
        <is>
          <t>GÄLLIVARE</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32929-2021</t>
        </is>
      </c>
      <c r="B267" s="1" t="n">
        <v>44375</v>
      </c>
      <c r="C267" s="1" t="n">
        <v>45566</v>
      </c>
      <c r="D267" t="inlineStr">
        <is>
          <t>NORRBOTTENS LÄN</t>
        </is>
      </c>
      <c r="E267" t="inlineStr">
        <is>
          <t>GÄLLIVARE</t>
        </is>
      </c>
      <c r="G267" t="n">
        <v>1.7</v>
      </c>
      <c r="H267" t="n">
        <v>0</v>
      </c>
      <c r="I267" t="n">
        <v>0</v>
      </c>
      <c r="J267" t="n">
        <v>0</v>
      </c>
      <c r="K267" t="n">
        <v>0</v>
      </c>
      <c r="L267" t="n">
        <v>0</v>
      </c>
      <c r="M267" t="n">
        <v>0</v>
      </c>
      <c r="N267" t="n">
        <v>0</v>
      </c>
      <c r="O267" t="n">
        <v>0</v>
      </c>
      <c r="P267" t="n">
        <v>0</v>
      </c>
      <c r="Q267" t="n">
        <v>0</v>
      </c>
      <c r="R267" s="2" t="inlineStr"/>
    </row>
    <row r="268" ht="15" customHeight="1">
      <c r="A268" t="inlineStr">
        <is>
          <t>A 36233-2021</t>
        </is>
      </c>
      <c r="B268" s="1" t="n">
        <v>44390</v>
      </c>
      <c r="C268" s="1" t="n">
        <v>45566</v>
      </c>
      <c r="D268" t="inlineStr">
        <is>
          <t>NORRBOTTENS LÄN</t>
        </is>
      </c>
      <c r="E268" t="inlineStr">
        <is>
          <t>GÄLLIVARE</t>
        </is>
      </c>
      <c r="F268" t="inlineStr">
        <is>
          <t>SCA</t>
        </is>
      </c>
      <c r="G268" t="n">
        <v>22.3</v>
      </c>
      <c r="H268" t="n">
        <v>0</v>
      </c>
      <c r="I268" t="n">
        <v>0</v>
      </c>
      <c r="J268" t="n">
        <v>0</v>
      </c>
      <c r="K268" t="n">
        <v>0</v>
      </c>
      <c r="L268" t="n">
        <v>0</v>
      </c>
      <c r="M268" t="n">
        <v>0</v>
      </c>
      <c r="N268" t="n">
        <v>0</v>
      </c>
      <c r="O268" t="n">
        <v>0</v>
      </c>
      <c r="P268" t="n">
        <v>0</v>
      </c>
      <c r="Q268" t="n">
        <v>0</v>
      </c>
      <c r="R268" s="2" t="inlineStr"/>
    </row>
    <row r="269" ht="15" customHeight="1">
      <c r="A269" t="inlineStr">
        <is>
          <t>A 36681-2021</t>
        </is>
      </c>
      <c r="B269" s="1" t="n">
        <v>44392</v>
      </c>
      <c r="C269" s="1" t="n">
        <v>45566</v>
      </c>
      <c r="D269" t="inlineStr">
        <is>
          <t>NORRBOTTENS LÄN</t>
        </is>
      </c>
      <c r="E269" t="inlineStr">
        <is>
          <t>GÄLLIVARE</t>
        </is>
      </c>
      <c r="G269" t="n">
        <v>7.6</v>
      </c>
      <c r="H269" t="n">
        <v>0</v>
      </c>
      <c r="I269" t="n">
        <v>0</v>
      </c>
      <c r="J269" t="n">
        <v>0</v>
      </c>
      <c r="K269" t="n">
        <v>0</v>
      </c>
      <c r="L269" t="n">
        <v>0</v>
      </c>
      <c r="M269" t="n">
        <v>0</v>
      </c>
      <c r="N269" t="n">
        <v>0</v>
      </c>
      <c r="O269" t="n">
        <v>0</v>
      </c>
      <c r="P269" t="n">
        <v>0</v>
      </c>
      <c r="Q269" t="n">
        <v>0</v>
      </c>
      <c r="R269" s="2" t="inlineStr"/>
    </row>
    <row r="270" ht="15" customHeight="1">
      <c r="A270" t="inlineStr">
        <is>
          <t>A 37551-2021</t>
        </is>
      </c>
      <c r="B270" s="1" t="n">
        <v>44399</v>
      </c>
      <c r="C270" s="1" t="n">
        <v>45566</v>
      </c>
      <c r="D270" t="inlineStr">
        <is>
          <t>NORRBOTTENS LÄN</t>
        </is>
      </c>
      <c r="E270" t="inlineStr">
        <is>
          <t>GÄLLIVARE</t>
        </is>
      </c>
      <c r="G270" t="n">
        <v>0.6</v>
      </c>
      <c r="H270" t="n">
        <v>0</v>
      </c>
      <c r="I270" t="n">
        <v>0</v>
      </c>
      <c r="J270" t="n">
        <v>0</v>
      </c>
      <c r="K270" t="n">
        <v>0</v>
      </c>
      <c r="L270" t="n">
        <v>0</v>
      </c>
      <c r="M270" t="n">
        <v>0</v>
      </c>
      <c r="N270" t="n">
        <v>0</v>
      </c>
      <c r="O270" t="n">
        <v>0</v>
      </c>
      <c r="P270" t="n">
        <v>0</v>
      </c>
      <c r="Q270" t="n">
        <v>0</v>
      </c>
      <c r="R270" s="2" t="inlineStr"/>
    </row>
    <row r="271" ht="15" customHeight="1">
      <c r="A271" t="inlineStr">
        <is>
          <t>A 38188-2021</t>
        </is>
      </c>
      <c r="B271" s="1" t="n">
        <v>44405</v>
      </c>
      <c r="C271" s="1" t="n">
        <v>45566</v>
      </c>
      <c r="D271" t="inlineStr">
        <is>
          <t>NORRBOTTENS LÄN</t>
        </is>
      </c>
      <c r="E271" t="inlineStr">
        <is>
          <t>GÄLLIVARE</t>
        </is>
      </c>
      <c r="G271" t="n">
        <v>13</v>
      </c>
      <c r="H271" t="n">
        <v>0</v>
      </c>
      <c r="I271" t="n">
        <v>0</v>
      </c>
      <c r="J271" t="n">
        <v>0</v>
      </c>
      <c r="K271" t="n">
        <v>0</v>
      </c>
      <c r="L271" t="n">
        <v>0</v>
      </c>
      <c r="M271" t="n">
        <v>0</v>
      </c>
      <c r="N271" t="n">
        <v>0</v>
      </c>
      <c r="O271" t="n">
        <v>0</v>
      </c>
      <c r="P271" t="n">
        <v>0</v>
      </c>
      <c r="Q271" t="n">
        <v>0</v>
      </c>
      <c r="R271" s="2" t="inlineStr"/>
    </row>
    <row r="272" ht="15" customHeight="1">
      <c r="A272" t="inlineStr">
        <is>
          <t>A 38187-2021</t>
        </is>
      </c>
      <c r="B272" s="1" t="n">
        <v>44405</v>
      </c>
      <c r="C272" s="1" t="n">
        <v>45566</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38186-2021</t>
        </is>
      </c>
      <c r="B273" s="1" t="n">
        <v>44405</v>
      </c>
      <c r="C273" s="1" t="n">
        <v>45566</v>
      </c>
      <c r="D273" t="inlineStr">
        <is>
          <t>NORRBOTTENS LÄN</t>
        </is>
      </c>
      <c r="E273" t="inlineStr">
        <is>
          <t>GÄLLIVARE</t>
        </is>
      </c>
      <c r="G273" t="n">
        <v>2</v>
      </c>
      <c r="H273" t="n">
        <v>0</v>
      </c>
      <c r="I273" t="n">
        <v>0</v>
      </c>
      <c r="J273" t="n">
        <v>0</v>
      </c>
      <c r="K273" t="n">
        <v>0</v>
      </c>
      <c r="L273" t="n">
        <v>0</v>
      </c>
      <c r="M273" t="n">
        <v>0</v>
      </c>
      <c r="N273" t="n">
        <v>0</v>
      </c>
      <c r="O273" t="n">
        <v>0</v>
      </c>
      <c r="P273" t="n">
        <v>0</v>
      </c>
      <c r="Q273" t="n">
        <v>0</v>
      </c>
      <c r="R273" s="2" t="inlineStr"/>
    </row>
    <row r="274" ht="15" customHeight="1">
      <c r="A274" t="inlineStr">
        <is>
          <t>A 38183-2021</t>
        </is>
      </c>
      <c r="B274" s="1" t="n">
        <v>44405</v>
      </c>
      <c r="C274" s="1" t="n">
        <v>45566</v>
      </c>
      <c r="D274" t="inlineStr">
        <is>
          <t>NORRBOTTENS LÄN</t>
        </is>
      </c>
      <c r="E274" t="inlineStr">
        <is>
          <t>GÄLLIVARE</t>
        </is>
      </c>
      <c r="G274" t="n">
        <v>6</v>
      </c>
      <c r="H274" t="n">
        <v>0</v>
      </c>
      <c r="I274" t="n">
        <v>0</v>
      </c>
      <c r="J274" t="n">
        <v>0</v>
      </c>
      <c r="K274" t="n">
        <v>0</v>
      </c>
      <c r="L274" t="n">
        <v>0</v>
      </c>
      <c r="M274" t="n">
        <v>0</v>
      </c>
      <c r="N274" t="n">
        <v>0</v>
      </c>
      <c r="O274" t="n">
        <v>0</v>
      </c>
      <c r="P274" t="n">
        <v>0</v>
      </c>
      <c r="Q274" t="n">
        <v>0</v>
      </c>
      <c r="R274" s="2" t="inlineStr"/>
    </row>
    <row r="275" ht="15" customHeight="1">
      <c r="A275" t="inlineStr">
        <is>
          <t>A 38665-2021</t>
        </is>
      </c>
      <c r="B275" s="1" t="n">
        <v>44410</v>
      </c>
      <c r="C275" s="1" t="n">
        <v>45566</v>
      </c>
      <c r="D275" t="inlineStr">
        <is>
          <t>NORRBOTTENS LÄN</t>
        </is>
      </c>
      <c r="E275" t="inlineStr">
        <is>
          <t>GÄLLIVARE</t>
        </is>
      </c>
      <c r="F275" t="inlineStr">
        <is>
          <t>Sveaskog</t>
        </is>
      </c>
      <c r="G275" t="n">
        <v>16.3</v>
      </c>
      <c r="H275" t="n">
        <v>0</v>
      </c>
      <c r="I275" t="n">
        <v>0</v>
      </c>
      <c r="J275" t="n">
        <v>0</v>
      </c>
      <c r="K275" t="n">
        <v>0</v>
      </c>
      <c r="L275" t="n">
        <v>0</v>
      </c>
      <c r="M275" t="n">
        <v>0</v>
      </c>
      <c r="N275" t="n">
        <v>0</v>
      </c>
      <c r="O275" t="n">
        <v>0</v>
      </c>
      <c r="P275" t="n">
        <v>0</v>
      </c>
      <c r="Q275" t="n">
        <v>0</v>
      </c>
      <c r="R275" s="2" t="inlineStr"/>
    </row>
    <row r="276" ht="15" customHeight="1">
      <c r="A276" t="inlineStr">
        <is>
          <t>A 41057-2021</t>
        </is>
      </c>
      <c r="B276" s="1" t="n">
        <v>44422</v>
      </c>
      <c r="C276" s="1" t="n">
        <v>45566</v>
      </c>
      <c r="D276" t="inlineStr">
        <is>
          <t>NORRBOTTENS LÄN</t>
        </is>
      </c>
      <c r="E276" t="inlineStr">
        <is>
          <t>GÄLLIVARE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42230-2021</t>
        </is>
      </c>
      <c r="B277" s="1" t="n">
        <v>44426</v>
      </c>
      <c r="C277" s="1" t="n">
        <v>45566</v>
      </c>
      <c r="D277" t="inlineStr">
        <is>
          <t>NORRBOTTENS LÄN</t>
        </is>
      </c>
      <c r="E277" t="inlineStr">
        <is>
          <t>GÄLLIVARE</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42529-2021</t>
        </is>
      </c>
      <c r="B278" s="1" t="n">
        <v>44428</v>
      </c>
      <c r="C278" s="1" t="n">
        <v>45566</v>
      </c>
      <c r="D278" t="inlineStr">
        <is>
          <t>NORRBOTTENS LÄN</t>
        </is>
      </c>
      <c r="E278" t="inlineStr">
        <is>
          <t>GÄLLIVARE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42686-2021</t>
        </is>
      </c>
      <c r="B279" s="1" t="n">
        <v>44428</v>
      </c>
      <c r="C279" s="1" t="n">
        <v>45566</v>
      </c>
      <c r="D279" t="inlineStr">
        <is>
          <t>NORRBOTTENS LÄN</t>
        </is>
      </c>
      <c r="E279" t="inlineStr">
        <is>
          <t>GÄLLIVARE</t>
        </is>
      </c>
      <c r="G279" t="n">
        <v>5</v>
      </c>
      <c r="H279" t="n">
        <v>0</v>
      </c>
      <c r="I279" t="n">
        <v>0</v>
      </c>
      <c r="J279" t="n">
        <v>0</v>
      </c>
      <c r="K279" t="n">
        <v>0</v>
      </c>
      <c r="L279" t="n">
        <v>0</v>
      </c>
      <c r="M279" t="n">
        <v>0</v>
      </c>
      <c r="N279" t="n">
        <v>0</v>
      </c>
      <c r="O279" t="n">
        <v>0</v>
      </c>
      <c r="P279" t="n">
        <v>0</v>
      </c>
      <c r="Q279" t="n">
        <v>0</v>
      </c>
      <c r="R279" s="2" t="inlineStr"/>
    </row>
    <row r="280" ht="15" customHeight="1">
      <c r="A280" t="inlineStr">
        <is>
          <t>A 43092-2021</t>
        </is>
      </c>
      <c r="B280" s="1" t="n">
        <v>44431</v>
      </c>
      <c r="C280" s="1" t="n">
        <v>45566</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43111-2021</t>
        </is>
      </c>
      <c r="B281" s="1" t="n">
        <v>44431</v>
      </c>
      <c r="C281" s="1" t="n">
        <v>45566</v>
      </c>
      <c r="D281" t="inlineStr">
        <is>
          <t>NORRBOTTENS LÄN</t>
        </is>
      </c>
      <c r="E281" t="inlineStr">
        <is>
          <t>GÄLLIVARE</t>
        </is>
      </c>
      <c r="F281" t="inlineStr">
        <is>
          <t>Allmännings- och besparingsskogar</t>
        </is>
      </c>
      <c r="G281" t="n">
        <v>18.9</v>
      </c>
      <c r="H281" t="n">
        <v>0</v>
      </c>
      <c r="I281" t="n">
        <v>0</v>
      </c>
      <c r="J281" t="n">
        <v>0</v>
      </c>
      <c r="K281" t="n">
        <v>0</v>
      </c>
      <c r="L281" t="n">
        <v>0</v>
      </c>
      <c r="M281" t="n">
        <v>0</v>
      </c>
      <c r="N281" t="n">
        <v>0</v>
      </c>
      <c r="O281" t="n">
        <v>0</v>
      </c>
      <c r="P281" t="n">
        <v>0</v>
      </c>
      <c r="Q281" t="n">
        <v>0</v>
      </c>
      <c r="R281" s="2" t="inlineStr"/>
    </row>
    <row r="282" ht="15" customHeight="1">
      <c r="A282" t="inlineStr">
        <is>
          <t>A 43489-2021</t>
        </is>
      </c>
      <c r="B282" s="1" t="n">
        <v>44432</v>
      </c>
      <c r="C282" s="1" t="n">
        <v>45566</v>
      </c>
      <c r="D282" t="inlineStr">
        <is>
          <t>NORRBOTTENS LÄN</t>
        </is>
      </c>
      <c r="E282" t="inlineStr">
        <is>
          <t>GÄLLIVARE</t>
        </is>
      </c>
      <c r="F282" t="inlineStr">
        <is>
          <t>SCA</t>
        </is>
      </c>
      <c r="G282" t="n">
        <v>18.9</v>
      </c>
      <c r="H282" t="n">
        <v>0</v>
      </c>
      <c r="I282" t="n">
        <v>0</v>
      </c>
      <c r="J282" t="n">
        <v>0</v>
      </c>
      <c r="K282" t="n">
        <v>0</v>
      </c>
      <c r="L282" t="n">
        <v>0</v>
      </c>
      <c r="M282" t="n">
        <v>0</v>
      </c>
      <c r="N282" t="n">
        <v>0</v>
      </c>
      <c r="O282" t="n">
        <v>0</v>
      </c>
      <c r="P282" t="n">
        <v>0</v>
      </c>
      <c r="Q282" t="n">
        <v>0</v>
      </c>
      <c r="R282" s="2" t="inlineStr"/>
    </row>
    <row r="283" ht="15" customHeight="1">
      <c r="A283" t="inlineStr">
        <is>
          <t>A 44853-2021</t>
        </is>
      </c>
      <c r="B283" s="1" t="n">
        <v>44438</v>
      </c>
      <c r="C283" s="1" t="n">
        <v>45566</v>
      </c>
      <c r="D283" t="inlineStr">
        <is>
          <t>NORRBOTTENS LÄN</t>
        </is>
      </c>
      <c r="E283" t="inlineStr">
        <is>
          <t>GÄLLIVARE</t>
        </is>
      </c>
      <c r="G283" t="n">
        <v>3.7</v>
      </c>
      <c r="H283" t="n">
        <v>0</v>
      </c>
      <c r="I283" t="n">
        <v>0</v>
      </c>
      <c r="J283" t="n">
        <v>0</v>
      </c>
      <c r="K283" t="n">
        <v>0</v>
      </c>
      <c r="L283" t="n">
        <v>0</v>
      </c>
      <c r="M283" t="n">
        <v>0</v>
      </c>
      <c r="N283" t="n">
        <v>0</v>
      </c>
      <c r="O283" t="n">
        <v>0</v>
      </c>
      <c r="P283" t="n">
        <v>0</v>
      </c>
      <c r="Q283" t="n">
        <v>0</v>
      </c>
      <c r="R283" s="2" t="inlineStr"/>
    </row>
    <row r="284" ht="15" customHeight="1">
      <c r="A284" t="inlineStr">
        <is>
          <t>A 45019-2021</t>
        </is>
      </c>
      <c r="B284" s="1" t="n">
        <v>44439</v>
      </c>
      <c r="C284" s="1" t="n">
        <v>45566</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46728-2021</t>
        </is>
      </c>
      <c r="B285" s="1" t="n">
        <v>44445</v>
      </c>
      <c r="C285" s="1" t="n">
        <v>45566</v>
      </c>
      <c r="D285" t="inlineStr">
        <is>
          <t>NORRBOTTENS LÄN</t>
        </is>
      </c>
      <c r="E285" t="inlineStr">
        <is>
          <t>GÄLLIVARE</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48074-2021</t>
        </is>
      </c>
      <c r="B286" s="1" t="n">
        <v>44449</v>
      </c>
      <c r="C286" s="1" t="n">
        <v>45566</v>
      </c>
      <c r="D286" t="inlineStr">
        <is>
          <t>NORRBOTTENS LÄN</t>
        </is>
      </c>
      <c r="E286" t="inlineStr">
        <is>
          <t>GÄLLIVARE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52181-2021</t>
        </is>
      </c>
      <c r="B287" s="1" t="n">
        <v>44463</v>
      </c>
      <c r="C287" s="1" t="n">
        <v>45566</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54820-2021</t>
        </is>
      </c>
      <c r="B288" s="1" t="n">
        <v>44473</v>
      </c>
      <c r="C288" s="1" t="n">
        <v>45566</v>
      </c>
      <c r="D288" t="inlineStr">
        <is>
          <t>NORRBOTTENS LÄN</t>
        </is>
      </c>
      <c r="E288" t="inlineStr">
        <is>
          <t>GÄLLIVARE</t>
        </is>
      </c>
      <c r="F288" t="inlineStr">
        <is>
          <t>SCA</t>
        </is>
      </c>
      <c r="G288" t="n">
        <v>14.7</v>
      </c>
      <c r="H288" t="n">
        <v>0</v>
      </c>
      <c r="I288" t="n">
        <v>0</v>
      </c>
      <c r="J288" t="n">
        <v>0</v>
      </c>
      <c r="K288" t="n">
        <v>0</v>
      </c>
      <c r="L288" t="n">
        <v>0</v>
      </c>
      <c r="M288" t="n">
        <v>0</v>
      </c>
      <c r="N288" t="n">
        <v>0</v>
      </c>
      <c r="O288" t="n">
        <v>0</v>
      </c>
      <c r="P288" t="n">
        <v>0</v>
      </c>
      <c r="Q288" t="n">
        <v>0</v>
      </c>
      <c r="R288" s="2" t="inlineStr"/>
    </row>
    <row r="289" ht="15" customHeight="1">
      <c r="A289" t="inlineStr">
        <is>
          <t>A 56290-2021</t>
        </is>
      </c>
      <c r="B289" s="1" t="n">
        <v>44479</v>
      </c>
      <c r="C289" s="1" t="n">
        <v>45566</v>
      </c>
      <c r="D289" t="inlineStr">
        <is>
          <t>NORRBOTTENS LÄN</t>
        </is>
      </c>
      <c r="E289" t="inlineStr">
        <is>
          <t>GÄLLIVARE</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56288-2021</t>
        </is>
      </c>
      <c r="B290" s="1" t="n">
        <v>44479</v>
      </c>
      <c r="C290" s="1" t="n">
        <v>45566</v>
      </c>
      <c r="D290" t="inlineStr">
        <is>
          <t>NORRBOTTENS LÄN</t>
        </is>
      </c>
      <c r="E290" t="inlineStr">
        <is>
          <t>GÄLLIVARE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56910-2021</t>
        </is>
      </c>
      <c r="B291" s="1" t="n">
        <v>44481</v>
      </c>
      <c r="C291" s="1" t="n">
        <v>45566</v>
      </c>
      <c r="D291" t="inlineStr">
        <is>
          <t>NORRBOTTENS LÄN</t>
        </is>
      </c>
      <c r="E291" t="inlineStr">
        <is>
          <t>GÄLLIVARE</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57208-2021</t>
        </is>
      </c>
      <c r="B292" s="1" t="n">
        <v>44483</v>
      </c>
      <c r="C292" s="1" t="n">
        <v>45566</v>
      </c>
      <c r="D292" t="inlineStr">
        <is>
          <t>NORRBOTTENS LÄN</t>
        </is>
      </c>
      <c r="E292" t="inlineStr">
        <is>
          <t>GÄLLIVARE</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57534-2021</t>
        </is>
      </c>
      <c r="B293" s="1" t="n">
        <v>44483</v>
      </c>
      <c r="C293" s="1" t="n">
        <v>45566</v>
      </c>
      <c r="D293" t="inlineStr">
        <is>
          <t>NORRBOTTENS LÄN</t>
        </is>
      </c>
      <c r="E293" t="inlineStr">
        <is>
          <t>GÄLLIVARE</t>
        </is>
      </c>
      <c r="G293" t="n">
        <v>11.1</v>
      </c>
      <c r="H293" t="n">
        <v>0</v>
      </c>
      <c r="I293" t="n">
        <v>0</v>
      </c>
      <c r="J293" t="n">
        <v>0</v>
      </c>
      <c r="K293" t="n">
        <v>0</v>
      </c>
      <c r="L293" t="n">
        <v>0</v>
      </c>
      <c r="M293" t="n">
        <v>0</v>
      </c>
      <c r="N293" t="n">
        <v>0</v>
      </c>
      <c r="O293" t="n">
        <v>0</v>
      </c>
      <c r="P293" t="n">
        <v>0</v>
      </c>
      <c r="Q293" t="n">
        <v>0</v>
      </c>
      <c r="R293" s="2" t="inlineStr"/>
    </row>
    <row r="294" ht="15" customHeight="1">
      <c r="A294" t="inlineStr">
        <is>
          <t>A 58343-2021</t>
        </is>
      </c>
      <c r="B294" s="1" t="n">
        <v>44488</v>
      </c>
      <c r="C294" s="1" t="n">
        <v>45566</v>
      </c>
      <c r="D294" t="inlineStr">
        <is>
          <t>NORRBOTTENS LÄN</t>
        </is>
      </c>
      <c r="E294" t="inlineStr">
        <is>
          <t>GÄLLIVARE</t>
        </is>
      </c>
      <c r="F294" t="inlineStr">
        <is>
          <t>Sveaskog</t>
        </is>
      </c>
      <c r="G294" t="n">
        <v>9.1</v>
      </c>
      <c r="H294" t="n">
        <v>0</v>
      </c>
      <c r="I294" t="n">
        <v>0</v>
      </c>
      <c r="J294" t="n">
        <v>0</v>
      </c>
      <c r="K294" t="n">
        <v>0</v>
      </c>
      <c r="L294" t="n">
        <v>0</v>
      </c>
      <c r="M294" t="n">
        <v>0</v>
      </c>
      <c r="N294" t="n">
        <v>0</v>
      </c>
      <c r="O294" t="n">
        <v>0</v>
      </c>
      <c r="P294" t="n">
        <v>0</v>
      </c>
      <c r="Q294" t="n">
        <v>0</v>
      </c>
      <c r="R294" s="2" t="inlineStr"/>
    </row>
    <row r="295" ht="15" customHeight="1">
      <c r="A295" t="inlineStr">
        <is>
          <t>A 58412-2021</t>
        </is>
      </c>
      <c r="B295" s="1" t="n">
        <v>44488</v>
      </c>
      <c r="C295" s="1" t="n">
        <v>45566</v>
      </c>
      <c r="D295" t="inlineStr">
        <is>
          <t>NORRBOTTENS LÄN</t>
        </is>
      </c>
      <c r="E295" t="inlineStr">
        <is>
          <t>GÄLLIVARE</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58414-2021</t>
        </is>
      </c>
      <c r="B296" s="1" t="n">
        <v>44488</v>
      </c>
      <c r="C296" s="1" t="n">
        <v>45566</v>
      </c>
      <c r="D296" t="inlineStr">
        <is>
          <t>NORRBOTTENS LÄN</t>
        </is>
      </c>
      <c r="E296" t="inlineStr">
        <is>
          <t>GÄLLIVARE</t>
        </is>
      </c>
      <c r="F296" t="inlineStr">
        <is>
          <t>Sveaskog</t>
        </is>
      </c>
      <c r="G296" t="n">
        <v>6.2</v>
      </c>
      <c r="H296" t="n">
        <v>0</v>
      </c>
      <c r="I296" t="n">
        <v>0</v>
      </c>
      <c r="J296" t="n">
        <v>0</v>
      </c>
      <c r="K296" t="n">
        <v>0</v>
      </c>
      <c r="L296" t="n">
        <v>0</v>
      </c>
      <c r="M296" t="n">
        <v>0</v>
      </c>
      <c r="N296" t="n">
        <v>0</v>
      </c>
      <c r="O296" t="n">
        <v>0</v>
      </c>
      <c r="P296" t="n">
        <v>0</v>
      </c>
      <c r="Q296" t="n">
        <v>0</v>
      </c>
      <c r="R296" s="2" t="inlineStr"/>
    </row>
    <row r="297" ht="15" customHeight="1">
      <c r="A297" t="inlineStr">
        <is>
          <t>A 59926-2021</t>
        </is>
      </c>
      <c r="B297" s="1" t="n">
        <v>44494</v>
      </c>
      <c r="C297" s="1" t="n">
        <v>45566</v>
      </c>
      <c r="D297" t="inlineStr">
        <is>
          <t>NORRBOTTENS LÄN</t>
        </is>
      </c>
      <c r="E297" t="inlineStr">
        <is>
          <t>GÄLLIVARE</t>
        </is>
      </c>
      <c r="F297" t="inlineStr">
        <is>
          <t>Allmännings- och besparingsskogar</t>
        </is>
      </c>
      <c r="G297" t="n">
        <v>4</v>
      </c>
      <c r="H297" t="n">
        <v>0</v>
      </c>
      <c r="I297" t="n">
        <v>0</v>
      </c>
      <c r="J297" t="n">
        <v>0</v>
      </c>
      <c r="K297" t="n">
        <v>0</v>
      </c>
      <c r="L297" t="n">
        <v>0</v>
      </c>
      <c r="M297" t="n">
        <v>0</v>
      </c>
      <c r="N297" t="n">
        <v>0</v>
      </c>
      <c r="O297" t="n">
        <v>0</v>
      </c>
      <c r="P297" t="n">
        <v>0</v>
      </c>
      <c r="Q297" t="n">
        <v>0</v>
      </c>
      <c r="R297" s="2" t="inlineStr"/>
    </row>
    <row r="298" ht="15" customHeight="1">
      <c r="A298" t="inlineStr">
        <is>
          <t>A 63155-2021</t>
        </is>
      </c>
      <c r="B298" s="1" t="n">
        <v>44505</v>
      </c>
      <c r="C298" s="1" t="n">
        <v>45566</v>
      </c>
      <c r="D298" t="inlineStr">
        <is>
          <t>NORRBOTTENS LÄN</t>
        </is>
      </c>
      <c r="E298" t="inlineStr">
        <is>
          <t>GÄLLIVARE</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63156-2021</t>
        </is>
      </c>
      <c r="B299" s="1" t="n">
        <v>44505</v>
      </c>
      <c r="C299" s="1" t="n">
        <v>45566</v>
      </c>
      <c r="D299" t="inlineStr">
        <is>
          <t>NORRBOTTENS LÄN</t>
        </is>
      </c>
      <c r="E299" t="inlineStr">
        <is>
          <t>GÄLLIVARE</t>
        </is>
      </c>
      <c r="F299" t="inlineStr">
        <is>
          <t>SCA</t>
        </is>
      </c>
      <c r="G299" t="n">
        <v>6</v>
      </c>
      <c r="H299" t="n">
        <v>0</v>
      </c>
      <c r="I299" t="n">
        <v>0</v>
      </c>
      <c r="J299" t="n">
        <v>0</v>
      </c>
      <c r="K299" t="n">
        <v>0</v>
      </c>
      <c r="L299" t="n">
        <v>0</v>
      </c>
      <c r="M299" t="n">
        <v>0</v>
      </c>
      <c r="N299" t="n">
        <v>0</v>
      </c>
      <c r="O299" t="n">
        <v>0</v>
      </c>
      <c r="P299" t="n">
        <v>0</v>
      </c>
      <c r="Q299" t="n">
        <v>0</v>
      </c>
      <c r="R299" s="2" t="inlineStr"/>
    </row>
    <row r="300" ht="15" customHeight="1">
      <c r="A300" t="inlineStr">
        <is>
          <t>A 65517-2021</t>
        </is>
      </c>
      <c r="B300" s="1" t="n">
        <v>44516</v>
      </c>
      <c r="C300" s="1" t="n">
        <v>45566</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66264-2021</t>
        </is>
      </c>
      <c r="B301" s="1" t="n">
        <v>44518</v>
      </c>
      <c r="C301" s="1" t="n">
        <v>45566</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66269-2021</t>
        </is>
      </c>
      <c r="B302" s="1" t="n">
        <v>44518</v>
      </c>
      <c r="C302" s="1" t="n">
        <v>45566</v>
      </c>
      <c r="D302" t="inlineStr">
        <is>
          <t>NORRBOTTENS LÄN</t>
        </is>
      </c>
      <c r="E302" t="inlineStr">
        <is>
          <t>GÄLLIVARE</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66282-2021</t>
        </is>
      </c>
      <c r="B303" s="1" t="n">
        <v>44518</v>
      </c>
      <c r="C303" s="1" t="n">
        <v>45566</v>
      </c>
      <c r="D303" t="inlineStr">
        <is>
          <t>NORRBOTTENS LÄN</t>
        </is>
      </c>
      <c r="E303" t="inlineStr">
        <is>
          <t>GÄLLIVARE</t>
        </is>
      </c>
      <c r="F303" t="inlineStr">
        <is>
          <t>Sveaskog</t>
        </is>
      </c>
      <c r="G303" t="n">
        <v>4.7</v>
      </c>
      <c r="H303" t="n">
        <v>0</v>
      </c>
      <c r="I303" t="n">
        <v>0</v>
      </c>
      <c r="J303" t="n">
        <v>0</v>
      </c>
      <c r="K303" t="n">
        <v>0</v>
      </c>
      <c r="L303" t="n">
        <v>0</v>
      </c>
      <c r="M303" t="n">
        <v>0</v>
      </c>
      <c r="N303" t="n">
        <v>0</v>
      </c>
      <c r="O303" t="n">
        <v>0</v>
      </c>
      <c r="P303" t="n">
        <v>0</v>
      </c>
      <c r="Q303" t="n">
        <v>0</v>
      </c>
      <c r="R303" s="2" t="inlineStr"/>
    </row>
    <row r="304" ht="15" customHeight="1">
      <c r="A304" t="inlineStr">
        <is>
          <t>A 66257-2021</t>
        </is>
      </c>
      <c r="B304" s="1" t="n">
        <v>44518</v>
      </c>
      <c r="C304" s="1" t="n">
        <v>45566</v>
      </c>
      <c r="D304" t="inlineStr">
        <is>
          <t>NORRBOTTENS LÄN</t>
        </is>
      </c>
      <c r="E304" t="inlineStr">
        <is>
          <t>GÄLLIVARE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66278-2021</t>
        </is>
      </c>
      <c r="B305" s="1" t="n">
        <v>44518</v>
      </c>
      <c r="C305" s="1" t="n">
        <v>45566</v>
      </c>
      <c r="D305" t="inlineStr">
        <is>
          <t>NORRBOTTENS LÄN</t>
        </is>
      </c>
      <c r="E305" t="inlineStr">
        <is>
          <t>GÄLLIVARE</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66287-2021</t>
        </is>
      </c>
      <c r="B306" s="1" t="n">
        <v>44518</v>
      </c>
      <c r="C306" s="1" t="n">
        <v>45566</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66950-2021</t>
        </is>
      </c>
      <c r="B307" s="1" t="n">
        <v>44522</v>
      </c>
      <c r="C307" s="1" t="n">
        <v>45566</v>
      </c>
      <c r="D307" t="inlineStr">
        <is>
          <t>NORRBOTTENS LÄN</t>
        </is>
      </c>
      <c r="E307" t="inlineStr">
        <is>
          <t>GÄLLIVARE</t>
        </is>
      </c>
      <c r="F307" t="inlineStr">
        <is>
          <t>Allmännings- och besparingsskogar</t>
        </is>
      </c>
      <c r="G307" t="n">
        <v>14</v>
      </c>
      <c r="H307" t="n">
        <v>0</v>
      </c>
      <c r="I307" t="n">
        <v>0</v>
      </c>
      <c r="J307" t="n">
        <v>0</v>
      </c>
      <c r="K307" t="n">
        <v>0</v>
      </c>
      <c r="L307" t="n">
        <v>0</v>
      </c>
      <c r="M307" t="n">
        <v>0</v>
      </c>
      <c r="N307" t="n">
        <v>0</v>
      </c>
      <c r="O307" t="n">
        <v>0</v>
      </c>
      <c r="P307" t="n">
        <v>0</v>
      </c>
      <c r="Q307" t="n">
        <v>0</v>
      </c>
      <c r="R307" s="2" t="inlineStr"/>
    </row>
    <row r="308" ht="15" customHeight="1">
      <c r="A308" t="inlineStr">
        <is>
          <t>A 66957-2021</t>
        </is>
      </c>
      <c r="B308" s="1" t="n">
        <v>44522</v>
      </c>
      <c r="C308" s="1" t="n">
        <v>45566</v>
      </c>
      <c r="D308" t="inlineStr">
        <is>
          <t>NORRBOTTENS LÄN</t>
        </is>
      </c>
      <c r="E308" t="inlineStr">
        <is>
          <t>GÄLLIVARE</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68199-2021</t>
        </is>
      </c>
      <c r="B309" s="1" t="n">
        <v>44525</v>
      </c>
      <c r="C309" s="1" t="n">
        <v>45566</v>
      </c>
      <c r="D309" t="inlineStr">
        <is>
          <t>NORRBOTTENS LÄN</t>
        </is>
      </c>
      <c r="E309" t="inlineStr">
        <is>
          <t>GÄLLIVARE</t>
        </is>
      </c>
      <c r="G309" t="n">
        <v>6.4</v>
      </c>
      <c r="H309" t="n">
        <v>0</v>
      </c>
      <c r="I309" t="n">
        <v>0</v>
      </c>
      <c r="J309" t="n">
        <v>0</v>
      </c>
      <c r="K309" t="n">
        <v>0</v>
      </c>
      <c r="L309" t="n">
        <v>0</v>
      </c>
      <c r="M309" t="n">
        <v>0</v>
      </c>
      <c r="N309" t="n">
        <v>0</v>
      </c>
      <c r="O309" t="n">
        <v>0</v>
      </c>
      <c r="P309" t="n">
        <v>0</v>
      </c>
      <c r="Q309" t="n">
        <v>0</v>
      </c>
      <c r="R309" s="2" t="inlineStr"/>
    </row>
    <row r="310" ht="15" customHeight="1">
      <c r="A310" t="inlineStr">
        <is>
          <t>A 68960-2021</t>
        </is>
      </c>
      <c r="B310" s="1" t="n">
        <v>44529</v>
      </c>
      <c r="C310" s="1" t="n">
        <v>45566</v>
      </c>
      <c r="D310" t="inlineStr">
        <is>
          <t>NORRBOTTENS LÄN</t>
        </is>
      </c>
      <c r="E310" t="inlineStr">
        <is>
          <t>GÄLLIVARE</t>
        </is>
      </c>
      <c r="F310" t="inlineStr">
        <is>
          <t>Allmännings- och besparingsskogar</t>
        </is>
      </c>
      <c r="G310" t="n">
        <v>23</v>
      </c>
      <c r="H310" t="n">
        <v>0</v>
      </c>
      <c r="I310" t="n">
        <v>0</v>
      </c>
      <c r="J310" t="n">
        <v>0</v>
      </c>
      <c r="K310" t="n">
        <v>0</v>
      </c>
      <c r="L310" t="n">
        <v>0</v>
      </c>
      <c r="M310" t="n">
        <v>0</v>
      </c>
      <c r="N310" t="n">
        <v>0</v>
      </c>
      <c r="O310" t="n">
        <v>0</v>
      </c>
      <c r="P310" t="n">
        <v>0</v>
      </c>
      <c r="Q310" t="n">
        <v>0</v>
      </c>
      <c r="R310" s="2" t="inlineStr"/>
    </row>
    <row r="311" ht="15" customHeight="1">
      <c r="A311" t="inlineStr">
        <is>
          <t>A 71941-2021</t>
        </is>
      </c>
      <c r="B311" s="1" t="n">
        <v>44543</v>
      </c>
      <c r="C311" s="1" t="n">
        <v>45566</v>
      </c>
      <c r="D311" t="inlineStr">
        <is>
          <t>NORRBOTTENS LÄN</t>
        </is>
      </c>
      <c r="E311" t="inlineStr">
        <is>
          <t>GÄLLIVARE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72762-2021</t>
        </is>
      </c>
      <c r="B312" s="1" t="n">
        <v>44546</v>
      </c>
      <c r="C312" s="1" t="n">
        <v>45566</v>
      </c>
      <c r="D312" t="inlineStr">
        <is>
          <t>NORRBOTTENS LÄN</t>
        </is>
      </c>
      <c r="E312" t="inlineStr">
        <is>
          <t>GÄLLIVARE</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73341-2021</t>
        </is>
      </c>
      <c r="B313" s="1" t="n">
        <v>44550</v>
      </c>
      <c r="C313" s="1" t="n">
        <v>45566</v>
      </c>
      <c r="D313" t="inlineStr">
        <is>
          <t>NORRBOTTENS LÄN</t>
        </is>
      </c>
      <c r="E313" t="inlineStr">
        <is>
          <t>GÄLLIVARE</t>
        </is>
      </c>
      <c r="G313" t="n">
        <v>0.6</v>
      </c>
      <c r="H313" t="n">
        <v>0</v>
      </c>
      <c r="I313" t="n">
        <v>0</v>
      </c>
      <c r="J313" t="n">
        <v>0</v>
      </c>
      <c r="K313" t="n">
        <v>0</v>
      </c>
      <c r="L313" t="n">
        <v>0</v>
      </c>
      <c r="M313" t="n">
        <v>0</v>
      </c>
      <c r="N313" t="n">
        <v>0</v>
      </c>
      <c r="O313" t="n">
        <v>0</v>
      </c>
      <c r="P313" t="n">
        <v>0</v>
      </c>
      <c r="Q313" t="n">
        <v>0</v>
      </c>
      <c r="R313" s="2" t="inlineStr"/>
    </row>
    <row r="314" ht="15" customHeight="1">
      <c r="A314" t="inlineStr">
        <is>
          <t>A 73337-2021</t>
        </is>
      </c>
      <c r="B314" s="1" t="n">
        <v>44550</v>
      </c>
      <c r="C314" s="1" t="n">
        <v>45566</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73335-2021</t>
        </is>
      </c>
      <c r="B315" s="1" t="n">
        <v>44550</v>
      </c>
      <c r="C315" s="1" t="n">
        <v>45566</v>
      </c>
      <c r="D315" t="inlineStr">
        <is>
          <t>NORRBOTTENS LÄN</t>
        </is>
      </c>
      <c r="E315" t="inlineStr">
        <is>
          <t>GÄLLIVARE</t>
        </is>
      </c>
      <c r="G315" t="n">
        <v>1.1</v>
      </c>
      <c r="H315" t="n">
        <v>0</v>
      </c>
      <c r="I315" t="n">
        <v>0</v>
      </c>
      <c r="J315" t="n">
        <v>0</v>
      </c>
      <c r="K315" t="n">
        <v>0</v>
      </c>
      <c r="L315" t="n">
        <v>0</v>
      </c>
      <c r="M315" t="n">
        <v>0</v>
      </c>
      <c r="N315" t="n">
        <v>0</v>
      </c>
      <c r="O315" t="n">
        <v>0</v>
      </c>
      <c r="P315" t="n">
        <v>0</v>
      </c>
      <c r="Q315" t="n">
        <v>0</v>
      </c>
      <c r="R315" s="2" t="inlineStr"/>
    </row>
    <row r="316" ht="15" customHeight="1">
      <c r="A316" t="inlineStr">
        <is>
          <t>A 73353-2021</t>
        </is>
      </c>
      <c r="B316" s="1" t="n">
        <v>44551</v>
      </c>
      <c r="C316" s="1" t="n">
        <v>45566</v>
      </c>
      <c r="D316" t="inlineStr">
        <is>
          <t>NORRBOTTENS LÄN</t>
        </is>
      </c>
      <c r="E316" t="inlineStr">
        <is>
          <t>GÄLLIVARE</t>
        </is>
      </c>
      <c r="G316" t="n">
        <v>2.4</v>
      </c>
      <c r="H316" t="n">
        <v>0</v>
      </c>
      <c r="I316" t="n">
        <v>0</v>
      </c>
      <c r="J316" t="n">
        <v>0</v>
      </c>
      <c r="K316" t="n">
        <v>0</v>
      </c>
      <c r="L316" t="n">
        <v>0</v>
      </c>
      <c r="M316" t="n">
        <v>0</v>
      </c>
      <c r="N316" t="n">
        <v>0</v>
      </c>
      <c r="O316" t="n">
        <v>0</v>
      </c>
      <c r="P316" t="n">
        <v>0</v>
      </c>
      <c r="Q316" t="n">
        <v>0</v>
      </c>
      <c r="R316" s="2" t="inlineStr"/>
    </row>
    <row r="317" ht="15" customHeight="1">
      <c r="A317" t="inlineStr">
        <is>
          <t>A 588-2022</t>
        </is>
      </c>
      <c r="B317" s="1" t="n">
        <v>44566</v>
      </c>
      <c r="C317" s="1" t="n">
        <v>45566</v>
      </c>
      <c r="D317" t="inlineStr">
        <is>
          <t>NORRBOTTENS LÄN</t>
        </is>
      </c>
      <c r="E317" t="inlineStr">
        <is>
          <t>GÄLLIVARE</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2018-2022</t>
        </is>
      </c>
      <c r="B318" s="1" t="n">
        <v>44575</v>
      </c>
      <c r="C318" s="1" t="n">
        <v>45566</v>
      </c>
      <c r="D318" t="inlineStr">
        <is>
          <t>NORRBOTTENS LÄN</t>
        </is>
      </c>
      <c r="E318" t="inlineStr">
        <is>
          <t>GÄLLIVARE</t>
        </is>
      </c>
      <c r="G318" t="n">
        <v>11</v>
      </c>
      <c r="H318" t="n">
        <v>0</v>
      </c>
      <c r="I318" t="n">
        <v>0</v>
      </c>
      <c r="J318" t="n">
        <v>0</v>
      </c>
      <c r="K318" t="n">
        <v>0</v>
      </c>
      <c r="L318" t="n">
        <v>0</v>
      </c>
      <c r="M318" t="n">
        <v>0</v>
      </c>
      <c r="N318" t="n">
        <v>0</v>
      </c>
      <c r="O318" t="n">
        <v>0</v>
      </c>
      <c r="P318" t="n">
        <v>0</v>
      </c>
      <c r="Q318" t="n">
        <v>0</v>
      </c>
      <c r="R318" s="2" t="inlineStr"/>
    </row>
    <row r="319" ht="15" customHeight="1">
      <c r="A319" t="inlineStr">
        <is>
          <t>A 4016-2022</t>
        </is>
      </c>
      <c r="B319" s="1" t="n">
        <v>44587</v>
      </c>
      <c r="C319" s="1" t="n">
        <v>45566</v>
      </c>
      <c r="D319" t="inlineStr">
        <is>
          <t>NORRBOTTENS LÄN</t>
        </is>
      </c>
      <c r="E319" t="inlineStr">
        <is>
          <t>GÄLLIVARE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4135-2022</t>
        </is>
      </c>
      <c r="B320" s="1" t="n">
        <v>44588</v>
      </c>
      <c r="C320" s="1" t="n">
        <v>45566</v>
      </c>
      <c r="D320" t="inlineStr">
        <is>
          <t>NORRBOTTENS LÄN</t>
        </is>
      </c>
      <c r="E320" t="inlineStr">
        <is>
          <t>GÄLLIVARE</t>
        </is>
      </c>
      <c r="G320" t="n">
        <v>2.8</v>
      </c>
      <c r="H320" t="n">
        <v>0</v>
      </c>
      <c r="I320" t="n">
        <v>0</v>
      </c>
      <c r="J320" t="n">
        <v>0</v>
      </c>
      <c r="K320" t="n">
        <v>0</v>
      </c>
      <c r="L320" t="n">
        <v>0</v>
      </c>
      <c r="M320" t="n">
        <v>0</v>
      </c>
      <c r="N320" t="n">
        <v>0</v>
      </c>
      <c r="O320" t="n">
        <v>0</v>
      </c>
      <c r="P320" t="n">
        <v>0</v>
      </c>
      <c r="Q320" t="n">
        <v>0</v>
      </c>
      <c r="R320" s="2" t="inlineStr"/>
    </row>
    <row r="321" ht="15" customHeight="1">
      <c r="A321" t="inlineStr">
        <is>
          <t>A 7538-2022</t>
        </is>
      </c>
      <c r="B321" s="1" t="n">
        <v>44607</v>
      </c>
      <c r="C321" s="1" t="n">
        <v>45566</v>
      </c>
      <c r="D321" t="inlineStr">
        <is>
          <t>NORRBOTTENS LÄN</t>
        </is>
      </c>
      <c r="E321" t="inlineStr">
        <is>
          <t>GÄLLIVARE</t>
        </is>
      </c>
      <c r="G321" t="n">
        <v>1.8</v>
      </c>
      <c r="H321" t="n">
        <v>0</v>
      </c>
      <c r="I321" t="n">
        <v>0</v>
      </c>
      <c r="J321" t="n">
        <v>0</v>
      </c>
      <c r="K321" t="n">
        <v>0</v>
      </c>
      <c r="L321" t="n">
        <v>0</v>
      </c>
      <c r="M321" t="n">
        <v>0</v>
      </c>
      <c r="N321" t="n">
        <v>0</v>
      </c>
      <c r="O321" t="n">
        <v>0</v>
      </c>
      <c r="P321" t="n">
        <v>0</v>
      </c>
      <c r="Q321" t="n">
        <v>0</v>
      </c>
      <c r="R321" s="2" t="inlineStr"/>
    </row>
    <row r="322" ht="15" customHeight="1">
      <c r="A322" t="inlineStr">
        <is>
          <t>A 7683-2022</t>
        </is>
      </c>
      <c r="B322" s="1" t="n">
        <v>44607</v>
      </c>
      <c r="C322" s="1" t="n">
        <v>45566</v>
      </c>
      <c r="D322" t="inlineStr">
        <is>
          <t>NORRBOTTENS LÄN</t>
        </is>
      </c>
      <c r="E322" t="inlineStr">
        <is>
          <t>GÄLLIVARE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7693-2022</t>
        </is>
      </c>
      <c r="B323" s="1" t="n">
        <v>44607</v>
      </c>
      <c r="C323" s="1" t="n">
        <v>45566</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7676-2022</t>
        </is>
      </c>
      <c r="B324" s="1" t="n">
        <v>44607</v>
      </c>
      <c r="C324" s="1" t="n">
        <v>45566</v>
      </c>
      <c r="D324" t="inlineStr">
        <is>
          <t>NORRBOTTENS LÄN</t>
        </is>
      </c>
      <c r="E324" t="inlineStr">
        <is>
          <t>GÄLLIVARE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7682-2022</t>
        </is>
      </c>
      <c r="B325" s="1" t="n">
        <v>44607</v>
      </c>
      <c r="C325" s="1" t="n">
        <v>45566</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7681-2022</t>
        </is>
      </c>
      <c r="B326" s="1" t="n">
        <v>44607</v>
      </c>
      <c r="C326" s="1" t="n">
        <v>45566</v>
      </c>
      <c r="D326" t="inlineStr">
        <is>
          <t>NORRBOTTENS LÄN</t>
        </is>
      </c>
      <c r="E326" t="inlineStr">
        <is>
          <t>GÄLLIVARE</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7690-2022</t>
        </is>
      </c>
      <c r="B327" s="1" t="n">
        <v>44607</v>
      </c>
      <c r="C327" s="1" t="n">
        <v>45566</v>
      </c>
      <c r="D327" t="inlineStr">
        <is>
          <t>NORRBOTTENS LÄN</t>
        </is>
      </c>
      <c r="E327" t="inlineStr">
        <is>
          <t>GÄLLIVARE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7678-2022</t>
        </is>
      </c>
      <c r="B328" s="1" t="n">
        <v>44607</v>
      </c>
      <c r="C328" s="1" t="n">
        <v>45566</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7685-2022</t>
        </is>
      </c>
      <c r="B329" s="1" t="n">
        <v>44607</v>
      </c>
      <c r="C329" s="1" t="n">
        <v>45566</v>
      </c>
      <c r="D329" t="inlineStr">
        <is>
          <t>NORRBOTTENS LÄN</t>
        </is>
      </c>
      <c r="E329" t="inlineStr">
        <is>
          <t>GÄLLIVARE</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8018-2022</t>
        </is>
      </c>
      <c r="B330" s="1" t="n">
        <v>44609</v>
      </c>
      <c r="C330" s="1" t="n">
        <v>45566</v>
      </c>
      <c r="D330" t="inlineStr">
        <is>
          <t>NORRBOTTENS LÄN</t>
        </is>
      </c>
      <c r="E330" t="inlineStr">
        <is>
          <t>GÄLLIVARE</t>
        </is>
      </c>
      <c r="G330" t="n">
        <v>1.8</v>
      </c>
      <c r="H330" t="n">
        <v>0</v>
      </c>
      <c r="I330" t="n">
        <v>0</v>
      </c>
      <c r="J330" t="n">
        <v>0</v>
      </c>
      <c r="K330" t="n">
        <v>0</v>
      </c>
      <c r="L330" t="n">
        <v>0</v>
      </c>
      <c r="M330" t="n">
        <v>0</v>
      </c>
      <c r="N330" t="n">
        <v>0</v>
      </c>
      <c r="O330" t="n">
        <v>0</v>
      </c>
      <c r="P330" t="n">
        <v>0</v>
      </c>
      <c r="Q330" t="n">
        <v>0</v>
      </c>
      <c r="R330" s="2" t="inlineStr"/>
    </row>
    <row r="331" ht="15" customHeight="1">
      <c r="A331" t="inlineStr">
        <is>
          <t>A 9504-2022</t>
        </is>
      </c>
      <c r="B331" s="1" t="n">
        <v>44616</v>
      </c>
      <c r="C331" s="1" t="n">
        <v>45566</v>
      </c>
      <c r="D331" t="inlineStr">
        <is>
          <t>NORRBOTTENS LÄN</t>
        </is>
      </c>
      <c r="E331" t="inlineStr">
        <is>
          <t>GÄLLIVARE</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9493-2022</t>
        </is>
      </c>
      <c r="B332" s="1" t="n">
        <v>44616</v>
      </c>
      <c r="C332" s="1" t="n">
        <v>45566</v>
      </c>
      <c r="D332" t="inlineStr">
        <is>
          <t>NORRBOTTENS LÄN</t>
        </is>
      </c>
      <c r="E332" t="inlineStr">
        <is>
          <t>GÄLLIVARE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10652-2022</t>
        </is>
      </c>
      <c r="B333" s="1" t="n">
        <v>44624</v>
      </c>
      <c r="C333" s="1" t="n">
        <v>45566</v>
      </c>
      <c r="D333" t="inlineStr">
        <is>
          <t>NORRBOTTENS LÄN</t>
        </is>
      </c>
      <c r="E333" t="inlineStr">
        <is>
          <t>GÄLLIVARE</t>
        </is>
      </c>
      <c r="G333" t="n">
        <v>7.9</v>
      </c>
      <c r="H333" t="n">
        <v>0</v>
      </c>
      <c r="I333" t="n">
        <v>0</v>
      </c>
      <c r="J333" t="n">
        <v>0</v>
      </c>
      <c r="K333" t="n">
        <v>0</v>
      </c>
      <c r="L333" t="n">
        <v>0</v>
      </c>
      <c r="M333" t="n">
        <v>0</v>
      </c>
      <c r="N333" t="n">
        <v>0</v>
      </c>
      <c r="O333" t="n">
        <v>0</v>
      </c>
      <c r="P333" t="n">
        <v>0</v>
      </c>
      <c r="Q333" t="n">
        <v>0</v>
      </c>
      <c r="R333" s="2" t="inlineStr"/>
    </row>
    <row r="334" ht="15" customHeight="1">
      <c r="A334" t="inlineStr">
        <is>
          <t>A 12202-2022</t>
        </is>
      </c>
      <c r="B334" s="1" t="n">
        <v>44636</v>
      </c>
      <c r="C334" s="1" t="n">
        <v>45566</v>
      </c>
      <c r="D334" t="inlineStr">
        <is>
          <t>NORRBOTTENS LÄN</t>
        </is>
      </c>
      <c r="E334" t="inlineStr">
        <is>
          <t>GÄLLIVARE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14279-2022</t>
        </is>
      </c>
      <c r="B335" s="1" t="n">
        <v>44651</v>
      </c>
      <c r="C335" s="1" t="n">
        <v>45566</v>
      </c>
      <c r="D335" t="inlineStr">
        <is>
          <t>NORRBOTTENS LÄN</t>
        </is>
      </c>
      <c r="E335" t="inlineStr">
        <is>
          <t>GÄLLIVARE</t>
        </is>
      </c>
      <c r="G335" t="n">
        <v>1.9</v>
      </c>
      <c r="H335" t="n">
        <v>0</v>
      </c>
      <c r="I335" t="n">
        <v>0</v>
      </c>
      <c r="J335" t="n">
        <v>0</v>
      </c>
      <c r="K335" t="n">
        <v>0</v>
      </c>
      <c r="L335" t="n">
        <v>0</v>
      </c>
      <c r="M335" t="n">
        <v>0</v>
      </c>
      <c r="N335" t="n">
        <v>0</v>
      </c>
      <c r="O335" t="n">
        <v>0</v>
      </c>
      <c r="P335" t="n">
        <v>0</v>
      </c>
      <c r="Q335" t="n">
        <v>0</v>
      </c>
      <c r="R335" s="2" t="inlineStr"/>
    </row>
    <row r="336" ht="15" customHeight="1">
      <c r="A336" t="inlineStr">
        <is>
          <t>A 16549-2022</t>
        </is>
      </c>
      <c r="B336" s="1" t="n">
        <v>44672</v>
      </c>
      <c r="C336" s="1" t="n">
        <v>45566</v>
      </c>
      <c r="D336" t="inlineStr">
        <is>
          <t>NORRBOTTENS LÄN</t>
        </is>
      </c>
      <c r="E336" t="inlineStr">
        <is>
          <t>GÄLLIVARE</t>
        </is>
      </c>
      <c r="G336" t="n">
        <v>25.9</v>
      </c>
      <c r="H336" t="n">
        <v>0</v>
      </c>
      <c r="I336" t="n">
        <v>0</v>
      </c>
      <c r="J336" t="n">
        <v>0</v>
      </c>
      <c r="K336" t="n">
        <v>0</v>
      </c>
      <c r="L336" t="n">
        <v>0</v>
      </c>
      <c r="M336" t="n">
        <v>0</v>
      </c>
      <c r="N336" t="n">
        <v>0</v>
      </c>
      <c r="O336" t="n">
        <v>0</v>
      </c>
      <c r="P336" t="n">
        <v>0</v>
      </c>
      <c r="Q336" t="n">
        <v>0</v>
      </c>
      <c r="R336" s="2" t="inlineStr"/>
    </row>
    <row r="337" ht="15" customHeight="1">
      <c r="A337" t="inlineStr">
        <is>
          <t>A 18104-2022</t>
        </is>
      </c>
      <c r="B337" s="1" t="n">
        <v>44684</v>
      </c>
      <c r="C337" s="1" t="n">
        <v>45566</v>
      </c>
      <c r="D337" t="inlineStr">
        <is>
          <t>NORRBOTTENS LÄN</t>
        </is>
      </c>
      <c r="E337" t="inlineStr">
        <is>
          <t>GÄLLIVARE</t>
        </is>
      </c>
      <c r="G337" t="n">
        <v>8.4</v>
      </c>
      <c r="H337" t="n">
        <v>0</v>
      </c>
      <c r="I337" t="n">
        <v>0</v>
      </c>
      <c r="J337" t="n">
        <v>0</v>
      </c>
      <c r="K337" t="n">
        <v>0</v>
      </c>
      <c r="L337" t="n">
        <v>0</v>
      </c>
      <c r="M337" t="n">
        <v>0</v>
      </c>
      <c r="N337" t="n">
        <v>0</v>
      </c>
      <c r="O337" t="n">
        <v>0</v>
      </c>
      <c r="P337" t="n">
        <v>0</v>
      </c>
      <c r="Q337" t="n">
        <v>0</v>
      </c>
      <c r="R337" s="2" t="inlineStr"/>
    </row>
    <row r="338" ht="15" customHeight="1">
      <c r="A338" t="inlineStr">
        <is>
          <t>A 20000-2022</t>
        </is>
      </c>
      <c r="B338" s="1" t="n">
        <v>44697</v>
      </c>
      <c r="C338" s="1" t="n">
        <v>45566</v>
      </c>
      <c r="D338" t="inlineStr">
        <is>
          <t>NORRBOTTENS LÄN</t>
        </is>
      </c>
      <c r="E338" t="inlineStr">
        <is>
          <t>GÄLLIVARE</t>
        </is>
      </c>
      <c r="G338" t="n">
        <v>1.2</v>
      </c>
      <c r="H338" t="n">
        <v>0</v>
      </c>
      <c r="I338" t="n">
        <v>0</v>
      </c>
      <c r="J338" t="n">
        <v>0</v>
      </c>
      <c r="K338" t="n">
        <v>0</v>
      </c>
      <c r="L338" t="n">
        <v>0</v>
      </c>
      <c r="M338" t="n">
        <v>0</v>
      </c>
      <c r="N338" t="n">
        <v>0</v>
      </c>
      <c r="O338" t="n">
        <v>0</v>
      </c>
      <c r="P338" t="n">
        <v>0</v>
      </c>
      <c r="Q338" t="n">
        <v>0</v>
      </c>
      <c r="R338" s="2" t="inlineStr"/>
    </row>
    <row r="339" ht="15" customHeight="1">
      <c r="A339" t="inlineStr">
        <is>
          <t>A 22346-2022</t>
        </is>
      </c>
      <c r="B339" s="1" t="n">
        <v>44712</v>
      </c>
      <c r="C339" s="1" t="n">
        <v>45566</v>
      </c>
      <c r="D339" t="inlineStr">
        <is>
          <t>NORRBOTTENS LÄN</t>
        </is>
      </c>
      <c r="E339" t="inlineStr">
        <is>
          <t>GÄLLIVARE</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22347-2022</t>
        </is>
      </c>
      <c r="B340" s="1" t="n">
        <v>44712</v>
      </c>
      <c r="C340" s="1" t="n">
        <v>45566</v>
      </c>
      <c r="D340" t="inlineStr">
        <is>
          <t>NORRBOTTENS LÄN</t>
        </is>
      </c>
      <c r="E340" t="inlineStr">
        <is>
          <t>GÄLLIVARE</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22348-2022</t>
        </is>
      </c>
      <c r="B341" s="1" t="n">
        <v>44712</v>
      </c>
      <c r="C341" s="1" t="n">
        <v>45566</v>
      </c>
      <c r="D341" t="inlineStr">
        <is>
          <t>NORRBOTTENS LÄN</t>
        </is>
      </c>
      <c r="E341" t="inlineStr">
        <is>
          <t>GÄLLIVARE</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22349-2022</t>
        </is>
      </c>
      <c r="B342" s="1" t="n">
        <v>44712</v>
      </c>
      <c r="C342" s="1" t="n">
        <v>45566</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24564-2022</t>
        </is>
      </c>
      <c r="B343" s="1" t="n">
        <v>44726</v>
      </c>
      <c r="C343" s="1" t="n">
        <v>45566</v>
      </c>
      <c r="D343" t="inlineStr">
        <is>
          <t>NORRBOTTENS LÄN</t>
        </is>
      </c>
      <c r="E343" t="inlineStr">
        <is>
          <t>GÄLLIVARE</t>
        </is>
      </c>
      <c r="G343" t="n">
        <v>12.9</v>
      </c>
      <c r="H343" t="n">
        <v>0</v>
      </c>
      <c r="I343" t="n">
        <v>0</v>
      </c>
      <c r="J343" t="n">
        <v>0</v>
      </c>
      <c r="K343" t="n">
        <v>0</v>
      </c>
      <c r="L343" t="n">
        <v>0</v>
      </c>
      <c r="M343" t="n">
        <v>0</v>
      </c>
      <c r="N343" t="n">
        <v>0</v>
      </c>
      <c r="O343" t="n">
        <v>0</v>
      </c>
      <c r="P343" t="n">
        <v>0</v>
      </c>
      <c r="Q343" t="n">
        <v>0</v>
      </c>
      <c r="R343" s="2" t="inlineStr"/>
    </row>
    <row r="344" ht="15" customHeight="1">
      <c r="A344" t="inlineStr">
        <is>
          <t>A 25910-2022</t>
        </is>
      </c>
      <c r="B344" s="1" t="n">
        <v>44734</v>
      </c>
      <c r="C344" s="1" t="n">
        <v>45566</v>
      </c>
      <c r="D344" t="inlineStr">
        <is>
          <t>NORRBOTTENS LÄN</t>
        </is>
      </c>
      <c r="E344" t="inlineStr">
        <is>
          <t>GÄLLIVARE</t>
        </is>
      </c>
      <c r="F344" t="inlineStr">
        <is>
          <t>Sveaskog</t>
        </is>
      </c>
      <c r="G344" t="n">
        <v>36.7</v>
      </c>
      <c r="H344" t="n">
        <v>0</v>
      </c>
      <c r="I344" t="n">
        <v>0</v>
      </c>
      <c r="J344" t="n">
        <v>0</v>
      </c>
      <c r="K344" t="n">
        <v>0</v>
      </c>
      <c r="L344" t="n">
        <v>0</v>
      </c>
      <c r="M344" t="n">
        <v>0</v>
      </c>
      <c r="N344" t="n">
        <v>0</v>
      </c>
      <c r="O344" t="n">
        <v>0</v>
      </c>
      <c r="P344" t="n">
        <v>0</v>
      </c>
      <c r="Q344" t="n">
        <v>0</v>
      </c>
      <c r="R344" s="2" t="inlineStr"/>
    </row>
    <row r="345" ht="15" customHeight="1">
      <c r="A345" t="inlineStr">
        <is>
          <t>A 27050-2022</t>
        </is>
      </c>
      <c r="B345" s="1" t="n">
        <v>44741</v>
      </c>
      <c r="C345" s="1" t="n">
        <v>45566</v>
      </c>
      <c r="D345" t="inlineStr">
        <is>
          <t>NORRBOTTENS LÄN</t>
        </is>
      </c>
      <c r="E345" t="inlineStr">
        <is>
          <t>GÄLLIVARE</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29140-2022</t>
        </is>
      </c>
      <c r="B346" s="1" t="n">
        <v>44750</v>
      </c>
      <c r="C346" s="1" t="n">
        <v>45566</v>
      </c>
      <c r="D346" t="inlineStr">
        <is>
          <t>NORRBOTTENS LÄN</t>
        </is>
      </c>
      <c r="E346" t="inlineStr">
        <is>
          <t>GÄLLIVARE</t>
        </is>
      </c>
      <c r="G346" t="n">
        <v>13.6</v>
      </c>
      <c r="H346" t="n">
        <v>0</v>
      </c>
      <c r="I346" t="n">
        <v>0</v>
      </c>
      <c r="J346" t="n">
        <v>0</v>
      </c>
      <c r="K346" t="n">
        <v>0</v>
      </c>
      <c r="L346" t="n">
        <v>0</v>
      </c>
      <c r="M346" t="n">
        <v>0</v>
      </c>
      <c r="N346" t="n">
        <v>0</v>
      </c>
      <c r="O346" t="n">
        <v>0</v>
      </c>
      <c r="P346" t="n">
        <v>0</v>
      </c>
      <c r="Q346" t="n">
        <v>0</v>
      </c>
      <c r="R346" s="2" t="inlineStr"/>
    </row>
    <row r="347" ht="15" customHeight="1">
      <c r="A347" t="inlineStr">
        <is>
          <t>A 31117-2022</t>
        </is>
      </c>
      <c r="B347" s="1" t="n">
        <v>44769</v>
      </c>
      <c r="C347" s="1" t="n">
        <v>45566</v>
      </c>
      <c r="D347" t="inlineStr">
        <is>
          <t>NORRBOTTENS LÄN</t>
        </is>
      </c>
      <c r="E347" t="inlineStr">
        <is>
          <t>GÄLLIVARE</t>
        </is>
      </c>
      <c r="G347" t="n">
        <v>2.2</v>
      </c>
      <c r="H347" t="n">
        <v>0</v>
      </c>
      <c r="I347" t="n">
        <v>0</v>
      </c>
      <c r="J347" t="n">
        <v>0</v>
      </c>
      <c r="K347" t="n">
        <v>0</v>
      </c>
      <c r="L347" t="n">
        <v>0</v>
      </c>
      <c r="M347" t="n">
        <v>0</v>
      </c>
      <c r="N347" t="n">
        <v>0</v>
      </c>
      <c r="O347" t="n">
        <v>0</v>
      </c>
      <c r="P347" t="n">
        <v>0</v>
      </c>
      <c r="Q347" t="n">
        <v>0</v>
      </c>
      <c r="R347" s="2" t="inlineStr"/>
    </row>
    <row r="348" ht="15" customHeight="1">
      <c r="A348" t="inlineStr">
        <is>
          <t>A 31634-2022</t>
        </is>
      </c>
      <c r="B348" s="1" t="n">
        <v>44775</v>
      </c>
      <c r="C348" s="1" t="n">
        <v>45566</v>
      </c>
      <c r="D348" t="inlineStr">
        <is>
          <t>NORRBOTTENS LÄN</t>
        </is>
      </c>
      <c r="E348" t="inlineStr">
        <is>
          <t>GÄLLIVARE</t>
        </is>
      </c>
      <c r="G348" t="n">
        <v>1.7</v>
      </c>
      <c r="H348" t="n">
        <v>0</v>
      </c>
      <c r="I348" t="n">
        <v>0</v>
      </c>
      <c r="J348" t="n">
        <v>0</v>
      </c>
      <c r="K348" t="n">
        <v>0</v>
      </c>
      <c r="L348" t="n">
        <v>0</v>
      </c>
      <c r="M348" t="n">
        <v>0</v>
      </c>
      <c r="N348" t="n">
        <v>0</v>
      </c>
      <c r="O348" t="n">
        <v>0</v>
      </c>
      <c r="P348" t="n">
        <v>0</v>
      </c>
      <c r="Q348" t="n">
        <v>0</v>
      </c>
      <c r="R348" s="2" t="inlineStr"/>
    </row>
    <row r="349" ht="15" customHeight="1">
      <c r="A349" t="inlineStr">
        <is>
          <t>A 32196-2022</t>
        </is>
      </c>
      <c r="B349" s="1" t="n">
        <v>44781</v>
      </c>
      <c r="C349" s="1" t="n">
        <v>45566</v>
      </c>
      <c r="D349" t="inlineStr">
        <is>
          <t>NORRBOTTENS LÄN</t>
        </is>
      </c>
      <c r="E349" t="inlineStr">
        <is>
          <t>GÄLLIVARE</t>
        </is>
      </c>
      <c r="G349" t="n">
        <v>5.2</v>
      </c>
      <c r="H349" t="n">
        <v>0</v>
      </c>
      <c r="I349" t="n">
        <v>0</v>
      </c>
      <c r="J349" t="n">
        <v>0</v>
      </c>
      <c r="K349" t="n">
        <v>0</v>
      </c>
      <c r="L349" t="n">
        <v>0</v>
      </c>
      <c r="M349" t="n">
        <v>0</v>
      </c>
      <c r="N349" t="n">
        <v>0</v>
      </c>
      <c r="O349" t="n">
        <v>0</v>
      </c>
      <c r="P349" t="n">
        <v>0</v>
      </c>
      <c r="Q349" t="n">
        <v>0</v>
      </c>
      <c r="R349" s="2" t="inlineStr"/>
    </row>
    <row r="350" ht="15" customHeight="1">
      <c r="A350" t="inlineStr">
        <is>
          <t>A 32720-2022</t>
        </is>
      </c>
      <c r="B350" s="1" t="n">
        <v>44783</v>
      </c>
      <c r="C350" s="1" t="n">
        <v>45566</v>
      </c>
      <c r="D350" t="inlineStr">
        <is>
          <t>NORRBOTTENS LÄN</t>
        </is>
      </c>
      <c r="E350" t="inlineStr">
        <is>
          <t>GÄLLIVARE</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33446-2022</t>
        </is>
      </c>
      <c r="B351" s="1" t="n">
        <v>44788</v>
      </c>
      <c r="C351" s="1" t="n">
        <v>45566</v>
      </c>
      <c r="D351" t="inlineStr">
        <is>
          <t>NORRBOTTENS LÄN</t>
        </is>
      </c>
      <c r="E351" t="inlineStr">
        <is>
          <t>GÄLLIVARE</t>
        </is>
      </c>
      <c r="G351" t="n">
        <v>0.5</v>
      </c>
      <c r="H351" t="n">
        <v>0</v>
      </c>
      <c r="I351" t="n">
        <v>0</v>
      </c>
      <c r="J351" t="n">
        <v>0</v>
      </c>
      <c r="K351" t="n">
        <v>0</v>
      </c>
      <c r="L351" t="n">
        <v>0</v>
      </c>
      <c r="M351" t="n">
        <v>0</v>
      </c>
      <c r="N351" t="n">
        <v>0</v>
      </c>
      <c r="O351" t="n">
        <v>0</v>
      </c>
      <c r="P351" t="n">
        <v>0</v>
      </c>
      <c r="Q351" t="n">
        <v>0</v>
      </c>
      <c r="R351" s="2" t="inlineStr"/>
    </row>
    <row r="352" ht="15" customHeight="1">
      <c r="A352" t="inlineStr">
        <is>
          <t>A 34318-2022</t>
        </is>
      </c>
      <c r="B352" s="1" t="n">
        <v>44792</v>
      </c>
      <c r="C352" s="1" t="n">
        <v>45566</v>
      </c>
      <c r="D352" t="inlineStr">
        <is>
          <t>NORRBOTTENS LÄN</t>
        </is>
      </c>
      <c r="E352" t="inlineStr">
        <is>
          <t>GÄLLIVARE</t>
        </is>
      </c>
      <c r="G352" t="n">
        <v>13.3</v>
      </c>
      <c r="H352" t="n">
        <v>0</v>
      </c>
      <c r="I352" t="n">
        <v>0</v>
      </c>
      <c r="J352" t="n">
        <v>0</v>
      </c>
      <c r="K352" t="n">
        <v>0</v>
      </c>
      <c r="L352" t="n">
        <v>0</v>
      </c>
      <c r="M352" t="n">
        <v>0</v>
      </c>
      <c r="N352" t="n">
        <v>0</v>
      </c>
      <c r="O352" t="n">
        <v>0</v>
      </c>
      <c r="P352" t="n">
        <v>0</v>
      </c>
      <c r="Q352" t="n">
        <v>0</v>
      </c>
      <c r="R352" s="2" t="inlineStr"/>
    </row>
    <row r="353" ht="15" customHeight="1">
      <c r="A353" t="inlineStr">
        <is>
          <t>A 34671-2022</t>
        </is>
      </c>
      <c r="B353" s="1" t="n">
        <v>44795</v>
      </c>
      <c r="C353" s="1" t="n">
        <v>45566</v>
      </c>
      <c r="D353" t="inlineStr">
        <is>
          <t>NORRBOTTENS LÄN</t>
        </is>
      </c>
      <c r="E353" t="inlineStr">
        <is>
          <t>GÄLLIVARE</t>
        </is>
      </c>
      <c r="F353" t="inlineStr">
        <is>
          <t>Allmännings- och besparingsskogar</t>
        </is>
      </c>
      <c r="G353" t="n">
        <v>20.5</v>
      </c>
      <c r="H353" t="n">
        <v>0</v>
      </c>
      <c r="I353" t="n">
        <v>0</v>
      </c>
      <c r="J353" t="n">
        <v>0</v>
      </c>
      <c r="K353" t="n">
        <v>0</v>
      </c>
      <c r="L353" t="n">
        <v>0</v>
      </c>
      <c r="M353" t="n">
        <v>0</v>
      </c>
      <c r="N353" t="n">
        <v>0</v>
      </c>
      <c r="O353" t="n">
        <v>0</v>
      </c>
      <c r="P353" t="n">
        <v>0</v>
      </c>
      <c r="Q353" t="n">
        <v>0</v>
      </c>
      <c r="R353" s="2" t="inlineStr"/>
    </row>
    <row r="354" ht="15" customHeight="1">
      <c r="A354" t="inlineStr">
        <is>
          <t>A 34674-2022</t>
        </is>
      </c>
      <c r="B354" s="1" t="n">
        <v>44795</v>
      </c>
      <c r="C354" s="1" t="n">
        <v>45566</v>
      </c>
      <c r="D354" t="inlineStr">
        <is>
          <t>NORRBOTTENS LÄN</t>
        </is>
      </c>
      <c r="E354" t="inlineStr">
        <is>
          <t>GÄLLIVARE</t>
        </is>
      </c>
      <c r="F354" t="inlineStr">
        <is>
          <t>Allmännings- och besparingsskogar</t>
        </is>
      </c>
      <c r="G354" t="n">
        <v>96.7</v>
      </c>
      <c r="H354" t="n">
        <v>0</v>
      </c>
      <c r="I354" t="n">
        <v>0</v>
      </c>
      <c r="J354" t="n">
        <v>0</v>
      </c>
      <c r="K354" t="n">
        <v>0</v>
      </c>
      <c r="L354" t="n">
        <v>0</v>
      </c>
      <c r="M354" t="n">
        <v>0</v>
      </c>
      <c r="N354" t="n">
        <v>0</v>
      </c>
      <c r="O354" t="n">
        <v>0</v>
      </c>
      <c r="P354" t="n">
        <v>0</v>
      </c>
      <c r="Q354" t="n">
        <v>0</v>
      </c>
      <c r="R354" s="2" t="inlineStr"/>
    </row>
    <row r="355" ht="15" customHeight="1">
      <c r="A355" t="inlineStr">
        <is>
          <t>A 35317-2022</t>
        </is>
      </c>
      <c r="B355" s="1" t="n">
        <v>44798</v>
      </c>
      <c r="C355" s="1" t="n">
        <v>45566</v>
      </c>
      <c r="D355" t="inlineStr">
        <is>
          <t>NORRBOTTENS LÄN</t>
        </is>
      </c>
      <c r="E355" t="inlineStr">
        <is>
          <t>GÄLLIVARE</t>
        </is>
      </c>
      <c r="F355" t="inlineStr">
        <is>
          <t>Sveaskog</t>
        </is>
      </c>
      <c r="G355" t="n">
        <v>14.9</v>
      </c>
      <c r="H355" t="n">
        <v>0</v>
      </c>
      <c r="I355" t="n">
        <v>0</v>
      </c>
      <c r="J355" t="n">
        <v>0</v>
      </c>
      <c r="K355" t="n">
        <v>0</v>
      </c>
      <c r="L355" t="n">
        <v>0</v>
      </c>
      <c r="M355" t="n">
        <v>0</v>
      </c>
      <c r="N355" t="n">
        <v>0</v>
      </c>
      <c r="O355" t="n">
        <v>0</v>
      </c>
      <c r="P355" t="n">
        <v>0</v>
      </c>
      <c r="Q355" t="n">
        <v>0</v>
      </c>
      <c r="R355" s="2" t="inlineStr"/>
    </row>
    <row r="356" ht="15" customHeight="1">
      <c r="A356" t="inlineStr">
        <is>
          <t>A 35576-2022</t>
        </is>
      </c>
      <c r="B356" s="1" t="n">
        <v>44799</v>
      </c>
      <c r="C356" s="1" t="n">
        <v>45566</v>
      </c>
      <c r="D356" t="inlineStr">
        <is>
          <t>NORRBOTTENS LÄN</t>
        </is>
      </c>
      <c r="E356" t="inlineStr">
        <is>
          <t>GÄLLIVARE</t>
        </is>
      </c>
      <c r="F356" t="inlineStr">
        <is>
          <t>Allmännings- och besparingsskogar</t>
        </is>
      </c>
      <c r="G356" t="n">
        <v>2.3</v>
      </c>
      <c r="H356" t="n">
        <v>0</v>
      </c>
      <c r="I356" t="n">
        <v>0</v>
      </c>
      <c r="J356" t="n">
        <v>0</v>
      </c>
      <c r="K356" t="n">
        <v>0</v>
      </c>
      <c r="L356" t="n">
        <v>0</v>
      </c>
      <c r="M356" t="n">
        <v>0</v>
      </c>
      <c r="N356" t="n">
        <v>0</v>
      </c>
      <c r="O356" t="n">
        <v>0</v>
      </c>
      <c r="P356" t="n">
        <v>0</v>
      </c>
      <c r="Q356" t="n">
        <v>0</v>
      </c>
      <c r="R356" s="2" t="inlineStr"/>
    </row>
    <row r="357" ht="15" customHeight="1">
      <c r="A357" t="inlineStr">
        <is>
          <t>A 35579-2022</t>
        </is>
      </c>
      <c r="B357" s="1" t="n">
        <v>44799</v>
      </c>
      <c r="C357" s="1" t="n">
        <v>45566</v>
      </c>
      <c r="D357" t="inlineStr">
        <is>
          <t>NORRBOTTENS LÄN</t>
        </is>
      </c>
      <c r="E357" t="inlineStr">
        <is>
          <t>GÄLLIVARE</t>
        </is>
      </c>
      <c r="F357" t="inlineStr">
        <is>
          <t>Allmännings- och besparingsskogar</t>
        </is>
      </c>
      <c r="G357" t="n">
        <v>7.9</v>
      </c>
      <c r="H357" t="n">
        <v>0</v>
      </c>
      <c r="I357" t="n">
        <v>0</v>
      </c>
      <c r="J357" t="n">
        <v>0</v>
      </c>
      <c r="K357" t="n">
        <v>0</v>
      </c>
      <c r="L357" t="n">
        <v>0</v>
      </c>
      <c r="M357" t="n">
        <v>0</v>
      </c>
      <c r="N357" t="n">
        <v>0</v>
      </c>
      <c r="O357" t="n">
        <v>0</v>
      </c>
      <c r="P357" t="n">
        <v>0</v>
      </c>
      <c r="Q357" t="n">
        <v>0</v>
      </c>
      <c r="R357" s="2" t="inlineStr"/>
    </row>
    <row r="358" ht="15" customHeight="1">
      <c r="A358" t="inlineStr">
        <is>
          <t>A 39397-2022</t>
        </is>
      </c>
      <c r="B358" s="1" t="n">
        <v>44817</v>
      </c>
      <c r="C358" s="1" t="n">
        <v>45566</v>
      </c>
      <c r="D358" t="inlineStr">
        <is>
          <t>NORRBOTTENS LÄN</t>
        </is>
      </c>
      <c r="E358" t="inlineStr">
        <is>
          <t>GÄLLIVARE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39379-2022</t>
        </is>
      </c>
      <c r="B359" s="1" t="n">
        <v>44818</v>
      </c>
      <c r="C359" s="1" t="n">
        <v>45566</v>
      </c>
      <c r="D359" t="inlineStr">
        <is>
          <t>NORRBOTTENS LÄN</t>
        </is>
      </c>
      <c r="E359" t="inlineStr">
        <is>
          <t>GÄLLIVARE</t>
        </is>
      </c>
      <c r="F359" t="inlineStr">
        <is>
          <t>SCA</t>
        </is>
      </c>
      <c r="G359" t="n">
        <v>13.5</v>
      </c>
      <c r="H359" t="n">
        <v>0</v>
      </c>
      <c r="I359" t="n">
        <v>0</v>
      </c>
      <c r="J359" t="n">
        <v>0</v>
      </c>
      <c r="K359" t="n">
        <v>0</v>
      </c>
      <c r="L359" t="n">
        <v>0</v>
      </c>
      <c r="M359" t="n">
        <v>0</v>
      </c>
      <c r="N359" t="n">
        <v>0</v>
      </c>
      <c r="O359" t="n">
        <v>0</v>
      </c>
      <c r="P359" t="n">
        <v>0</v>
      </c>
      <c r="Q359" t="n">
        <v>0</v>
      </c>
      <c r="R359" s="2" t="inlineStr"/>
    </row>
    <row r="360" ht="15" customHeight="1">
      <c r="A360" t="inlineStr">
        <is>
          <t>A 39378-2022</t>
        </is>
      </c>
      <c r="B360" s="1" t="n">
        <v>44817</v>
      </c>
      <c r="C360" s="1" t="n">
        <v>45566</v>
      </c>
      <c r="D360" t="inlineStr">
        <is>
          <t>NORRBOTTENS LÄN</t>
        </is>
      </c>
      <c r="E360" t="inlineStr">
        <is>
          <t>GÄLLIVARE</t>
        </is>
      </c>
      <c r="F360" t="inlineStr">
        <is>
          <t>SCA</t>
        </is>
      </c>
      <c r="G360" t="n">
        <v>11.5</v>
      </c>
      <c r="H360" t="n">
        <v>0</v>
      </c>
      <c r="I360" t="n">
        <v>0</v>
      </c>
      <c r="J360" t="n">
        <v>0</v>
      </c>
      <c r="K360" t="n">
        <v>0</v>
      </c>
      <c r="L360" t="n">
        <v>0</v>
      </c>
      <c r="M360" t="n">
        <v>0</v>
      </c>
      <c r="N360" t="n">
        <v>0</v>
      </c>
      <c r="O360" t="n">
        <v>0</v>
      </c>
      <c r="P360" t="n">
        <v>0</v>
      </c>
      <c r="Q360" t="n">
        <v>0</v>
      </c>
      <c r="R360" s="2" t="inlineStr"/>
    </row>
    <row r="361" ht="15" customHeight="1">
      <c r="A361" t="inlineStr">
        <is>
          <t>A 39377-2022</t>
        </is>
      </c>
      <c r="B361" s="1" t="n">
        <v>44817</v>
      </c>
      <c r="C361" s="1" t="n">
        <v>45566</v>
      </c>
      <c r="D361" t="inlineStr">
        <is>
          <t>NORRBOTTENS LÄN</t>
        </is>
      </c>
      <c r="E361" t="inlineStr">
        <is>
          <t>GÄLLIVARE</t>
        </is>
      </c>
      <c r="F361" t="inlineStr">
        <is>
          <t>SCA</t>
        </is>
      </c>
      <c r="G361" t="n">
        <v>11.8</v>
      </c>
      <c r="H361" t="n">
        <v>0</v>
      </c>
      <c r="I361" t="n">
        <v>0</v>
      </c>
      <c r="J361" t="n">
        <v>0</v>
      </c>
      <c r="K361" t="n">
        <v>0</v>
      </c>
      <c r="L361" t="n">
        <v>0</v>
      </c>
      <c r="M361" t="n">
        <v>0</v>
      </c>
      <c r="N361" t="n">
        <v>0</v>
      </c>
      <c r="O361" t="n">
        <v>0</v>
      </c>
      <c r="P361" t="n">
        <v>0</v>
      </c>
      <c r="Q361" t="n">
        <v>0</v>
      </c>
      <c r="R361" s="2" t="inlineStr"/>
    </row>
    <row r="362" ht="15" customHeight="1">
      <c r="A362" t="inlineStr">
        <is>
          <t>A 39559-2022</t>
        </is>
      </c>
      <c r="B362" s="1" t="n">
        <v>44818</v>
      </c>
      <c r="C362" s="1" t="n">
        <v>45566</v>
      </c>
      <c r="D362" t="inlineStr">
        <is>
          <t>NORRBOTTENS LÄN</t>
        </is>
      </c>
      <c r="E362" t="inlineStr">
        <is>
          <t>GÄLLIVARE</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39958-2022</t>
        </is>
      </c>
      <c r="B363" s="1" t="n">
        <v>44819</v>
      </c>
      <c r="C363" s="1" t="n">
        <v>45566</v>
      </c>
      <c r="D363" t="inlineStr">
        <is>
          <t>NORRBOTTENS LÄN</t>
        </is>
      </c>
      <c r="E363" t="inlineStr">
        <is>
          <t>GÄLLIVARE</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40427-2022</t>
        </is>
      </c>
      <c r="B364" s="1" t="n">
        <v>44823</v>
      </c>
      <c r="C364" s="1" t="n">
        <v>45566</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40845-2022</t>
        </is>
      </c>
      <c r="B365" s="1" t="n">
        <v>44824</v>
      </c>
      <c r="C365" s="1" t="n">
        <v>45566</v>
      </c>
      <c r="D365" t="inlineStr">
        <is>
          <t>NORRBOTTENS LÄN</t>
        </is>
      </c>
      <c r="E365" t="inlineStr">
        <is>
          <t>GÄLLIVARE</t>
        </is>
      </c>
      <c r="F365" t="inlineStr">
        <is>
          <t>SCA</t>
        </is>
      </c>
      <c r="G365" t="n">
        <v>30.9</v>
      </c>
      <c r="H365" t="n">
        <v>0</v>
      </c>
      <c r="I365" t="n">
        <v>0</v>
      </c>
      <c r="J365" t="n">
        <v>0</v>
      </c>
      <c r="K365" t="n">
        <v>0</v>
      </c>
      <c r="L365" t="n">
        <v>0</v>
      </c>
      <c r="M365" t="n">
        <v>0</v>
      </c>
      <c r="N365" t="n">
        <v>0</v>
      </c>
      <c r="O365" t="n">
        <v>0</v>
      </c>
      <c r="P365" t="n">
        <v>0</v>
      </c>
      <c r="Q365" t="n">
        <v>0</v>
      </c>
      <c r="R365" s="2" t="inlineStr"/>
    </row>
    <row r="366" ht="15" customHeight="1">
      <c r="A366" t="inlineStr">
        <is>
          <t>A 42278-2022</t>
        </is>
      </c>
      <c r="B366" s="1" t="n">
        <v>44831</v>
      </c>
      <c r="C366" s="1" t="n">
        <v>45566</v>
      </c>
      <c r="D366" t="inlineStr">
        <is>
          <t>NORRBOTTENS LÄN</t>
        </is>
      </c>
      <c r="E366" t="inlineStr">
        <is>
          <t>GÄLLIVARE</t>
        </is>
      </c>
      <c r="F366" t="inlineStr">
        <is>
          <t>SCA</t>
        </is>
      </c>
      <c r="G366" t="n">
        <v>15.2</v>
      </c>
      <c r="H366" t="n">
        <v>0</v>
      </c>
      <c r="I366" t="n">
        <v>0</v>
      </c>
      <c r="J366" t="n">
        <v>0</v>
      </c>
      <c r="K366" t="n">
        <v>0</v>
      </c>
      <c r="L366" t="n">
        <v>0</v>
      </c>
      <c r="M366" t="n">
        <v>0</v>
      </c>
      <c r="N366" t="n">
        <v>0</v>
      </c>
      <c r="O366" t="n">
        <v>0</v>
      </c>
      <c r="P366" t="n">
        <v>0</v>
      </c>
      <c r="Q366" t="n">
        <v>0</v>
      </c>
      <c r="R366" s="2" t="inlineStr"/>
    </row>
    <row r="367" ht="15" customHeight="1">
      <c r="A367" t="inlineStr">
        <is>
          <t>A 42886-2022</t>
        </is>
      </c>
      <c r="B367" s="1" t="n">
        <v>44833</v>
      </c>
      <c r="C367" s="1" t="n">
        <v>45566</v>
      </c>
      <c r="D367" t="inlineStr">
        <is>
          <t>NORRBOTTENS LÄN</t>
        </is>
      </c>
      <c r="E367" t="inlineStr">
        <is>
          <t>GÄLLIVARE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43153-2022</t>
        </is>
      </c>
      <c r="B368" s="1" t="n">
        <v>44834</v>
      </c>
      <c r="C368" s="1" t="n">
        <v>45566</v>
      </c>
      <c r="D368" t="inlineStr">
        <is>
          <t>NORRBOTTENS LÄN</t>
        </is>
      </c>
      <c r="E368" t="inlineStr">
        <is>
          <t>GÄLLIVARE</t>
        </is>
      </c>
      <c r="F368" t="inlineStr">
        <is>
          <t>SCA</t>
        </is>
      </c>
      <c r="G368" t="n">
        <v>22.3</v>
      </c>
      <c r="H368" t="n">
        <v>0</v>
      </c>
      <c r="I368" t="n">
        <v>0</v>
      </c>
      <c r="J368" t="n">
        <v>0</v>
      </c>
      <c r="K368" t="n">
        <v>0</v>
      </c>
      <c r="L368" t="n">
        <v>0</v>
      </c>
      <c r="M368" t="n">
        <v>0</v>
      </c>
      <c r="N368" t="n">
        <v>0</v>
      </c>
      <c r="O368" t="n">
        <v>0</v>
      </c>
      <c r="P368" t="n">
        <v>0</v>
      </c>
      <c r="Q368" t="n">
        <v>0</v>
      </c>
      <c r="R368" s="2" t="inlineStr"/>
    </row>
    <row r="369" ht="15" customHeight="1">
      <c r="A369" t="inlineStr">
        <is>
          <t>A 43154-2022</t>
        </is>
      </c>
      <c r="B369" s="1" t="n">
        <v>44834</v>
      </c>
      <c r="C369" s="1" t="n">
        <v>45566</v>
      </c>
      <c r="D369" t="inlineStr">
        <is>
          <t>NORRBOTTENS LÄN</t>
        </is>
      </c>
      <c r="E369" t="inlineStr">
        <is>
          <t>GÄLLIVARE</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43155-2022</t>
        </is>
      </c>
      <c r="B370" s="1" t="n">
        <v>44834</v>
      </c>
      <c r="C370" s="1" t="n">
        <v>45566</v>
      </c>
      <c r="D370" t="inlineStr">
        <is>
          <t>NORRBOTTENS LÄN</t>
        </is>
      </c>
      <c r="E370" t="inlineStr">
        <is>
          <t>GÄLLIVARE</t>
        </is>
      </c>
      <c r="F370" t="inlineStr">
        <is>
          <t>SCA</t>
        </is>
      </c>
      <c r="G370" t="n">
        <v>10.2</v>
      </c>
      <c r="H370" t="n">
        <v>0</v>
      </c>
      <c r="I370" t="n">
        <v>0</v>
      </c>
      <c r="J370" t="n">
        <v>0</v>
      </c>
      <c r="K370" t="n">
        <v>0</v>
      </c>
      <c r="L370" t="n">
        <v>0</v>
      </c>
      <c r="M370" t="n">
        <v>0</v>
      </c>
      <c r="N370" t="n">
        <v>0</v>
      </c>
      <c r="O370" t="n">
        <v>0</v>
      </c>
      <c r="P370" t="n">
        <v>0</v>
      </c>
      <c r="Q370" t="n">
        <v>0</v>
      </c>
      <c r="R370" s="2" t="inlineStr"/>
    </row>
    <row r="371" ht="15" customHeight="1">
      <c r="A371" t="inlineStr">
        <is>
          <t>A 43159-2022</t>
        </is>
      </c>
      <c r="B371" s="1" t="n">
        <v>44834</v>
      </c>
      <c r="C371" s="1" t="n">
        <v>45566</v>
      </c>
      <c r="D371" t="inlineStr">
        <is>
          <t>NORRBOTTENS LÄN</t>
        </is>
      </c>
      <c r="E371" t="inlineStr">
        <is>
          <t>GÄLLIVARE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43157-2022</t>
        </is>
      </c>
      <c r="B372" s="1" t="n">
        <v>44834</v>
      </c>
      <c r="C372" s="1" t="n">
        <v>45566</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43156-2022</t>
        </is>
      </c>
      <c r="B373" s="1" t="n">
        <v>44834</v>
      </c>
      <c r="C373" s="1" t="n">
        <v>45566</v>
      </c>
      <c r="D373" t="inlineStr">
        <is>
          <t>NORRBOTTENS LÄN</t>
        </is>
      </c>
      <c r="E373" t="inlineStr">
        <is>
          <t>GÄLLIVARE</t>
        </is>
      </c>
      <c r="F373" t="inlineStr">
        <is>
          <t>SCA</t>
        </is>
      </c>
      <c r="G373" t="n">
        <v>10.7</v>
      </c>
      <c r="H373" t="n">
        <v>0</v>
      </c>
      <c r="I373" t="n">
        <v>0</v>
      </c>
      <c r="J373" t="n">
        <v>0</v>
      </c>
      <c r="K373" t="n">
        <v>0</v>
      </c>
      <c r="L373" t="n">
        <v>0</v>
      </c>
      <c r="M373" t="n">
        <v>0</v>
      </c>
      <c r="N373" t="n">
        <v>0</v>
      </c>
      <c r="O373" t="n">
        <v>0</v>
      </c>
      <c r="P373" t="n">
        <v>0</v>
      </c>
      <c r="Q373" t="n">
        <v>0</v>
      </c>
      <c r="R373" s="2" t="inlineStr"/>
    </row>
    <row r="374" ht="15" customHeight="1">
      <c r="A374" t="inlineStr">
        <is>
          <t>A 44840-2022</t>
        </is>
      </c>
      <c r="B374" s="1" t="n">
        <v>44839</v>
      </c>
      <c r="C374" s="1" t="n">
        <v>45566</v>
      </c>
      <c r="D374" t="inlineStr">
        <is>
          <t>NORRBOTTENS LÄN</t>
        </is>
      </c>
      <c r="E374" t="inlineStr">
        <is>
          <t>GÄLLIVARE</t>
        </is>
      </c>
      <c r="F374" t="inlineStr">
        <is>
          <t>Övriga statliga verk och myndigheter</t>
        </is>
      </c>
      <c r="G374" t="n">
        <v>20.9</v>
      </c>
      <c r="H374" t="n">
        <v>0</v>
      </c>
      <c r="I374" t="n">
        <v>0</v>
      </c>
      <c r="J374" t="n">
        <v>0</v>
      </c>
      <c r="K374" t="n">
        <v>0</v>
      </c>
      <c r="L374" t="n">
        <v>0</v>
      </c>
      <c r="M374" t="n">
        <v>0</v>
      </c>
      <c r="N374" t="n">
        <v>0</v>
      </c>
      <c r="O374" t="n">
        <v>0</v>
      </c>
      <c r="P374" t="n">
        <v>0</v>
      </c>
      <c r="Q374" t="n">
        <v>0</v>
      </c>
      <c r="R374" s="2" t="inlineStr"/>
    </row>
    <row r="375" ht="15" customHeight="1">
      <c r="A375" t="inlineStr">
        <is>
          <t>A 47780-2022</t>
        </is>
      </c>
      <c r="B375" s="1" t="n">
        <v>44854</v>
      </c>
      <c r="C375" s="1" t="n">
        <v>45566</v>
      </c>
      <c r="D375" t="inlineStr">
        <is>
          <t>NORRBOTTENS LÄN</t>
        </is>
      </c>
      <c r="E375" t="inlineStr">
        <is>
          <t>GÄLLIVARE</t>
        </is>
      </c>
      <c r="G375" t="n">
        <v>5.4</v>
      </c>
      <c r="H375" t="n">
        <v>0</v>
      </c>
      <c r="I375" t="n">
        <v>0</v>
      </c>
      <c r="J375" t="n">
        <v>0</v>
      </c>
      <c r="K375" t="n">
        <v>0</v>
      </c>
      <c r="L375" t="n">
        <v>0</v>
      </c>
      <c r="M375" t="n">
        <v>0</v>
      </c>
      <c r="N375" t="n">
        <v>0</v>
      </c>
      <c r="O375" t="n">
        <v>0</v>
      </c>
      <c r="P375" t="n">
        <v>0</v>
      </c>
      <c r="Q375" t="n">
        <v>0</v>
      </c>
      <c r="R375" s="2" t="inlineStr"/>
    </row>
    <row r="376" ht="15" customHeight="1">
      <c r="A376" t="inlineStr">
        <is>
          <t>A 47793-2022</t>
        </is>
      </c>
      <c r="B376" s="1" t="n">
        <v>44854</v>
      </c>
      <c r="C376" s="1" t="n">
        <v>45566</v>
      </c>
      <c r="D376" t="inlineStr">
        <is>
          <t>NORRBOTTENS LÄN</t>
        </is>
      </c>
      <c r="E376" t="inlineStr">
        <is>
          <t>GÄLLIVARE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47795-2022</t>
        </is>
      </c>
      <c r="B377" s="1" t="n">
        <v>44854</v>
      </c>
      <c r="C377" s="1" t="n">
        <v>45566</v>
      </c>
      <c r="D377" t="inlineStr">
        <is>
          <t>NORRBOTTENS LÄN</t>
        </is>
      </c>
      <c r="E377" t="inlineStr">
        <is>
          <t>GÄLLIVARE</t>
        </is>
      </c>
      <c r="F377" t="inlineStr">
        <is>
          <t>SCA</t>
        </is>
      </c>
      <c r="G377" t="n">
        <v>10.8</v>
      </c>
      <c r="H377" t="n">
        <v>0</v>
      </c>
      <c r="I377" t="n">
        <v>0</v>
      </c>
      <c r="J377" t="n">
        <v>0</v>
      </c>
      <c r="K377" t="n">
        <v>0</v>
      </c>
      <c r="L377" t="n">
        <v>0</v>
      </c>
      <c r="M377" t="n">
        <v>0</v>
      </c>
      <c r="N377" t="n">
        <v>0</v>
      </c>
      <c r="O377" t="n">
        <v>0</v>
      </c>
      <c r="P377" t="n">
        <v>0</v>
      </c>
      <c r="Q377" t="n">
        <v>0</v>
      </c>
      <c r="R377" s="2" t="inlineStr"/>
    </row>
    <row r="378" ht="15" customHeight="1">
      <c r="A378" t="inlineStr">
        <is>
          <t>A 47805-2022</t>
        </is>
      </c>
      <c r="B378" s="1" t="n">
        <v>44854</v>
      </c>
      <c r="C378" s="1" t="n">
        <v>45566</v>
      </c>
      <c r="D378" t="inlineStr">
        <is>
          <t>NORRBOTTENS LÄN</t>
        </is>
      </c>
      <c r="E378" t="inlineStr">
        <is>
          <t>GÄLLIVARE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47779-2022</t>
        </is>
      </c>
      <c r="B379" s="1" t="n">
        <v>44854</v>
      </c>
      <c r="C379" s="1" t="n">
        <v>45566</v>
      </c>
      <c r="D379" t="inlineStr">
        <is>
          <t>NORRBOTTENS LÄN</t>
        </is>
      </c>
      <c r="E379" t="inlineStr">
        <is>
          <t>GÄLLIVARE</t>
        </is>
      </c>
      <c r="G379" t="n">
        <v>0.6</v>
      </c>
      <c r="H379" t="n">
        <v>0</v>
      </c>
      <c r="I379" t="n">
        <v>0</v>
      </c>
      <c r="J379" t="n">
        <v>0</v>
      </c>
      <c r="K379" t="n">
        <v>0</v>
      </c>
      <c r="L379" t="n">
        <v>0</v>
      </c>
      <c r="M379" t="n">
        <v>0</v>
      </c>
      <c r="N379" t="n">
        <v>0</v>
      </c>
      <c r="O379" t="n">
        <v>0</v>
      </c>
      <c r="P379" t="n">
        <v>0</v>
      </c>
      <c r="Q379" t="n">
        <v>0</v>
      </c>
      <c r="R379" s="2" t="inlineStr"/>
    </row>
    <row r="380" ht="15" customHeight="1">
      <c r="A380" t="inlineStr">
        <is>
          <t>A 47808-2022</t>
        </is>
      </c>
      <c r="B380" s="1" t="n">
        <v>44854</v>
      </c>
      <c r="C380" s="1" t="n">
        <v>45566</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47796-2022</t>
        </is>
      </c>
      <c r="B381" s="1" t="n">
        <v>44854</v>
      </c>
      <c r="C381" s="1" t="n">
        <v>45566</v>
      </c>
      <c r="D381" t="inlineStr">
        <is>
          <t>NORRBOTTENS LÄN</t>
        </is>
      </c>
      <c r="E381" t="inlineStr">
        <is>
          <t>GÄLLIVARE</t>
        </is>
      </c>
      <c r="F381" t="inlineStr">
        <is>
          <t>SCA</t>
        </is>
      </c>
      <c r="G381" t="n">
        <v>17.9</v>
      </c>
      <c r="H381" t="n">
        <v>0</v>
      </c>
      <c r="I381" t="n">
        <v>0</v>
      </c>
      <c r="J381" t="n">
        <v>0</v>
      </c>
      <c r="K381" t="n">
        <v>0</v>
      </c>
      <c r="L381" t="n">
        <v>0</v>
      </c>
      <c r="M381" t="n">
        <v>0</v>
      </c>
      <c r="N381" t="n">
        <v>0</v>
      </c>
      <c r="O381" t="n">
        <v>0</v>
      </c>
      <c r="P381" t="n">
        <v>0</v>
      </c>
      <c r="Q381" t="n">
        <v>0</v>
      </c>
      <c r="R381" s="2" t="inlineStr"/>
    </row>
    <row r="382" ht="15" customHeight="1">
      <c r="A382" t="inlineStr">
        <is>
          <t>A 47802-2022</t>
        </is>
      </c>
      <c r="B382" s="1" t="n">
        <v>44854</v>
      </c>
      <c r="C382" s="1" t="n">
        <v>45566</v>
      </c>
      <c r="D382" t="inlineStr">
        <is>
          <t>NORRBOTTENS LÄN</t>
        </is>
      </c>
      <c r="E382" t="inlineStr">
        <is>
          <t>GÄLLIVARE</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49190-2022</t>
        </is>
      </c>
      <c r="B383" s="1" t="n">
        <v>44861</v>
      </c>
      <c r="C383" s="1" t="n">
        <v>45566</v>
      </c>
      <c r="D383" t="inlineStr">
        <is>
          <t>NORRBOTTENS LÄN</t>
        </is>
      </c>
      <c r="E383" t="inlineStr">
        <is>
          <t>GÄLLIVARE</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49326-2022</t>
        </is>
      </c>
      <c r="B384" s="1" t="n">
        <v>44861</v>
      </c>
      <c r="C384" s="1" t="n">
        <v>45566</v>
      </c>
      <c r="D384" t="inlineStr">
        <is>
          <t>NORRBOTTENS LÄN</t>
        </is>
      </c>
      <c r="E384" t="inlineStr">
        <is>
          <t>GÄLLIVARE</t>
        </is>
      </c>
      <c r="F384" t="inlineStr">
        <is>
          <t>Sveaskog</t>
        </is>
      </c>
      <c r="G384" t="n">
        <v>23.3</v>
      </c>
      <c r="H384" t="n">
        <v>0</v>
      </c>
      <c r="I384" t="n">
        <v>0</v>
      </c>
      <c r="J384" t="n">
        <v>0</v>
      </c>
      <c r="K384" t="n">
        <v>0</v>
      </c>
      <c r="L384" t="n">
        <v>0</v>
      </c>
      <c r="M384" t="n">
        <v>0</v>
      </c>
      <c r="N384" t="n">
        <v>0</v>
      </c>
      <c r="O384" t="n">
        <v>0</v>
      </c>
      <c r="P384" t="n">
        <v>0</v>
      </c>
      <c r="Q384" t="n">
        <v>0</v>
      </c>
      <c r="R384" s="2" t="inlineStr"/>
    </row>
    <row r="385" ht="15" customHeight="1">
      <c r="A385" t="inlineStr">
        <is>
          <t>A 49869-2022</t>
        </is>
      </c>
      <c r="B385" s="1" t="n">
        <v>44862</v>
      </c>
      <c r="C385" s="1" t="n">
        <v>45566</v>
      </c>
      <c r="D385" t="inlineStr">
        <is>
          <t>NORRBOTTENS LÄN</t>
        </is>
      </c>
      <c r="E385" t="inlineStr">
        <is>
          <t>GÄLLIVARE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49862-2022</t>
        </is>
      </c>
      <c r="B386" s="1" t="n">
        <v>44862</v>
      </c>
      <c r="C386" s="1" t="n">
        <v>45566</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49870-2022</t>
        </is>
      </c>
      <c r="B387" s="1" t="n">
        <v>44862</v>
      </c>
      <c r="C387" s="1" t="n">
        <v>45566</v>
      </c>
      <c r="D387" t="inlineStr">
        <is>
          <t>NORRBOTTENS LÄN</t>
        </is>
      </c>
      <c r="E387" t="inlineStr">
        <is>
          <t>GÄLLIVARE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50729-2022</t>
        </is>
      </c>
      <c r="B388" s="1" t="n">
        <v>44862</v>
      </c>
      <c r="C388" s="1" t="n">
        <v>45566</v>
      </c>
      <c r="D388" t="inlineStr">
        <is>
          <t>NORRBOTTENS LÄN</t>
        </is>
      </c>
      <c r="E388" t="inlineStr">
        <is>
          <t>GÄLLIVARE</t>
        </is>
      </c>
      <c r="F388" t="inlineStr">
        <is>
          <t>SCA</t>
        </is>
      </c>
      <c r="G388" t="n">
        <v>19.8</v>
      </c>
      <c r="H388" t="n">
        <v>0</v>
      </c>
      <c r="I388" t="n">
        <v>0</v>
      </c>
      <c r="J388" t="n">
        <v>0</v>
      </c>
      <c r="K388" t="n">
        <v>0</v>
      </c>
      <c r="L388" t="n">
        <v>0</v>
      </c>
      <c r="M388" t="n">
        <v>0</v>
      </c>
      <c r="N388" t="n">
        <v>0</v>
      </c>
      <c r="O388" t="n">
        <v>0</v>
      </c>
      <c r="P388" t="n">
        <v>0</v>
      </c>
      <c r="Q388" t="n">
        <v>0</v>
      </c>
      <c r="R388" s="2" t="inlineStr"/>
    </row>
    <row r="389" ht="15" customHeight="1">
      <c r="A389" t="inlineStr">
        <is>
          <t>A 50513-2022</t>
        </is>
      </c>
      <c r="B389" s="1" t="n">
        <v>44866</v>
      </c>
      <c r="C389" s="1" t="n">
        <v>45566</v>
      </c>
      <c r="D389" t="inlineStr">
        <is>
          <t>NORRBOTTENS LÄN</t>
        </is>
      </c>
      <c r="E389" t="inlineStr">
        <is>
          <t>GÄLLIVARE</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53785-2022</t>
        </is>
      </c>
      <c r="B390" s="1" t="n">
        <v>44875</v>
      </c>
      <c r="C390" s="1" t="n">
        <v>45566</v>
      </c>
      <c r="D390" t="inlineStr">
        <is>
          <t>NORRBOTTENS LÄN</t>
        </is>
      </c>
      <c r="E390" t="inlineStr">
        <is>
          <t>GÄLLIVARE</t>
        </is>
      </c>
      <c r="G390" t="n">
        <v>3</v>
      </c>
      <c r="H390" t="n">
        <v>0</v>
      </c>
      <c r="I390" t="n">
        <v>0</v>
      </c>
      <c r="J390" t="n">
        <v>0</v>
      </c>
      <c r="K390" t="n">
        <v>0</v>
      </c>
      <c r="L390" t="n">
        <v>0</v>
      </c>
      <c r="M390" t="n">
        <v>0</v>
      </c>
      <c r="N390" t="n">
        <v>0</v>
      </c>
      <c r="O390" t="n">
        <v>0</v>
      </c>
      <c r="P390" t="n">
        <v>0</v>
      </c>
      <c r="Q390" t="n">
        <v>0</v>
      </c>
      <c r="R390" s="2" t="inlineStr"/>
    </row>
    <row r="391" ht="15" customHeight="1">
      <c r="A391" t="inlineStr">
        <is>
          <t>A 54842-2022</t>
        </is>
      </c>
      <c r="B391" s="1" t="n">
        <v>44883</v>
      </c>
      <c r="C391" s="1" t="n">
        <v>45566</v>
      </c>
      <c r="D391" t="inlineStr">
        <is>
          <t>NORRBOTTENS LÄN</t>
        </is>
      </c>
      <c r="E391" t="inlineStr">
        <is>
          <t>GÄLLIVARE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55221-2022</t>
        </is>
      </c>
      <c r="B392" s="1" t="n">
        <v>44886</v>
      </c>
      <c r="C392" s="1" t="n">
        <v>45566</v>
      </c>
      <c r="D392" t="inlineStr">
        <is>
          <t>NORRBOTTENS LÄN</t>
        </is>
      </c>
      <c r="E392" t="inlineStr">
        <is>
          <t>GÄLLIVARE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55226-2022</t>
        </is>
      </c>
      <c r="B393" s="1" t="n">
        <v>44887</v>
      </c>
      <c r="C393" s="1" t="n">
        <v>45566</v>
      </c>
      <c r="D393" t="inlineStr">
        <is>
          <t>NORRBOTTENS LÄN</t>
        </is>
      </c>
      <c r="E393" t="inlineStr">
        <is>
          <t>GÄLLIVARE</t>
        </is>
      </c>
      <c r="F393" t="inlineStr">
        <is>
          <t>SCA</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55223-2022</t>
        </is>
      </c>
      <c r="B394" s="1" t="n">
        <v>44886</v>
      </c>
      <c r="C394" s="1" t="n">
        <v>45566</v>
      </c>
      <c r="D394" t="inlineStr">
        <is>
          <t>NORRBOTTENS LÄN</t>
        </is>
      </c>
      <c r="E394" t="inlineStr">
        <is>
          <t>GÄLLIVARE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55239-2022</t>
        </is>
      </c>
      <c r="B395" s="1" t="n">
        <v>44886</v>
      </c>
      <c r="C395" s="1" t="n">
        <v>45566</v>
      </c>
      <c r="D395" t="inlineStr">
        <is>
          <t>NORRBOTTENS LÄN</t>
        </is>
      </c>
      <c r="E395" t="inlineStr">
        <is>
          <t>GÄLLIVARE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55222-2022</t>
        </is>
      </c>
      <c r="B396" s="1" t="n">
        <v>44887</v>
      </c>
      <c r="C396" s="1" t="n">
        <v>45566</v>
      </c>
      <c r="D396" t="inlineStr">
        <is>
          <t>NORRBOTTENS LÄN</t>
        </is>
      </c>
      <c r="E396" t="inlineStr">
        <is>
          <t>GÄLLIVARE</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55220-2022</t>
        </is>
      </c>
      <c r="B397" s="1" t="n">
        <v>44887</v>
      </c>
      <c r="C397" s="1" t="n">
        <v>45566</v>
      </c>
      <c r="D397" t="inlineStr">
        <is>
          <t>NORRBOTTENS LÄN</t>
        </is>
      </c>
      <c r="E397" t="inlineStr">
        <is>
          <t>GÄLLIVARE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55224-2022</t>
        </is>
      </c>
      <c r="B398" s="1" t="n">
        <v>44887</v>
      </c>
      <c r="C398" s="1" t="n">
        <v>45566</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58601-2022</t>
        </is>
      </c>
      <c r="B399" s="1" t="n">
        <v>44895</v>
      </c>
      <c r="C399" s="1" t="n">
        <v>45566</v>
      </c>
      <c r="D399" t="inlineStr">
        <is>
          <t>NORRBOTTENS LÄN</t>
        </is>
      </c>
      <c r="E399" t="inlineStr">
        <is>
          <t>GÄLLIVARE</t>
        </is>
      </c>
      <c r="G399" t="n">
        <v>19.4</v>
      </c>
      <c r="H399" t="n">
        <v>0</v>
      </c>
      <c r="I399" t="n">
        <v>0</v>
      </c>
      <c r="J399" t="n">
        <v>0</v>
      </c>
      <c r="K399" t="n">
        <v>0</v>
      </c>
      <c r="L399" t="n">
        <v>0</v>
      </c>
      <c r="M399" t="n">
        <v>0</v>
      </c>
      <c r="N399" t="n">
        <v>0</v>
      </c>
      <c r="O399" t="n">
        <v>0</v>
      </c>
      <c r="P399" t="n">
        <v>0</v>
      </c>
      <c r="Q399" t="n">
        <v>0</v>
      </c>
      <c r="R399" s="2" t="inlineStr"/>
    </row>
    <row r="400" ht="15" customHeight="1">
      <c r="A400" t="inlineStr">
        <is>
          <t>A 58776-2022</t>
        </is>
      </c>
      <c r="B400" s="1" t="n">
        <v>44895</v>
      </c>
      <c r="C400" s="1" t="n">
        <v>45566</v>
      </c>
      <c r="D400" t="inlineStr">
        <is>
          <t>NORRBOTTENS LÄN</t>
        </is>
      </c>
      <c r="E400" t="inlineStr">
        <is>
          <t>GÄLLIVARE</t>
        </is>
      </c>
      <c r="G400" t="n">
        <v>12.1</v>
      </c>
      <c r="H400" t="n">
        <v>0</v>
      </c>
      <c r="I400" t="n">
        <v>0</v>
      </c>
      <c r="J400" t="n">
        <v>0</v>
      </c>
      <c r="K400" t="n">
        <v>0</v>
      </c>
      <c r="L400" t="n">
        <v>0</v>
      </c>
      <c r="M400" t="n">
        <v>0</v>
      </c>
      <c r="N400" t="n">
        <v>0</v>
      </c>
      <c r="O400" t="n">
        <v>0</v>
      </c>
      <c r="P400" t="n">
        <v>0</v>
      </c>
      <c r="Q400" t="n">
        <v>0</v>
      </c>
      <c r="R400" s="2" t="inlineStr"/>
    </row>
    <row r="401" ht="15" customHeight="1">
      <c r="A401" t="inlineStr">
        <is>
          <t>A 57442-2022</t>
        </is>
      </c>
      <c r="B401" s="1" t="n">
        <v>44896</v>
      </c>
      <c r="C401" s="1" t="n">
        <v>45566</v>
      </c>
      <c r="D401" t="inlineStr">
        <is>
          <t>NORRBOTTENS LÄN</t>
        </is>
      </c>
      <c r="E401" t="inlineStr">
        <is>
          <t>GÄLLIVARE</t>
        </is>
      </c>
      <c r="G401" t="n">
        <v>1.7</v>
      </c>
      <c r="H401" t="n">
        <v>0</v>
      </c>
      <c r="I401" t="n">
        <v>0</v>
      </c>
      <c r="J401" t="n">
        <v>0</v>
      </c>
      <c r="K401" t="n">
        <v>0</v>
      </c>
      <c r="L401" t="n">
        <v>0</v>
      </c>
      <c r="M401" t="n">
        <v>0</v>
      </c>
      <c r="N401" t="n">
        <v>0</v>
      </c>
      <c r="O401" t="n">
        <v>0</v>
      </c>
      <c r="P401" t="n">
        <v>0</v>
      </c>
      <c r="Q401" t="n">
        <v>0</v>
      </c>
      <c r="R401" s="2" t="inlineStr"/>
    </row>
    <row r="402" ht="15" customHeight="1">
      <c r="A402" t="inlineStr">
        <is>
          <t>A 57833-2022</t>
        </is>
      </c>
      <c r="B402" s="1" t="n">
        <v>44897</v>
      </c>
      <c r="C402" s="1" t="n">
        <v>45566</v>
      </c>
      <c r="D402" t="inlineStr">
        <is>
          <t>NORRBOTTENS LÄN</t>
        </is>
      </c>
      <c r="E402" t="inlineStr">
        <is>
          <t>GÄLLIVARE</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58139-2022</t>
        </is>
      </c>
      <c r="B403" s="1" t="n">
        <v>44900</v>
      </c>
      <c r="C403" s="1" t="n">
        <v>45566</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59059-2022</t>
        </is>
      </c>
      <c r="B404" s="1" t="n">
        <v>44904</v>
      </c>
      <c r="C404" s="1" t="n">
        <v>45566</v>
      </c>
      <c r="D404" t="inlineStr">
        <is>
          <t>NORRBOTTENS LÄN</t>
        </is>
      </c>
      <c r="E404" t="inlineStr">
        <is>
          <t>GÄLLIVARE</t>
        </is>
      </c>
      <c r="G404" t="n">
        <v>6.7</v>
      </c>
      <c r="H404" t="n">
        <v>0</v>
      </c>
      <c r="I404" t="n">
        <v>0</v>
      </c>
      <c r="J404" t="n">
        <v>0</v>
      </c>
      <c r="K404" t="n">
        <v>0</v>
      </c>
      <c r="L404" t="n">
        <v>0</v>
      </c>
      <c r="M404" t="n">
        <v>0</v>
      </c>
      <c r="N404" t="n">
        <v>0</v>
      </c>
      <c r="O404" t="n">
        <v>0</v>
      </c>
      <c r="P404" t="n">
        <v>0</v>
      </c>
      <c r="Q404" t="n">
        <v>0</v>
      </c>
      <c r="R404" s="2" t="inlineStr"/>
    </row>
    <row r="405" ht="15" customHeight="1">
      <c r="A405" t="inlineStr">
        <is>
          <t>A 59068-2022</t>
        </is>
      </c>
      <c r="B405" s="1" t="n">
        <v>44904</v>
      </c>
      <c r="C405" s="1" t="n">
        <v>45566</v>
      </c>
      <c r="D405" t="inlineStr">
        <is>
          <t>NORRBOTTENS LÄN</t>
        </is>
      </c>
      <c r="E405" t="inlineStr">
        <is>
          <t>GÄLLIVARE</t>
        </is>
      </c>
      <c r="G405" t="n">
        <v>1</v>
      </c>
      <c r="H405" t="n">
        <v>0</v>
      </c>
      <c r="I405" t="n">
        <v>0</v>
      </c>
      <c r="J405" t="n">
        <v>0</v>
      </c>
      <c r="K405" t="n">
        <v>0</v>
      </c>
      <c r="L405" t="n">
        <v>0</v>
      </c>
      <c r="M405" t="n">
        <v>0</v>
      </c>
      <c r="N405" t="n">
        <v>0</v>
      </c>
      <c r="O405" t="n">
        <v>0</v>
      </c>
      <c r="P405" t="n">
        <v>0</v>
      </c>
      <c r="Q405" t="n">
        <v>0</v>
      </c>
      <c r="R405" s="2" t="inlineStr"/>
    </row>
    <row r="406" ht="15" customHeight="1">
      <c r="A406" t="inlineStr">
        <is>
          <t>A 59172-2022</t>
        </is>
      </c>
      <c r="B406" s="1" t="n">
        <v>44904</v>
      </c>
      <c r="C406" s="1" t="n">
        <v>45566</v>
      </c>
      <c r="D406" t="inlineStr">
        <is>
          <t>NORRBOTTENS LÄN</t>
        </is>
      </c>
      <c r="E406" t="inlineStr">
        <is>
          <t>GÄLLIVARE</t>
        </is>
      </c>
      <c r="G406" t="n">
        <v>0.5</v>
      </c>
      <c r="H406" t="n">
        <v>0</v>
      </c>
      <c r="I406" t="n">
        <v>0</v>
      </c>
      <c r="J406" t="n">
        <v>0</v>
      </c>
      <c r="K406" t="n">
        <v>0</v>
      </c>
      <c r="L406" t="n">
        <v>0</v>
      </c>
      <c r="M406" t="n">
        <v>0</v>
      </c>
      <c r="N406" t="n">
        <v>0</v>
      </c>
      <c r="O406" t="n">
        <v>0</v>
      </c>
      <c r="P406" t="n">
        <v>0</v>
      </c>
      <c r="Q406" t="n">
        <v>0</v>
      </c>
      <c r="R406" s="2" t="inlineStr"/>
    </row>
    <row r="407" ht="15" customHeight="1">
      <c r="A407" t="inlineStr">
        <is>
          <t>A 59189-2022</t>
        </is>
      </c>
      <c r="B407" s="1" t="n">
        <v>44904</v>
      </c>
      <c r="C407" s="1" t="n">
        <v>45566</v>
      </c>
      <c r="D407" t="inlineStr">
        <is>
          <t>NORRBOTTENS LÄN</t>
        </is>
      </c>
      <c r="E407" t="inlineStr">
        <is>
          <t>GÄLLIVARE</t>
        </is>
      </c>
      <c r="G407" t="n">
        <v>2.4</v>
      </c>
      <c r="H407" t="n">
        <v>0</v>
      </c>
      <c r="I407" t="n">
        <v>0</v>
      </c>
      <c r="J407" t="n">
        <v>0</v>
      </c>
      <c r="K407" t="n">
        <v>0</v>
      </c>
      <c r="L407" t="n">
        <v>0</v>
      </c>
      <c r="M407" t="n">
        <v>0</v>
      </c>
      <c r="N407" t="n">
        <v>0</v>
      </c>
      <c r="O407" t="n">
        <v>0</v>
      </c>
      <c r="P407" t="n">
        <v>0</v>
      </c>
      <c r="Q407" t="n">
        <v>0</v>
      </c>
      <c r="R407" s="2" t="inlineStr"/>
    </row>
    <row r="408" ht="15" customHeight="1">
      <c r="A408" t="inlineStr">
        <is>
          <t>A 59177-2022</t>
        </is>
      </c>
      <c r="B408" s="1" t="n">
        <v>44904</v>
      </c>
      <c r="C408" s="1" t="n">
        <v>45566</v>
      </c>
      <c r="D408" t="inlineStr">
        <is>
          <t>NORRBOTTENS LÄN</t>
        </is>
      </c>
      <c r="E408" t="inlineStr">
        <is>
          <t>GÄLLIVARE</t>
        </is>
      </c>
      <c r="G408" t="n">
        <v>0.5</v>
      </c>
      <c r="H408" t="n">
        <v>0</v>
      </c>
      <c r="I408" t="n">
        <v>0</v>
      </c>
      <c r="J408" t="n">
        <v>0</v>
      </c>
      <c r="K408" t="n">
        <v>0</v>
      </c>
      <c r="L408" t="n">
        <v>0</v>
      </c>
      <c r="M408" t="n">
        <v>0</v>
      </c>
      <c r="N408" t="n">
        <v>0</v>
      </c>
      <c r="O408" t="n">
        <v>0</v>
      </c>
      <c r="P408" t="n">
        <v>0</v>
      </c>
      <c r="Q408" t="n">
        <v>0</v>
      </c>
      <c r="R408" s="2" t="inlineStr"/>
    </row>
    <row r="409" ht="15" customHeight="1">
      <c r="A409" t="inlineStr">
        <is>
          <t>A 59194-2022</t>
        </is>
      </c>
      <c r="B409" s="1" t="n">
        <v>44904</v>
      </c>
      <c r="C409" s="1" t="n">
        <v>45566</v>
      </c>
      <c r="D409" t="inlineStr">
        <is>
          <t>NORRBOTTENS LÄN</t>
        </is>
      </c>
      <c r="E409" t="inlineStr">
        <is>
          <t>GÄLLIVARE</t>
        </is>
      </c>
      <c r="G409" t="n">
        <v>3.4</v>
      </c>
      <c r="H409" t="n">
        <v>0</v>
      </c>
      <c r="I409" t="n">
        <v>0</v>
      </c>
      <c r="J409" t="n">
        <v>0</v>
      </c>
      <c r="K409" t="n">
        <v>0</v>
      </c>
      <c r="L409" t="n">
        <v>0</v>
      </c>
      <c r="M409" t="n">
        <v>0</v>
      </c>
      <c r="N409" t="n">
        <v>0</v>
      </c>
      <c r="O409" t="n">
        <v>0</v>
      </c>
      <c r="P409" t="n">
        <v>0</v>
      </c>
      <c r="Q409" t="n">
        <v>0</v>
      </c>
      <c r="R409" s="2" t="inlineStr"/>
    </row>
    <row r="410" ht="15" customHeight="1">
      <c r="A410" t="inlineStr">
        <is>
          <t>A 61679-2022</t>
        </is>
      </c>
      <c r="B410" s="1" t="n">
        <v>44909</v>
      </c>
      <c r="C410" s="1" t="n">
        <v>45566</v>
      </c>
      <c r="D410" t="inlineStr">
        <is>
          <t>NORRBOTTENS LÄN</t>
        </is>
      </c>
      <c r="E410" t="inlineStr">
        <is>
          <t>GÄLLIVARE</t>
        </is>
      </c>
      <c r="G410" t="n">
        <v>5.7</v>
      </c>
      <c r="H410" t="n">
        <v>0</v>
      </c>
      <c r="I410" t="n">
        <v>0</v>
      </c>
      <c r="J410" t="n">
        <v>0</v>
      </c>
      <c r="K410" t="n">
        <v>0</v>
      </c>
      <c r="L410" t="n">
        <v>0</v>
      </c>
      <c r="M410" t="n">
        <v>0</v>
      </c>
      <c r="N410" t="n">
        <v>0</v>
      </c>
      <c r="O410" t="n">
        <v>0</v>
      </c>
      <c r="P410" t="n">
        <v>0</v>
      </c>
      <c r="Q410" t="n">
        <v>0</v>
      </c>
      <c r="R410" s="2" t="inlineStr"/>
    </row>
    <row r="411" ht="15" customHeight="1">
      <c r="A411" t="inlineStr">
        <is>
          <t>A 61795-2022</t>
        </is>
      </c>
      <c r="B411" s="1" t="n">
        <v>44911</v>
      </c>
      <c r="C411" s="1" t="n">
        <v>45566</v>
      </c>
      <c r="D411" t="inlineStr">
        <is>
          <t>NORRBOTTENS LÄN</t>
        </is>
      </c>
      <c r="E411" t="inlineStr">
        <is>
          <t>GÄLLIVARE</t>
        </is>
      </c>
      <c r="G411" t="n">
        <v>2.5</v>
      </c>
      <c r="H411" t="n">
        <v>0</v>
      </c>
      <c r="I411" t="n">
        <v>0</v>
      </c>
      <c r="J411" t="n">
        <v>0</v>
      </c>
      <c r="K411" t="n">
        <v>0</v>
      </c>
      <c r="L411" t="n">
        <v>0</v>
      </c>
      <c r="M411" t="n">
        <v>0</v>
      </c>
      <c r="N411" t="n">
        <v>0</v>
      </c>
      <c r="O411" t="n">
        <v>0</v>
      </c>
      <c r="P411" t="n">
        <v>0</v>
      </c>
      <c r="Q411" t="n">
        <v>0</v>
      </c>
      <c r="R411" s="2" t="inlineStr"/>
    </row>
    <row r="412" ht="15" customHeight="1">
      <c r="A412" t="inlineStr">
        <is>
          <t>A 61644-2022</t>
        </is>
      </c>
      <c r="B412" s="1" t="n">
        <v>44916</v>
      </c>
      <c r="C412" s="1" t="n">
        <v>45566</v>
      </c>
      <c r="D412" t="inlineStr">
        <is>
          <t>NORRBOTTENS LÄN</t>
        </is>
      </c>
      <c r="E412" t="inlineStr">
        <is>
          <t>GÄLLIVARE</t>
        </is>
      </c>
      <c r="G412" t="n">
        <v>0.3</v>
      </c>
      <c r="H412" t="n">
        <v>0</v>
      </c>
      <c r="I412" t="n">
        <v>0</v>
      </c>
      <c r="J412" t="n">
        <v>0</v>
      </c>
      <c r="K412" t="n">
        <v>0</v>
      </c>
      <c r="L412" t="n">
        <v>0</v>
      </c>
      <c r="M412" t="n">
        <v>0</v>
      </c>
      <c r="N412" t="n">
        <v>0</v>
      </c>
      <c r="O412" t="n">
        <v>0</v>
      </c>
      <c r="P412" t="n">
        <v>0</v>
      </c>
      <c r="Q412" t="n">
        <v>0</v>
      </c>
      <c r="R412" s="2" t="inlineStr"/>
    </row>
    <row r="413" ht="15" customHeight="1">
      <c r="A413" t="inlineStr">
        <is>
          <t>A 62496-2022</t>
        </is>
      </c>
      <c r="B413" s="1" t="n">
        <v>44916</v>
      </c>
      <c r="C413" s="1" t="n">
        <v>45566</v>
      </c>
      <c r="D413" t="inlineStr">
        <is>
          <t>NORRBOTTENS LÄN</t>
        </is>
      </c>
      <c r="E413" t="inlineStr">
        <is>
          <t>GÄLLIVARE</t>
        </is>
      </c>
      <c r="G413" t="n">
        <v>23.4</v>
      </c>
      <c r="H413" t="n">
        <v>0</v>
      </c>
      <c r="I413" t="n">
        <v>0</v>
      </c>
      <c r="J413" t="n">
        <v>0</v>
      </c>
      <c r="K413" t="n">
        <v>0</v>
      </c>
      <c r="L413" t="n">
        <v>0</v>
      </c>
      <c r="M413" t="n">
        <v>0</v>
      </c>
      <c r="N413" t="n">
        <v>0</v>
      </c>
      <c r="O413" t="n">
        <v>0</v>
      </c>
      <c r="P413" t="n">
        <v>0</v>
      </c>
      <c r="Q413" t="n">
        <v>0</v>
      </c>
      <c r="R413" s="2" t="inlineStr"/>
    </row>
    <row r="414" ht="15" customHeight="1">
      <c r="A414" t="inlineStr">
        <is>
          <t>A 62160-2022</t>
        </is>
      </c>
      <c r="B414" s="1" t="n">
        <v>44922</v>
      </c>
      <c r="C414" s="1" t="n">
        <v>45566</v>
      </c>
      <c r="D414" t="inlineStr">
        <is>
          <t>NORRBOTTENS LÄN</t>
        </is>
      </c>
      <c r="E414" t="inlineStr">
        <is>
          <t>GÄLLIVARE</t>
        </is>
      </c>
      <c r="G414" t="n">
        <v>19.6</v>
      </c>
      <c r="H414" t="n">
        <v>0</v>
      </c>
      <c r="I414" t="n">
        <v>0</v>
      </c>
      <c r="J414" t="n">
        <v>0</v>
      </c>
      <c r="K414" t="n">
        <v>0</v>
      </c>
      <c r="L414" t="n">
        <v>0</v>
      </c>
      <c r="M414" t="n">
        <v>0</v>
      </c>
      <c r="N414" t="n">
        <v>0</v>
      </c>
      <c r="O414" t="n">
        <v>0</v>
      </c>
      <c r="P414" t="n">
        <v>0</v>
      </c>
      <c r="Q414" t="n">
        <v>0</v>
      </c>
      <c r="R414" s="2" t="inlineStr"/>
    </row>
    <row r="415" ht="15" customHeight="1">
      <c r="A415" t="inlineStr">
        <is>
          <t>A 62258-2022</t>
        </is>
      </c>
      <c r="B415" s="1" t="n">
        <v>44922</v>
      </c>
      <c r="C415" s="1" t="n">
        <v>45566</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404-2023</t>
        </is>
      </c>
      <c r="B416" s="1" t="n">
        <v>44923</v>
      </c>
      <c r="C416" s="1" t="n">
        <v>45566</v>
      </c>
      <c r="D416" t="inlineStr">
        <is>
          <t>NORRBOTTENS LÄN</t>
        </is>
      </c>
      <c r="E416" t="inlineStr">
        <is>
          <t>GÄLLIVARE</t>
        </is>
      </c>
      <c r="G416" t="n">
        <v>1</v>
      </c>
      <c r="H416" t="n">
        <v>0</v>
      </c>
      <c r="I416" t="n">
        <v>0</v>
      </c>
      <c r="J416" t="n">
        <v>0</v>
      </c>
      <c r="K416" t="n">
        <v>0</v>
      </c>
      <c r="L416" t="n">
        <v>0</v>
      </c>
      <c r="M416" t="n">
        <v>0</v>
      </c>
      <c r="N416" t="n">
        <v>0</v>
      </c>
      <c r="O416" t="n">
        <v>0</v>
      </c>
      <c r="P416" t="n">
        <v>0</v>
      </c>
      <c r="Q416" t="n">
        <v>0</v>
      </c>
      <c r="R416" s="2" t="inlineStr"/>
    </row>
    <row r="417" ht="15" customHeight="1">
      <c r="A417" t="inlineStr">
        <is>
          <t>A 62580-2022</t>
        </is>
      </c>
      <c r="B417" s="1" t="n">
        <v>44924</v>
      </c>
      <c r="C417" s="1" t="n">
        <v>45566</v>
      </c>
      <c r="D417" t="inlineStr">
        <is>
          <t>NORRBOTTENS LÄN</t>
        </is>
      </c>
      <c r="E417" t="inlineStr">
        <is>
          <t>GÄLLIVARE</t>
        </is>
      </c>
      <c r="F417" t="inlineStr">
        <is>
          <t>SCA</t>
        </is>
      </c>
      <c r="G417" t="n">
        <v>9.9</v>
      </c>
      <c r="H417" t="n">
        <v>0</v>
      </c>
      <c r="I417" t="n">
        <v>0</v>
      </c>
      <c r="J417" t="n">
        <v>0</v>
      </c>
      <c r="K417" t="n">
        <v>0</v>
      </c>
      <c r="L417" t="n">
        <v>0</v>
      </c>
      <c r="M417" t="n">
        <v>0</v>
      </c>
      <c r="N417" t="n">
        <v>0</v>
      </c>
      <c r="O417" t="n">
        <v>0</v>
      </c>
      <c r="P417" t="n">
        <v>0</v>
      </c>
      <c r="Q417" t="n">
        <v>0</v>
      </c>
      <c r="R417" s="2" t="inlineStr"/>
    </row>
    <row r="418" ht="15" customHeight="1">
      <c r="A418" t="inlineStr">
        <is>
          <t>A 1312-2023</t>
        </is>
      </c>
      <c r="B418" s="1" t="n">
        <v>44931</v>
      </c>
      <c r="C418" s="1" t="n">
        <v>45566</v>
      </c>
      <c r="D418" t="inlineStr">
        <is>
          <t>NORRBOTTENS LÄN</t>
        </is>
      </c>
      <c r="E418" t="inlineStr">
        <is>
          <t>GÄLLIVARE</t>
        </is>
      </c>
      <c r="G418" t="n">
        <v>3.3</v>
      </c>
      <c r="H418" t="n">
        <v>0</v>
      </c>
      <c r="I418" t="n">
        <v>0</v>
      </c>
      <c r="J418" t="n">
        <v>0</v>
      </c>
      <c r="K418" t="n">
        <v>0</v>
      </c>
      <c r="L418" t="n">
        <v>0</v>
      </c>
      <c r="M418" t="n">
        <v>0</v>
      </c>
      <c r="N418" t="n">
        <v>0</v>
      </c>
      <c r="O418" t="n">
        <v>0</v>
      </c>
      <c r="P418" t="n">
        <v>0</v>
      </c>
      <c r="Q418" t="n">
        <v>0</v>
      </c>
      <c r="R418" s="2" t="inlineStr"/>
    </row>
    <row r="419" ht="15" customHeight="1">
      <c r="A419" t="inlineStr">
        <is>
          <t>A 1609-2023</t>
        </is>
      </c>
      <c r="B419" s="1" t="n">
        <v>44937</v>
      </c>
      <c r="C419" s="1" t="n">
        <v>45566</v>
      </c>
      <c r="D419" t="inlineStr">
        <is>
          <t>NORRBOTTENS LÄN</t>
        </is>
      </c>
      <c r="E419" t="inlineStr">
        <is>
          <t>GÄLLIVARE</t>
        </is>
      </c>
      <c r="G419" t="n">
        <v>0.7</v>
      </c>
      <c r="H419" t="n">
        <v>0</v>
      </c>
      <c r="I419" t="n">
        <v>0</v>
      </c>
      <c r="J419" t="n">
        <v>0</v>
      </c>
      <c r="K419" t="n">
        <v>0</v>
      </c>
      <c r="L419" t="n">
        <v>0</v>
      </c>
      <c r="M419" t="n">
        <v>0</v>
      </c>
      <c r="N419" t="n">
        <v>0</v>
      </c>
      <c r="O419" t="n">
        <v>0</v>
      </c>
      <c r="P419" t="n">
        <v>0</v>
      </c>
      <c r="Q419" t="n">
        <v>0</v>
      </c>
      <c r="R419" s="2" t="inlineStr"/>
    </row>
    <row r="420" ht="15" customHeight="1">
      <c r="A420" t="inlineStr">
        <is>
          <t>A 2244-2023</t>
        </is>
      </c>
      <c r="B420" s="1" t="n">
        <v>44942</v>
      </c>
      <c r="C420" s="1" t="n">
        <v>45566</v>
      </c>
      <c r="D420" t="inlineStr">
        <is>
          <t>NORRBOTTENS LÄN</t>
        </is>
      </c>
      <c r="E420" t="inlineStr">
        <is>
          <t>GÄLLIVARE</t>
        </is>
      </c>
      <c r="G420" t="n">
        <v>21.1</v>
      </c>
      <c r="H420" t="n">
        <v>0</v>
      </c>
      <c r="I420" t="n">
        <v>0</v>
      </c>
      <c r="J420" t="n">
        <v>0</v>
      </c>
      <c r="K420" t="n">
        <v>0</v>
      </c>
      <c r="L420" t="n">
        <v>0</v>
      </c>
      <c r="M420" t="n">
        <v>0</v>
      </c>
      <c r="N420" t="n">
        <v>0</v>
      </c>
      <c r="O420" t="n">
        <v>0</v>
      </c>
      <c r="P420" t="n">
        <v>0</v>
      </c>
      <c r="Q420" t="n">
        <v>0</v>
      </c>
      <c r="R420" s="2" t="inlineStr"/>
    </row>
    <row r="421" ht="15" customHeight="1">
      <c r="A421" t="inlineStr">
        <is>
          <t>A 2237-2023</t>
        </is>
      </c>
      <c r="B421" s="1" t="n">
        <v>44942</v>
      </c>
      <c r="C421" s="1" t="n">
        <v>45566</v>
      </c>
      <c r="D421" t="inlineStr">
        <is>
          <t>NORRBOTTENS LÄN</t>
        </is>
      </c>
      <c r="E421" t="inlineStr">
        <is>
          <t>GÄLLIVARE</t>
        </is>
      </c>
      <c r="G421" t="n">
        <v>7</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45566</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2621-2023</t>
        </is>
      </c>
      <c r="B423" s="1" t="n">
        <v>44942</v>
      </c>
      <c r="C423" s="1" t="n">
        <v>45566</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4185-2023</t>
        </is>
      </c>
      <c r="B424" s="1" t="n">
        <v>44953</v>
      </c>
      <c r="C424" s="1" t="n">
        <v>45566</v>
      </c>
      <c r="D424" t="inlineStr">
        <is>
          <t>NORRBOTTENS LÄN</t>
        </is>
      </c>
      <c r="E424" t="inlineStr">
        <is>
          <t>GÄLLIVARE</t>
        </is>
      </c>
      <c r="G424" t="n">
        <v>2.7</v>
      </c>
      <c r="H424" t="n">
        <v>0</v>
      </c>
      <c r="I424" t="n">
        <v>0</v>
      </c>
      <c r="J424" t="n">
        <v>0</v>
      </c>
      <c r="K424" t="n">
        <v>0</v>
      </c>
      <c r="L424" t="n">
        <v>0</v>
      </c>
      <c r="M424" t="n">
        <v>0</v>
      </c>
      <c r="N424" t="n">
        <v>0</v>
      </c>
      <c r="O424" t="n">
        <v>0</v>
      </c>
      <c r="P424" t="n">
        <v>0</v>
      </c>
      <c r="Q424" t="n">
        <v>0</v>
      </c>
      <c r="R424" s="2" t="inlineStr"/>
    </row>
    <row r="425" ht="15" customHeight="1">
      <c r="A425" t="inlineStr">
        <is>
          <t>A 4768-2023</t>
        </is>
      </c>
      <c r="B425" s="1" t="n">
        <v>44953</v>
      </c>
      <c r="C425" s="1" t="n">
        <v>45566</v>
      </c>
      <c r="D425" t="inlineStr">
        <is>
          <t>NORRBOTTENS LÄN</t>
        </is>
      </c>
      <c r="E425" t="inlineStr">
        <is>
          <t>GÄLLIVARE</t>
        </is>
      </c>
      <c r="G425" t="n">
        <v>7.9</v>
      </c>
      <c r="H425" t="n">
        <v>0</v>
      </c>
      <c r="I425" t="n">
        <v>0</v>
      </c>
      <c r="J425" t="n">
        <v>0</v>
      </c>
      <c r="K425" t="n">
        <v>0</v>
      </c>
      <c r="L425" t="n">
        <v>0</v>
      </c>
      <c r="M425" t="n">
        <v>0</v>
      </c>
      <c r="N425" t="n">
        <v>0</v>
      </c>
      <c r="O425" t="n">
        <v>0</v>
      </c>
      <c r="P425" t="n">
        <v>0</v>
      </c>
      <c r="Q425" t="n">
        <v>0</v>
      </c>
      <c r="R425" s="2" t="inlineStr"/>
    </row>
    <row r="426" ht="15" customHeight="1">
      <c r="A426" t="inlineStr">
        <is>
          <t>A 4756-2023</t>
        </is>
      </c>
      <c r="B426" s="1" t="n">
        <v>44953</v>
      </c>
      <c r="C426" s="1" t="n">
        <v>45566</v>
      </c>
      <c r="D426" t="inlineStr">
        <is>
          <t>NORRBOTTENS LÄN</t>
        </is>
      </c>
      <c r="E426" t="inlineStr">
        <is>
          <t>GÄLLIVARE</t>
        </is>
      </c>
      <c r="G426" t="n">
        <v>4.2</v>
      </c>
      <c r="H426" t="n">
        <v>0</v>
      </c>
      <c r="I426" t="n">
        <v>0</v>
      </c>
      <c r="J426" t="n">
        <v>0</v>
      </c>
      <c r="K426" t="n">
        <v>0</v>
      </c>
      <c r="L426" t="n">
        <v>0</v>
      </c>
      <c r="M426" t="n">
        <v>0</v>
      </c>
      <c r="N426" t="n">
        <v>0</v>
      </c>
      <c r="O426" t="n">
        <v>0</v>
      </c>
      <c r="P426" t="n">
        <v>0</v>
      </c>
      <c r="Q426" t="n">
        <v>0</v>
      </c>
      <c r="R426" s="2" t="inlineStr"/>
    </row>
    <row r="427" ht="15" customHeight="1">
      <c r="A427" t="inlineStr">
        <is>
          <t>A 4773-2023</t>
        </is>
      </c>
      <c r="B427" s="1" t="n">
        <v>44953</v>
      </c>
      <c r="C427" s="1" t="n">
        <v>45566</v>
      </c>
      <c r="D427" t="inlineStr">
        <is>
          <t>NORRBOTTENS LÄN</t>
        </is>
      </c>
      <c r="E427" t="inlineStr">
        <is>
          <t>GÄLLIVARE</t>
        </is>
      </c>
      <c r="G427" t="n">
        <v>8.6</v>
      </c>
      <c r="H427" t="n">
        <v>0</v>
      </c>
      <c r="I427" t="n">
        <v>0</v>
      </c>
      <c r="J427" t="n">
        <v>0</v>
      </c>
      <c r="K427" t="n">
        <v>0</v>
      </c>
      <c r="L427" t="n">
        <v>0</v>
      </c>
      <c r="M427" t="n">
        <v>0</v>
      </c>
      <c r="N427" t="n">
        <v>0</v>
      </c>
      <c r="O427" t="n">
        <v>0</v>
      </c>
      <c r="P427" t="n">
        <v>0</v>
      </c>
      <c r="Q427" t="n">
        <v>0</v>
      </c>
      <c r="R427" s="2" t="inlineStr"/>
    </row>
    <row r="428" ht="15" customHeight="1">
      <c r="A428" t="inlineStr">
        <is>
          <t>A 4238-2023</t>
        </is>
      </c>
      <c r="B428" s="1" t="n">
        <v>44953</v>
      </c>
      <c r="C428" s="1" t="n">
        <v>45566</v>
      </c>
      <c r="D428" t="inlineStr">
        <is>
          <t>NORRBOTTENS LÄN</t>
        </is>
      </c>
      <c r="E428" t="inlineStr">
        <is>
          <t>GÄLLIVARE</t>
        </is>
      </c>
      <c r="G428" t="n">
        <v>5.1</v>
      </c>
      <c r="H428" t="n">
        <v>0</v>
      </c>
      <c r="I428" t="n">
        <v>0</v>
      </c>
      <c r="J428" t="n">
        <v>0</v>
      </c>
      <c r="K428" t="n">
        <v>0</v>
      </c>
      <c r="L428" t="n">
        <v>0</v>
      </c>
      <c r="M428" t="n">
        <v>0</v>
      </c>
      <c r="N428" t="n">
        <v>0</v>
      </c>
      <c r="O428" t="n">
        <v>0</v>
      </c>
      <c r="P428" t="n">
        <v>0</v>
      </c>
      <c r="Q428" t="n">
        <v>0</v>
      </c>
      <c r="R428" s="2" t="inlineStr"/>
    </row>
    <row r="429" ht="15" customHeight="1">
      <c r="A429" t="inlineStr">
        <is>
          <t>A 5454-2023</t>
        </is>
      </c>
      <c r="B429" s="1" t="n">
        <v>44959</v>
      </c>
      <c r="C429" s="1" t="n">
        <v>45566</v>
      </c>
      <c r="D429" t="inlineStr">
        <is>
          <t>NORRBOTTENS LÄN</t>
        </is>
      </c>
      <c r="E429" t="inlineStr">
        <is>
          <t>GÄLLIVARE</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5456-2023</t>
        </is>
      </c>
      <c r="B430" s="1" t="n">
        <v>44959</v>
      </c>
      <c r="C430" s="1" t="n">
        <v>45566</v>
      </c>
      <c r="D430" t="inlineStr">
        <is>
          <t>NORRBOTTENS LÄN</t>
        </is>
      </c>
      <c r="E430" t="inlineStr">
        <is>
          <t>GÄLLIVARE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5695-2023</t>
        </is>
      </c>
      <c r="B431" s="1" t="n">
        <v>44960</v>
      </c>
      <c r="C431" s="1" t="n">
        <v>45566</v>
      </c>
      <c r="D431" t="inlineStr">
        <is>
          <t>NORRBOTTENS LÄN</t>
        </is>
      </c>
      <c r="E431" t="inlineStr">
        <is>
          <t>GÄLLIVARE</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5704-2023</t>
        </is>
      </c>
      <c r="B432" s="1" t="n">
        <v>44960</v>
      </c>
      <c r="C432" s="1" t="n">
        <v>45566</v>
      </c>
      <c r="D432" t="inlineStr">
        <is>
          <t>NORRBOTTENS LÄN</t>
        </is>
      </c>
      <c r="E432" t="inlineStr">
        <is>
          <t>GÄLLIVARE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5708-2023</t>
        </is>
      </c>
      <c r="B433" s="1" t="n">
        <v>44960</v>
      </c>
      <c r="C433" s="1" t="n">
        <v>45566</v>
      </c>
      <c r="D433" t="inlineStr">
        <is>
          <t>NORRBOTTENS LÄN</t>
        </is>
      </c>
      <c r="E433" t="inlineStr">
        <is>
          <t>GÄLLIVARE</t>
        </is>
      </c>
      <c r="F433" t="inlineStr">
        <is>
          <t>SCA</t>
        </is>
      </c>
      <c r="G433" t="n">
        <v>15.3</v>
      </c>
      <c r="H433" t="n">
        <v>0</v>
      </c>
      <c r="I433" t="n">
        <v>0</v>
      </c>
      <c r="J433" t="n">
        <v>0</v>
      </c>
      <c r="K433" t="n">
        <v>0</v>
      </c>
      <c r="L433" t="n">
        <v>0</v>
      </c>
      <c r="M433" t="n">
        <v>0</v>
      </c>
      <c r="N433" t="n">
        <v>0</v>
      </c>
      <c r="O433" t="n">
        <v>0</v>
      </c>
      <c r="P433" t="n">
        <v>0</v>
      </c>
      <c r="Q433" t="n">
        <v>0</v>
      </c>
      <c r="R433" s="2" t="inlineStr"/>
    </row>
    <row r="434" ht="15" customHeight="1">
      <c r="A434" t="inlineStr">
        <is>
          <t>A 5709-2023</t>
        </is>
      </c>
      <c r="B434" s="1" t="n">
        <v>44960</v>
      </c>
      <c r="C434" s="1" t="n">
        <v>45566</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6459-2023</t>
        </is>
      </c>
      <c r="B435" s="1" t="n">
        <v>44965</v>
      </c>
      <c r="C435" s="1" t="n">
        <v>45566</v>
      </c>
      <c r="D435" t="inlineStr">
        <is>
          <t>NORRBOTTENS LÄN</t>
        </is>
      </c>
      <c r="E435" t="inlineStr">
        <is>
          <t>GÄLLIVARE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6783-2023</t>
        </is>
      </c>
      <c r="B436" s="1" t="n">
        <v>44966</v>
      </c>
      <c r="C436" s="1" t="n">
        <v>45566</v>
      </c>
      <c r="D436" t="inlineStr">
        <is>
          <t>NORRBOTTENS LÄN</t>
        </is>
      </c>
      <c r="E436" t="inlineStr">
        <is>
          <t>GÄLLIVARE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6781-2023</t>
        </is>
      </c>
      <c r="B437" s="1" t="n">
        <v>44966</v>
      </c>
      <c r="C437" s="1" t="n">
        <v>45566</v>
      </c>
      <c r="D437" t="inlineStr">
        <is>
          <t>NORRBOTTENS LÄN</t>
        </is>
      </c>
      <c r="E437" t="inlineStr">
        <is>
          <t>GÄLLIVARE</t>
        </is>
      </c>
      <c r="F437" t="inlineStr">
        <is>
          <t>SCA</t>
        </is>
      </c>
      <c r="G437" t="n">
        <v>14.1</v>
      </c>
      <c r="H437" t="n">
        <v>0</v>
      </c>
      <c r="I437" t="n">
        <v>0</v>
      </c>
      <c r="J437" t="n">
        <v>0</v>
      </c>
      <c r="K437" t="n">
        <v>0</v>
      </c>
      <c r="L437" t="n">
        <v>0</v>
      </c>
      <c r="M437" t="n">
        <v>0</v>
      </c>
      <c r="N437" t="n">
        <v>0</v>
      </c>
      <c r="O437" t="n">
        <v>0</v>
      </c>
      <c r="P437" t="n">
        <v>0</v>
      </c>
      <c r="Q437" t="n">
        <v>0</v>
      </c>
      <c r="R437" s="2" t="inlineStr"/>
    </row>
    <row r="438" ht="15" customHeight="1">
      <c r="A438" t="inlineStr">
        <is>
          <t>A 10149-2023</t>
        </is>
      </c>
      <c r="B438" s="1" t="n">
        <v>44980</v>
      </c>
      <c r="C438" s="1" t="n">
        <v>45566</v>
      </c>
      <c r="D438" t="inlineStr">
        <is>
          <t>NORRBOTTENS LÄN</t>
        </is>
      </c>
      <c r="E438" t="inlineStr">
        <is>
          <t>GÄLLIVARE</t>
        </is>
      </c>
      <c r="F438" t="inlineStr">
        <is>
          <t>Allmännings- och besparingsskogar</t>
        </is>
      </c>
      <c r="G438" t="n">
        <v>12.5</v>
      </c>
      <c r="H438" t="n">
        <v>0</v>
      </c>
      <c r="I438" t="n">
        <v>0</v>
      </c>
      <c r="J438" t="n">
        <v>0</v>
      </c>
      <c r="K438" t="n">
        <v>0</v>
      </c>
      <c r="L438" t="n">
        <v>0</v>
      </c>
      <c r="M438" t="n">
        <v>0</v>
      </c>
      <c r="N438" t="n">
        <v>0</v>
      </c>
      <c r="O438" t="n">
        <v>0</v>
      </c>
      <c r="P438" t="n">
        <v>0</v>
      </c>
      <c r="Q438" t="n">
        <v>0</v>
      </c>
      <c r="R438" s="2" t="inlineStr"/>
    </row>
    <row r="439" ht="15" customHeight="1">
      <c r="A439" t="inlineStr">
        <is>
          <t>A 10183-2023</t>
        </is>
      </c>
      <c r="B439" s="1" t="n">
        <v>44980</v>
      </c>
      <c r="C439" s="1" t="n">
        <v>45566</v>
      </c>
      <c r="D439" t="inlineStr">
        <is>
          <t>NORRBOTTENS LÄN</t>
        </is>
      </c>
      <c r="E439" t="inlineStr">
        <is>
          <t>GÄLLIVARE</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10153-2023</t>
        </is>
      </c>
      <c r="B440" s="1" t="n">
        <v>44980</v>
      </c>
      <c r="C440" s="1" t="n">
        <v>45566</v>
      </c>
      <c r="D440" t="inlineStr">
        <is>
          <t>NORRBOTTENS LÄN</t>
        </is>
      </c>
      <c r="E440" t="inlineStr">
        <is>
          <t>GÄLLIVARE</t>
        </is>
      </c>
      <c r="F440" t="inlineStr">
        <is>
          <t>Allmännings- och besparingsskogar</t>
        </is>
      </c>
      <c r="G440" t="n">
        <v>35.1</v>
      </c>
      <c r="H440" t="n">
        <v>0</v>
      </c>
      <c r="I440" t="n">
        <v>0</v>
      </c>
      <c r="J440" t="n">
        <v>0</v>
      </c>
      <c r="K440" t="n">
        <v>0</v>
      </c>
      <c r="L440" t="n">
        <v>0</v>
      </c>
      <c r="M440" t="n">
        <v>0</v>
      </c>
      <c r="N440" t="n">
        <v>0</v>
      </c>
      <c r="O440" t="n">
        <v>0</v>
      </c>
      <c r="P440" t="n">
        <v>0</v>
      </c>
      <c r="Q440" t="n">
        <v>0</v>
      </c>
      <c r="R440" s="2" t="inlineStr"/>
    </row>
    <row r="441" ht="15" customHeight="1">
      <c r="A441" t="inlineStr">
        <is>
          <t>A 10139-2023</t>
        </is>
      </c>
      <c r="B441" s="1" t="n">
        <v>44980</v>
      </c>
      <c r="C441" s="1" t="n">
        <v>45566</v>
      </c>
      <c r="D441" t="inlineStr">
        <is>
          <t>NORRBOTTENS LÄN</t>
        </is>
      </c>
      <c r="E441" t="inlineStr">
        <is>
          <t>GÄLLIVARE</t>
        </is>
      </c>
      <c r="F441" t="inlineStr">
        <is>
          <t>Allmännings- och besparingsskogar</t>
        </is>
      </c>
      <c r="G441" t="n">
        <v>12.5</v>
      </c>
      <c r="H441" t="n">
        <v>0</v>
      </c>
      <c r="I441" t="n">
        <v>0</v>
      </c>
      <c r="J441" t="n">
        <v>0</v>
      </c>
      <c r="K441" t="n">
        <v>0</v>
      </c>
      <c r="L441" t="n">
        <v>0</v>
      </c>
      <c r="M441" t="n">
        <v>0</v>
      </c>
      <c r="N441" t="n">
        <v>0</v>
      </c>
      <c r="O441" t="n">
        <v>0</v>
      </c>
      <c r="P441" t="n">
        <v>0</v>
      </c>
      <c r="Q441" t="n">
        <v>0</v>
      </c>
      <c r="R441" s="2" t="inlineStr"/>
    </row>
    <row r="442" ht="15" customHeight="1">
      <c r="A442" t="inlineStr">
        <is>
          <t>A 10166-2023</t>
        </is>
      </c>
      <c r="B442" s="1" t="n">
        <v>44980</v>
      </c>
      <c r="C442" s="1" t="n">
        <v>45566</v>
      </c>
      <c r="D442" t="inlineStr">
        <is>
          <t>NORRBOTTENS LÄN</t>
        </is>
      </c>
      <c r="E442" t="inlineStr">
        <is>
          <t>GÄLLIVARE</t>
        </is>
      </c>
      <c r="F442" t="inlineStr">
        <is>
          <t>Allmännings- och besparingsskogar</t>
        </is>
      </c>
      <c r="G442" t="n">
        <v>18.6</v>
      </c>
      <c r="H442" t="n">
        <v>0</v>
      </c>
      <c r="I442" t="n">
        <v>0</v>
      </c>
      <c r="J442" t="n">
        <v>0</v>
      </c>
      <c r="K442" t="n">
        <v>0</v>
      </c>
      <c r="L442" t="n">
        <v>0</v>
      </c>
      <c r="M442" t="n">
        <v>0</v>
      </c>
      <c r="N442" t="n">
        <v>0</v>
      </c>
      <c r="O442" t="n">
        <v>0</v>
      </c>
      <c r="P442" t="n">
        <v>0</v>
      </c>
      <c r="Q442" t="n">
        <v>0</v>
      </c>
      <c r="R442" s="2" t="inlineStr"/>
    </row>
    <row r="443" ht="15" customHeight="1">
      <c r="A443" t="inlineStr">
        <is>
          <t>A 10187-2023</t>
        </is>
      </c>
      <c r="B443" s="1" t="n">
        <v>44980</v>
      </c>
      <c r="C443" s="1" t="n">
        <v>45566</v>
      </c>
      <c r="D443" t="inlineStr">
        <is>
          <t>NORRBOTTENS LÄN</t>
        </is>
      </c>
      <c r="E443" t="inlineStr">
        <is>
          <t>GÄLLIVARE</t>
        </is>
      </c>
      <c r="F443" t="inlineStr">
        <is>
          <t>Allmännings- och besparingsskogar</t>
        </is>
      </c>
      <c r="G443" t="n">
        <v>33.5</v>
      </c>
      <c r="H443" t="n">
        <v>0</v>
      </c>
      <c r="I443" t="n">
        <v>0</v>
      </c>
      <c r="J443" t="n">
        <v>0</v>
      </c>
      <c r="K443" t="n">
        <v>0</v>
      </c>
      <c r="L443" t="n">
        <v>0</v>
      </c>
      <c r="M443" t="n">
        <v>0</v>
      </c>
      <c r="N443" t="n">
        <v>0</v>
      </c>
      <c r="O443" t="n">
        <v>0</v>
      </c>
      <c r="P443" t="n">
        <v>0</v>
      </c>
      <c r="Q443" t="n">
        <v>0</v>
      </c>
      <c r="R443" s="2" t="inlineStr"/>
    </row>
    <row r="444" ht="15" customHeight="1">
      <c r="A444" t="inlineStr">
        <is>
          <t>A 9556-2023</t>
        </is>
      </c>
      <c r="B444" s="1" t="n">
        <v>44981</v>
      </c>
      <c r="C444" s="1" t="n">
        <v>45566</v>
      </c>
      <c r="D444" t="inlineStr">
        <is>
          <t>NORRBOTTENS LÄN</t>
        </is>
      </c>
      <c r="E444" t="inlineStr">
        <is>
          <t>GÄLLIVARE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10298-2023</t>
        </is>
      </c>
      <c r="B445" s="1" t="n">
        <v>44986</v>
      </c>
      <c r="C445" s="1" t="n">
        <v>45566</v>
      </c>
      <c r="D445" t="inlineStr">
        <is>
          <t>NORRBOTTENS LÄN</t>
        </is>
      </c>
      <c r="E445" t="inlineStr">
        <is>
          <t>GÄLLIVARE</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11290-2023</t>
        </is>
      </c>
      <c r="B446" s="1" t="n">
        <v>44992</v>
      </c>
      <c r="C446" s="1" t="n">
        <v>45566</v>
      </c>
      <c r="D446" t="inlineStr">
        <is>
          <t>NORRBOTTENS LÄN</t>
        </is>
      </c>
      <c r="E446" t="inlineStr">
        <is>
          <t>GÄLLIVARE</t>
        </is>
      </c>
      <c r="G446" t="n">
        <v>2</v>
      </c>
      <c r="H446" t="n">
        <v>0</v>
      </c>
      <c r="I446" t="n">
        <v>0</v>
      </c>
      <c r="J446" t="n">
        <v>0</v>
      </c>
      <c r="K446" t="n">
        <v>0</v>
      </c>
      <c r="L446" t="n">
        <v>0</v>
      </c>
      <c r="M446" t="n">
        <v>0</v>
      </c>
      <c r="N446" t="n">
        <v>0</v>
      </c>
      <c r="O446" t="n">
        <v>0</v>
      </c>
      <c r="P446" t="n">
        <v>0</v>
      </c>
      <c r="Q446" t="n">
        <v>0</v>
      </c>
      <c r="R446" s="2" t="inlineStr"/>
    </row>
    <row r="447" ht="15" customHeight="1">
      <c r="A447" t="inlineStr">
        <is>
          <t>A 13250-2023</t>
        </is>
      </c>
      <c r="B447" s="1" t="n">
        <v>45002</v>
      </c>
      <c r="C447" s="1" t="n">
        <v>45566</v>
      </c>
      <c r="D447" t="inlineStr">
        <is>
          <t>NORRBOTTENS LÄN</t>
        </is>
      </c>
      <c r="E447" t="inlineStr">
        <is>
          <t>GÄLLIVARE</t>
        </is>
      </c>
      <c r="F447" t="inlineStr">
        <is>
          <t>SCA</t>
        </is>
      </c>
      <c r="G447" t="n">
        <v>16.9</v>
      </c>
      <c r="H447" t="n">
        <v>0</v>
      </c>
      <c r="I447" t="n">
        <v>0</v>
      </c>
      <c r="J447" t="n">
        <v>0</v>
      </c>
      <c r="K447" t="n">
        <v>0</v>
      </c>
      <c r="L447" t="n">
        <v>0</v>
      </c>
      <c r="M447" t="n">
        <v>0</v>
      </c>
      <c r="N447" t="n">
        <v>0</v>
      </c>
      <c r="O447" t="n">
        <v>0</v>
      </c>
      <c r="P447" t="n">
        <v>0</v>
      </c>
      <c r="Q447" t="n">
        <v>0</v>
      </c>
      <c r="R447" s="2" t="inlineStr"/>
    </row>
    <row r="448" ht="15" customHeight="1">
      <c r="A448" t="inlineStr">
        <is>
          <t>A 13251-2023</t>
        </is>
      </c>
      <c r="B448" s="1" t="n">
        <v>45002</v>
      </c>
      <c r="C448" s="1" t="n">
        <v>45566</v>
      </c>
      <c r="D448" t="inlineStr">
        <is>
          <t>NORRBOTTENS LÄN</t>
        </is>
      </c>
      <c r="E448" t="inlineStr">
        <is>
          <t>GÄLLIVARE</t>
        </is>
      </c>
      <c r="F448" t="inlineStr">
        <is>
          <t>SCA</t>
        </is>
      </c>
      <c r="G448" t="n">
        <v>23.6</v>
      </c>
      <c r="H448" t="n">
        <v>0</v>
      </c>
      <c r="I448" t="n">
        <v>0</v>
      </c>
      <c r="J448" t="n">
        <v>0</v>
      </c>
      <c r="K448" t="n">
        <v>0</v>
      </c>
      <c r="L448" t="n">
        <v>0</v>
      </c>
      <c r="M448" t="n">
        <v>0</v>
      </c>
      <c r="N448" t="n">
        <v>0</v>
      </c>
      <c r="O448" t="n">
        <v>0</v>
      </c>
      <c r="P448" t="n">
        <v>0</v>
      </c>
      <c r="Q448" t="n">
        <v>0</v>
      </c>
      <c r="R448" s="2" t="inlineStr"/>
    </row>
    <row r="449" ht="15" customHeight="1">
      <c r="A449" t="inlineStr">
        <is>
          <t>A 15072-2023</t>
        </is>
      </c>
      <c r="B449" s="1" t="n">
        <v>45015</v>
      </c>
      <c r="C449" s="1" t="n">
        <v>45566</v>
      </c>
      <c r="D449" t="inlineStr">
        <is>
          <t>NORRBOTTENS LÄN</t>
        </is>
      </c>
      <c r="E449" t="inlineStr">
        <is>
          <t>GÄLLIVARE</t>
        </is>
      </c>
      <c r="G449" t="n">
        <v>0.5</v>
      </c>
      <c r="H449" t="n">
        <v>0</v>
      </c>
      <c r="I449" t="n">
        <v>0</v>
      </c>
      <c r="J449" t="n">
        <v>0</v>
      </c>
      <c r="K449" t="n">
        <v>0</v>
      </c>
      <c r="L449" t="n">
        <v>0</v>
      </c>
      <c r="M449" t="n">
        <v>0</v>
      </c>
      <c r="N449" t="n">
        <v>0</v>
      </c>
      <c r="O449" t="n">
        <v>0</v>
      </c>
      <c r="P449" t="n">
        <v>0</v>
      </c>
      <c r="Q449" t="n">
        <v>0</v>
      </c>
      <c r="R449" s="2" t="inlineStr"/>
    </row>
    <row r="450" ht="15" customHeight="1">
      <c r="A450" t="inlineStr">
        <is>
          <t>A 16068-2023</t>
        </is>
      </c>
      <c r="B450" s="1" t="n">
        <v>45027</v>
      </c>
      <c r="C450" s="1" t="n">
        <v>45566</v>
      </c>
      <c r="D450" t="inlineStr">
        <is>
          <t>NORRBOTTENS LÄN</t>
        </is>
      </c>
      <c r="E450" t="inlineStr">
        <is>
          <t>GÄLLIVARE</t>
        </is>
      </c>
      <c r="G450" t="n">
        <v>4.1</v>
      </c>
      <c r="H450" t="n">
        <v>0</v>
      </c>
      <c r="I450" t="n">
        <v>0</v>
      </c>
      <c r="J450" t="n">
        <v>0</v>
      </c>
      <c r="K450" t="n">
        <v>0</v>
      </c>
      <c r="L450" t="n">
        <v>0</v>
      </c>
      <c r="M450" t="n">
        <v>0</v>
      </c>
      <c r="N450" t="n">
        <v>0</v>
      </c>
      <c r="O450" t="n">
        <v>0</v>
      </c>
      <c r="P450" t="n">
        <v>0</v>
      </c>
      <c r="Q450" t="n">
        <v>0</v>
      </c>
      <c r="R450" s="2" t="inlineStr"/>
    </row>
    <row r="451" ht="15" customHeight="1">
      <c r="A451" t="inlineStr">
        <is>
          <t>A 16754-2023</t>
        </is>
      </c>
      <c r="B451" s="1" t="n">
        <v>45030</v>
      </c>
      <c r="C451" s="1" t="n">
        <v>45566</v>
      </c>
      <c r="D451" t="inlineStr">
        <is>
          <t>NORRBOTTENS LÄN</t>
        </is>
      </c>
      <c r="E451" t="inlineStr">
        <is>
          <t>GÄLLIVARE</t>
        </is>
      </c>
      <c r="G451" t="n">
        <v>9.1</v>
      </c>
      <c r="H451" t="n">
        <v>0</v>
      </c>
      <c r="I451" t="n">
        <v>0</v>
      </c>
      <c r="J451" t="n">
        <v>0</v>
      </c>
      <c r="K451" t="n">
        <v>0</v>
      </c>
      <c r="L451" t="n">
        <v>0</v>
      </c>
      <c r="M451" t="n">
        <v>0</v>
      </c>
      <c r="N451" t="n">
        <v>0</v>
      </c>
      <c r="O451" t="n">
        <v>0</v>
      </c>
      <c r="P451" t="n">
        <v>0</v>
      </c>
      <c r="Q451" t="n">
        <v>0</v>
      </c>
      <c r="R451" s="2" t="inlineStr"/>
    </row>
    <row r="452" ht="15" customHeight="1">
      <c r="A452" t="inlineStr">
        <is>
          <t>A 16973-2023</t>
        </is>
      </c>
      <c r="B452" s="1" t="n">
        <v>45033</v>
      </c>
      <c r="C452" s="1" t="n">
        <v>45566</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16952-2023</t>
        </is>
      </c>
      <c r="B453" s="1" t="n">
        <v>45033</v>
      </c>
      <c r="C453" s="1" t="n">
        <v>45566</v>
      </c>
      <c r="D453" t="inlineStr">
        <is>
          <t>NORRBOTTENS LÄN</t>
        </is>
      </c>
      <c r="E453" t="inlineStr">
        <is>
          <t>GÄLLIVARE</t>
        </is>
      </c>
      <c r="G453" t="n">
        <v>0.5</v>
      </c>
      <c r="H453" t="n">
        <v>0</v>
      </c>
      <c r="I453" t="n">
        <v>0</v>
      </c>
      <c r="J453" t="n">
        <v>0</v>
      </c>
      <c r="K453" t="n">
        <v>0</v>
      </c>
      <c r="L453" t="n">
        <v>0</v>
      </c>
      <c r="M453" t="n">
        <v>0</v>
      </c>
      <c r="N453" t="n">
        <v>0</v>
      </c>
      <c r="O453" t="n">
        <v>0</v>
      </c>
      <c r="P453" t="n">
        <v>0</v>
      </c>
      <c r="Q453" t="n">
        <v>0</v>
      </c>
      <c r="R453" s="2" t="inlineStr"/>
    </row>
    <row r="454" ht="15" customHeight="1">
      <c r="A454" t="inlineStr">
        <is>
          <t>A 19619-2023</t>
        </is>
      </c>
      <c r="B454" s="1" t="n">
        <v>45050</v>
      </c>
      <c r="C454" s="1" t="n">
        <v>45566</v>
      </c>
      <c r="D454" t="inlineStr">
        <is>
          <t>NORRBOTTENS LÄN</t>
        </is>
      </c>
      <c r="E454" t="inlineStr">
        <is>
          <t>GÄLLIVARE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20126-2023</t>
        </is>
      </c>
      <c r="B455" s="1" t="n">
        <v>45051</v>
      </c>
      <c r="C455" s="1" t="n">
        <v>45566</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21159-2023</t>
        </is>
      </c>
      <c r="B456" s="1" t="n">
        <v>45062</v>
      </c>
      <c r="C456" s="1" t="n">
        <v>45566</v>
      </c>
      <c r="D456" t="inlineStr">
        <is>
          <t>NORRBOTTENS LÄN</t>
        </is>
      </c>
      <c r="E456" t="inlineStr">
        <is>
          <t>GÄLLIVARE</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21556-2023</t>
        </is>
      </c>
      <c r="B457" s="1" t="n">
        <v>45063</v>
      </c>
      <c r="C457" s="1" t="n">
        <v>45566</v>
      </c>
      <c r="D457" t="inlineStr">
        <is>
          <t>NORRBOTTENS LÄN</t>
        </is>
      </c>
      <c r="E457" t="inlineStr">
        <is>
          <t>GÄLLIVARE</t>
        </is>
      </c>
      <c r="G457" t="n">
        <v>6.8</v>
      </c>
      <c r="H457" t="n">
        <v>0</v>
      </c>
      <c r="I457" t="n">
        <v>0</v>
      </c>
      <c r="J457" t="n">
        <v>0</v>
      </c>
      <c r="K457" t="n">
        <v>0</v>
      </c>
      <c r="L457" t="n">
        <v>0</v>
      </c>
      <c r="M457" t="n">
        <v>0</v>
      </c>
      <c r="N457" t="n">
        <v>0</v>
      </c>
      <c r="O457" t="n">
        <v>0</v>
      </c>
      <c r="P457" t="n">
        <v>0</v>
      </c>
      <c r="Q457" t="n">
        <v>0</v>
      </c>
      <c r="R457" s="2" t="inlineStr"/>
    </row>
    <row r="458" ht="15" customHeight="1">
      <c r="A458" t="inlineStr">
        <is>
          <t>A 21785-2023</t>
        </is>
      </c>
      <c r="B458" s="1" t="n">
        <v>45065</v>
      </c>
      <c r="C458" s="1" t="n">
        <v>45566</v>
      </c>
      <c r="D458" t="inlineStr">
        <is>
          <t>NORRBOTTENS LÄN</t>
        </is>
      </c>
      <c r="E458" t="inlineStr">
        <is>
          <t>GÄLLIVARE</t>
        </is>
      </c>
      <c r="G458" t="n">
        <v>22.4</v>
      </c>
      <c r="H458" t="n">
        <v>0</v>
      </c>
      <c r="I458" t="n">
        <v>0</v>
      </c>
      <c r="J458" t="n">
        <v>0</v>
      </c>
      <c r="K458" t="n">
        <v>0</v>
      </c>
      <c r="L458" t="n">
        <v>0</v>
      </c>
      <c r="M458" t="n">
        <v>0</v>
      </c>
      <c r="N458" t="n">
        <v>0</v>
      </c>
      <c r="O458" t="n">
        <v>0</v>
      </c>
      <c r="P458" t="n">
        <v>0</v>
      </c>
      <c r="Q458" t="n">
        <v>0</v>
      </c>
      <c r="R458" s="2" t="inlineStr"/>
    </row>
    <row r="459" ht="15" customHeight="1">
      <c r="A459" t="inlineStr">
        <is>
          <t>A 22744-2023</t>
        </is>
      </c>
      <c r="B459" s="1" t="n">
        <v>45072</v>
      </c>
      <c r="C459" s="1" t="n">
        <v>45566</v>
      </c>
      <c r="D459" t="inlineStr">
        <is>
          <t>NORRBOTTENS LÄN</t>
        </is>
      </c>
      <c r="E459" t="inlineStr">
        <is>
          <t>GÄLLIVARE</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22743-2023</t>
        </is>
      </c>
      <c r="B460" s="1" t="n">
        <v>45072</v>
      </c>
      <c r="C460" s="1" t="n">
        <v>45566</v>
      </c>
      <c r="D460" t="inlineStr">
        <is>
          <t>NORRBOTTENS LÄN</t>
        </is>
      </c>
      <c r="E460" t="inlineStr">
        <is>
          <t>GÄLLIVARE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23489-2023</t>
        </is>
      </c>
      <c r="B461" s="1" t="n">
        <v>45072</v>
      </c>
      <c r="C461" s="1" t="n">
        <v>45566</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23774-2023</t>
        </is>
      </c>
      <c r="B462" s="1" t="n">
        <v>45077</v>
      </c>
      <c r="C462" s="1" t="n">
        <v>45566</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24094-2023</t>
        </is>
      </c>
      <c r="B463" s="1" t="n">
        <v>45079</v>
      </c>
      <c r="C463" s="1" t="n">
        <v>45566</v>
      </c>
      <c r="D463" t="inlineStr">
        <is>
          <t>NORRBOTTENS LÄN</t>
        </is>
      </c>
      <c r="E463" t="inlineStr">
        <is>
          <t>GÄLLIVARE</t>
        </is>
      </c>
      <c r="G463" t="n">
        <v>3.6</v>
      </c>
      <c r="H463" t="n">
        <v>0</v>
      </c>
      <c r="I463" t="n">
        <v>0</v>
      </c>
      <c r="J463" t="n">
        <v>0</v>
      </c>
      <c r="K463" t="n">
        <v>0</v>
      </c>
      <c r="L463" t="n">
        <v>0</v>
      </c>
      <c r="M463" t="n">
        <v>0</v>
      </c>
      <c r="N463" t="n">
        <v>0</v>
      </c>
      <c r="O463" t="n">
        <v>0</v>
      </c>
      <c r="P463" t="n">
        <v>0</v>
      </c>
      <c r="Q463" t="n">
        <v>0</v>
      </c>
      <c r="R463" s="2" t="inlineStr"/>
    </row>
    <row r="464" ht="15" customHeight="1">
      <c r="A464" t="inlineStr">
        <is>
          <t>A 24117-2023</t>
        </is>
      </c>
      <c r="B464" s="1" t="n">
        <v>45079</v>
      </c>
      <c r="C464" s="1" t="n">
        <v>45566</v>
      </c>
      <c r="D464" t="inlineStr">
        <is>
          <t>NORRBOTTENS LÄN</t>
        </is>
      </c>
      <c r="E464" t="inlineStr">
        <is>
          <t>GÄLLIVARE</t>
        </is>
      </c>
      <c r="G464" t="n">
        <v>2.9</v>
      </c>
      <c r="H464" t="n">
        <v>0</v>
      </c>
      <c r="I464" t="n">
        <v>0</v>
      </c>
      <c r="J464" t="n">
        <v>0</v>
      </c>
      <c r="K464" t="n">
        <v>0</v>
      </c>
      <c r="L464" t="n">
        <v>0</v>
      </c>
      <c r="M464" t="n">
        <v>0</v>
      </c>
      <c r="N464" t="n">
        <v>0</v>
      </c>
      <c r="O464" t="n">
        <v>0</v>
      </c>
      <c r="P464" t="n">
        <v>0</v>
      </c>
      <c r="Q464" t="n">
        <v>0</v>
      </c>
      <c r="R464" s="2" t="inlineStr"/>
    </row>
    <row r="465" ht="15" customHeight="1">
      <c r="A465" t="inlineStr">
        <is>
          <t>A 25197-2023</t>
        </is>
      </c>
      <c r="B465" s="1" t="n">
        <v>45086</v>
      </c>
      <c r="C465" s="1" t="n">
        <v>45566</v>
      </c>
      <c r="D465" t="inlineStr">
        <is>
          <t>NORRBOTTENS LÄN</t>
        </is>
      </c>
      <c r="E465" t="inlineStr">
        <is>
          <t>GÄLLIVARE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25195-2023</t>
        </is>
      </c>
      <c r="B466" s="1" t="n">
        <v>45086</v>
      </c>
      <c r="C466" s="1" t="n">
        <v>45566</v>
      </c>
      <c r="D466" t="inlineStr">
        <is>
          <t>NORRBOTTENS LÄN</t>
        </is>
      </c>
      <c r="E466" t="inlineStr">
        <is>
          <t>GÄLLIVARE</t>
        </is>
      </c>
      <c r="F466" t="inlineStr">
        <is>
          <t>Sveaskog</t>
        </is>
      </c>
      <c r="G466" t="n">
        <v>6.1</v>
      </c>
      <c r="H466" t="n">
        <v>0</v>
      </c>
      <c r="I466" t="n">
        <v>0</v>
      </c>
      <c r="J466" t="n">
        <v>0</v>
      </c>
      <c r="K466" t="n">
        <v>0</v>
      </c>
      <c r="L466" t="n">
        <v>0</v>
      </c>
      <c r="M466" t="n">
        <v>0</v>
      </c>
      <c r="N466" t="n">
        <v>0</v>
      </c>
      <c r="O466" t="n">
        <v>0</v>
      </c>
      <c r="P466" t="n">
        <v>0</v>
      </c>
      <c r="Q466" t="n">
        <v>0</v>
      </c>
      <c r="R466" s="2" t="inlineStr"/>
    </row>
    <row r="467" ht="15" customHeight="1">
      <c r="A467" t="inlineStr">
        <is>
          <t>A 25191-2023</t>
        </is>
      </c>
      <c r="B467" s="1" t="n">
        <v>45086</v>
      </c>
      <c r="C467" s="1" t="n">
        <v>45566</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25681-2023</t>
        </is>
      </c>
      <c r="B468" s="1" t="n">
        <v>45089</v>
      </c>
      <c r="C468" s="1" t="n">
        <v>45566</v>
      </c>
      <c r="D468" t="inlineStr">
        <is>
          <t>NORRBOTTENS LÄN</t>
        </is>
      </c>
      <c r="E468" t="inlineStr">
        <is>
          <t>GÄLLIVARE</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28600-2023</t>
        </is>
      </c>
      <c r="B469" s="1" t="n">
        <v>45096</v>
      </c>
      <c r="C469" s="1" t="n">
        <v>45566</v>
      </c>
      <c r="D469" t="inlineStr">
        <is>
          <t>NORRBOTTENS LÄN</t>
        </is>
      </c>
      <c r="E469" t="inlineStr">
        <is>
          <t>GÄLLIVARE</t>
        </is>
      </c>
      <c r="F469" t="inlineStr">
        <is>
          <t>Allmännings- och besparingsskogar</t>
        </is>
      </c>
      <c r="G469" t="n">
        <v>42</v>
      </c>
      <c r="H469" t="n">
        <v>0</v>
      </c>
      <c r="I469" t="n">
        <v>0</v>
      </c>
      <c r="J469" t="n">
        <v>0</v>
      </c>
      <c r="K469" t="n">
        <v>0</v>
      </c>
      <c r="L469" t="n">
        <v>0</v>
      </c>
      <c r="M469" t="n">
        <v>0</v>
      </c>
      <c r="N469" t="n">
        <v>0</v>
      </c>
      <c r="O469" t="n">
        <v>0</v>
      </c>
      <c r="P469" t="n">
        <v>0</v>
      </c>
      <c r="Q469" t="n">
        <v>0</v>
      </c>
      <c r="R469" s="2" t="inlineStr"/>
    </row>
    <row r="470" ht="15" customHeight="1">
      <c r="A470" t="inlineStr">
        <is>
          <t>A 28646-2023</t>
        </is>
      </c>
      <c r="B470" s="1" t="n">
        <v>45096</v>
      </c>
      <c r="C470" s="1" t="n">
        <v>45566</v>
      </c>
      <c r="D470" t="inlineStr">
        <is>
          <t>NORRBOTTENS LÄN</t>
        </is>
      </c>
      <c r="E470" t="inlineStr">
        <is>
          <t>GÄLLIVARE</t>
        </is>
      </c>
      <c r="F470" t="inlineStr">
        <is>
          <t>Allmännings- och besparingsskogar</t>
        </is>
      </c>
      <c r="G470" t="n">
        <v>1.9</v>
      </c>
      <c r="H470" t="n">
        <v>0</v>
      </c>
      <c r="I470" t="n">
        <v>0</v>
      </c>
      <c r="J470" t="n">
        <v>0</v>
      </c>
      <c r="K470" t="n">
        <v>0</v>
      </c>
      <c r="L470" t="n">
        <v>0</v>
      </c>
      <c r="M470" t="n">
        <v>0</v>
      </c>
      <c r="N470" t="n">
        <v>0</v>
      </c>
      <c r="O470" t="n">
        <v>0</v>
      </c>
      <c r="P470" t="n">
        <v>0</v>
      </c>
      <c r="Q470" t="n">
        <v>0</v>
      </c>
      <c r="R470" s="2" t="inlineStr"/>
    </row>
    <row r="471" ht="15" customHeight="1">
      <c r="A471" t="inlineStr">
        <is>
          <t>A 28619-2023</t>
        </is>
      </c>
      <c r="B471" s="1" t="n">
        <v>45096</v>
      </c>
      <c r="C471" s="1" t="n">
        <v>45566</v>
      </c>
      <c r="D471" t="inlineStr">
        <is>
          <t>NORRBOTTENS LÄN</t>
        </is>
      </c>
      <c r="E471" t="inlineStr">
        <is>
          <t>GÄLLIVARE</t>
        </is>
      </c>
      <c r="F471" t="inlineStr">
        <is>
          <t>Allmännings- och besparingsskogar</t>
        </is>
      </c>
      <c r="G471" t="n">
        <v>2.7</v>
      </c>
      <c r="H471" t="n">
        <v>0</v>
      </c>
      <c r="I471" t="n">
        <v>0</v>
      </c>
      <c r="J471" t="n">
        <v>0</v>
      </c>
      <c r="K471" t="n">
        <v>0</v>
      </c>
      <c r="L471" t="n">
        <v>0</v>
      </c>
      <c r="M471" t="n">
        <v>0</v>
      </c>
      <c r="N471" t="n">
        <v>0</v>
      </c>
      <c r="O471" t="n">
        <v>0</v>
      </c>
      <c r="P471" t="n">
        <v>0</v>
      </c>
      <c r="Q471" t="n">
        <v>0</v>
      </c>
      <c r="R471" s="2" t="inlineStr"/>
    </row>
    <row r="472" ht="15" customHeight="1">
      <c r="A472" t="inlineStr">
        <is>
          <t>A 28624-2023</t>
        </is>
      </c>
      <c r="B472" s="1" t="n">
        <v>45096</v>
      </c>
      <c r="C472" s="1" t="n">
        <v>45566</v>
      </c>
      <c r="D472" t="inlineStr">
        <is>
          <t>NORRBOTTENS LÄN</t>
        </is>
      </c>
      <c r="E472" t="inlineStr">
        <is>
          <t>GÄLLIVARE</t>
        </is>
      </c>
      <c r="F472" t="inlineStr">
        <is>
          <t>Allmännings- och besparingsskogar</t>
        </is>
      </c>
      <c r="G472" t="n">
        <v>44.7</v>
      </c>
      <c r="H472" t="n">
        <v>0</v>
      </c>
      <c r="I472" t="n">
        <v>0</v>
      </c>
      <c r="J472" t="n">
        <v>0</v>
      </c>
      <c r="K472" t="n">
        <v>0</v>
      </c>
      <c r="L472" t="n">
        <v>0</v>
      </c>
      <c r="M472" t="n">
        <v>0</v>
      </c>
      <c r="N472" t="n">
        <v>0</v>
      </c>
      <c r="O472" t="n">
        <v>0</v>
      </c>
      <c r="P472" t="n">
        <v>0</v>
      </c>
      <c r="Q472" t="n">
        <v>0</v>
      </c>
      <c r="R472" s="2" t="inlineStr"/>
    </row>
    <row r="473" ht="15" customHeight="1">
      <c r="A473" t="inlineStr">
        <is>
          <t>A 28177-2023</t>
        </is>
      </c>
      <c r="B473" s="1" t="n">
        <v>45099</v>
      </c>
      <c r="C473" s="1" t="n">
        <v>45566</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30765-2023</t>
        </is>
      </c>
      <c r="B474" s="1" t="n">
        <v>45103</v>
      </c>
      <c r="C474" s="1" t="n">
        <v>45566</v>
      </c>
      <c r="D474" t="inlineStr">
        <is>
          <t>NORRBOTTENS LÄN</t>
        </is>
      </c>
      <c r="E474" t="inlineStr">
        <is>
          <t>GÄLLIVARE</t>
        </is>
      </c>
      <c r="F474" t="inlineStr">
        <is>
          <t>Allmännings- och besparingsskogar</t>
        </is>
      </c>
      <c r="G474" t="n">
        <v>10.8</v>
      </c>
      <c r="H474" t="n">
        <v>0</v>
      </c>
      <c r="I474" t="n">
        <v>0</v>
      </c>
      <c r="J474" t="n">
        <v>0</v>
      </c>
      <c r="K474" t="n">
        <v>0</v>
      </c>
      <c r="L474" t="n">
        <v>0</v>
      </c>
      <c r="M474" t="n">
        <v>0</v>
      </c>
      <c r="N474" t="n">
        <v>0</v>
      </c>
      <c r="O474" t="n">
        <v>0</v>
      </c>
      <c r="P474" t="n">
        <v>0</v>
      </c>
      <c r="Q474" t="n">
        <v>0</v>
      </c>
      <c r="R474" s="2" t="inlineStr"/>
    </row>
    <row r="475" ht="15" customHeight="1">
      <c r="A475" t="inlineStr">
        <is>
          <t>A 28837-2023</t>
        </is>
      </c>
      <c r="B475" s="1" t="n">
        <v>45104</v>
      </c>
      <c r="C475" s="1" t="n">
        <v>45566</v>
      </c>
      <c r="D475" t="inlineStr">
        <is>
          <t>NORRBOTTENS LÄN</t>
        </is>
      </c>
      <c r="E475" t="inlineStr">
        <is>
          <t>GÄLLIVARE</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29634-2023</t>
        </is>
      </c>
      <c r="B476" s="1" t="n">
        <v>45107</v>
      </c>
      <c r="C476" s="1" t="n">
        <v>45566</v>
      </c>
      <c r="D476" t="inlineStr">
        <is>
          <t>NORRBOTTENS LÄN</t>
        </is>
      </c>
      <c r="E476" t="inlineStr">
        <is>
          <t>GÄLLIVARE</t>
        </is>
      </c>
      <c r="F476" t="inlineStr">
        <is>
          <t>SCA</t>
        </is>
      </c>
      <c r="G476" t="n">
        <v>12.1</v>
      </c>
      <c r="H476" t="n">
        <v>0</v>
      </c>
      <c r="I476" t="n">
        <v>0</v>
      </c>
      <c r="J476" t="n">
        <v>0</v>
      </c>
      <c r="K476" t="n">
        <v>0</v>
      </c>
      <c r="L476" t="n">
        <v>0</v>
      </c>
      <c r="M476" t="n">
        <v>0</v>
      </c>
      <c r="N476" t="n">
        <v>0</v>
      </c>
      <c r="O476" t="n">
        <v>0</v>
      </c>
      <c r="P476" t="n">
        <v>0</v>
      </c>
      <c r="Q476" t="n">
        <v>0</v>
      </c>
      <c r="R476" s="2" t="inlineStr"/>
    </row>
    <row r="477" ht="15" customHeight="1">
      <c r="A477" t="inlineStr">
        <is>
          <t>A 30020-2023</t>
        </is>
      </c>
      <c r="B477" s="1" t="n">
        <v>45110</v>
      </c>
      <c r="C477" s="1" t="n">
        <v>45566</v>
      </c>
      <c r="D477" t="inlineStr">
        <is>
          <t>NORRBOTTENS LÄN</t>
        </is>
      </c>
      <c r="E477" t="inlineStr">
        <is>
          <t>GÄLLIVARE</t>
        </is>
      </c>
      <c r="F477" t="inlineStr">
        <is>
          <t>Sveaskog</t>
        </is>
      </c>
      <c r="G477" t="n">
        <v>19.6</v>
      </c>
      <c r="H477" t="n">
        <v>0</v>
      </c>
      <c r="I477" t="n">
        <v>0</v>
      </c>
      <c r="J477" t="n">
        <v>0</v>
      </c>
      <c r="K477" t="n">
        <v>0</v>
      </c>
      <c r="L477" t="n">
        <v>0</v>
      </c>
      <c r="M477" t="n">
        <v>0</v>
      </c>
      <c r="N477" t="n">
        <v>0</v>
      </c>
      <c r="O477" t="n">
        <v>0</v>
      </c>
      <c r="P477" t="n">
        <v>0</v>
      </c>
      <c r="Q477" t="n">
        <v>0</v>
      </c>
      <c r="R477" s="2" t="inlineStr"/>
    </row>
    <row r="478" ht="15" customHeight="1">
      <c r="A478" t="inlineStr">
        <is>
          <t>A 30026-2023</t>
        </is>
      </c>
      <c r="B478" s="1" t="n">
        <v>45110</v>
      </c>
      <c r="C478" s="1" t="n">
        <v>45566</v>
      </c>
      <c r="D478" t="inlineStr">
        <is>
          <t>NORRBOTTENS LÄN</t>
        </is>
      </c>
      <c r="E478" t="inlineStr">
        <is>
          <t>GÄLLIVARE</t>
        </is>
      </c>
      <c r="F478" t="inlineStr">
        <is>
          <t>Sveaskog</t>
        </is>
      </c>
      <c r="G478" t="n">
        <v>13.1</v>
      </c>
      <c r="H478" t="n">
        <v>0</v>
      </c>
      <c r="I478" t="n">
        <v>0</v>
      </c>
      <c r="J478" t="n">
        <v>0</v>
      </c>
      <c r="K478" t="n">
        <v>0</v>
      </c>
      <c r="L478" t="n">
        <v>0</v>
      </c>
      <c r="M478" t="n">
        <v>0</v>
      </c>
      <c r="N478" t="n">
        <v>0</v>
      </c>
      <c r="O478" t="n">
        <v>0</v>
      </c>
      <c r="P478" t="n">
        <v>0</v>
      </c>
      <c r="Q478" t="n">
        <v>0</v>
      </c>
      <c r="R478" s="2" t="inlineStr"/>
    </row>
    <row r="479" ht="15" customHeight="1">
      <c r="A479" t="inlineStr">
        <is>
          <t>A 30384-2023</t>
        </is>
      </c>
      <c r="B479" s="1" t="n">
        <v>45111</v>
      </c>
      <c r="C479" s="1" t="n">
        <v>45566</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30383-2023</t>
        </is>
      </c>
      <c r="B480" s="1" t="n">
        <v>45111</v>
      </c>
      <c r="C480" s="1" t="n">
        <v>45566</v>
      </c>
      <c r="D480" t="inlineStr">
        <is>
          <t>NORRBOTTENS LÄN</t>
        </is>
      </c>
      <c r="E480" t="inlineStr">
        <is>
          <t>GÄLLIVARE</t>
        </is>
      </c>
      <c r="G480" t="n">
        <v>5</v>
      </c>
      <c r="H480" t="n">
        <v>0</v>
      </c>
      <c r="I480" t="n">
        <v>0</v>
      </c>
      <c r="J480" t="n">
        <v>0</v>
      </c>
      <c r="K480" t="n">
        <v>0</v>
      </c>
      <c r="L480" t="n">
        <v>0</v>
      </c>
      <c r="M480" t="n">
        <v>0</v>
      </c>
      <c r="N480" t="n">
        <v>0</v>
      </c>
      <c r="O480" t="n">
        <v>0</v>
      </c>
      <c r="P480" t="n">
        <v>0</v>
      </c>
      <c r="Q480" t="n">
        <v>0</v>
      </c>
      <c r="R480" s="2" t="inlineStr"/>
    </row>
    <row r="481" ht="15" customHeight="1">
      <c r="A481" t="inlineStr">
        <is>
          <t>A 30781-2023</t>
        </is>
      </c>
      <c r="B481" s="1" t="n">
        <v>45112</v>
      </c>
      <c r="C481" s="1" t="n">
        <v>45566</v>
      </c>
      <c r="D481" t="inlineStr">
        <is>
          <t>NORRBOTTENS LÄN</t>
        </is>
      </c>
      <c r="E481" t="inlineStr">
        <is>
          <t>GÄLLIVARE</t>
        </is>
      </c>
      <c r="G481" t="n">
        <v>1.1</v>
      </c>
      <c r="H481" t="n">
        <v>0</v>
      </c>
      <c r="I481" t="n">
        <v>0</v>
      </c>
      <c r="J481" t="n">
        <v>0</v>
      </c>
      <c r="K481" t="n">
        <v>0</v>
      </c>
      <c r="L481" t="n">
        <v>0</v>
      </c>
      <c r="M481" t="n">
        <v>0</v>
      </c>
      <c r="N481" t="n">
        <v>0</v>
      </c>
      <c r="O481" t="n">
        <v>0</v>
      </c>
      <c r="P481" t="n">
        <v>0</v>
      </c>
      <c r="Q481" t="n">
        <v>0</v>
      </c>
      <c r="R481" s="2" t="inlineStr"/>
    </row>
    <row r="482" ht="15" customHeight="1">
      <c r="A482" t="inlineStr">
        <is>
          <t>A 30851-2023</t>
        </is>
      </c>
      <c r="B482" s="1" t="n">
        <v>45112</v>
      </c>
      <c r="C482" s="1" t="n">
        <v>45566</v>
      </c>
      <c r="D482" t="inlineStr">
        <is>
          <t>NORRBOTTENS LÄN</t>
        </is>
      </c>
      <c r="E482" t="inlineStr">
        <is>
          <t>GÄLLIVARE</t>
        </is>
      </c>
      <c r="F482" t="inlineStr">
        <is>
          <t>SCA</t>
        </is>
      </c>
      <c r="G482" t="n">
        <v>28.4</v>
      </c>
      <c r="H482" t="n">
        <v>0</v>
      </c>
      <c r="I482" t="n">
        <v>0</v>
      </c>
      <c r="J482" t="n">
        <v>0</v>
      </c>
      <c r="K482" t="n">
        <v>0</v>
      </c>
      <c r="L482" t="n">
        <v>0</v>
      </c>
      <c r="M482" t="n">
        <v>0</v>
      </c>
      <c r="N482" t="n">
        <v>0</v>
      </c>
      <c r="O482" t="n">
        <v>0</v>
      </c>
      <c r="P482" t="n">
        <v>0</v>
      </c>
      <c r="Q482" t="n">
        <v>0</v>
      </c>
      <c r="R482" s="2" t="inlineStr"/>
    </row>
    <row r="483" ht="15" customHeight="1">
      <c r="A483" t="inlineStr">
        <is>
          <t>A 33382-2023</t>
        </is>
      </c>
      <c r="B483" s="1" t="n">
        <v>45117</v>
      </c>
      <c r="C483" s="1" t="n">
        <v>45566</v>
      </c>
      <c r="D483" t="inlineStr">
        <is>
          <t>NORRBOTTENS LÄN</t>
        </is>
      </c>
      <c r="E483" t="inlineStr">
        <is>
          <t>GÄLLIVARE</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33373-2023</t>
        </is>
      </c>
      <c r="B484" s="1" t="n">
        <v>45117</v>
      </c>
      <c r="C484" s="1" t="n">
        <v>45566</v>
      </c>
      <c r="D484" t="inlineStr">
        <is>
          <t>NORRBOTTENS LÄN</t>
        </is>
      </c>
      <c r="E484" t="inlineStr">
        <is>
          <t>GÄLLIVARE</t>
        </is>
      </c>
      <c r="F484" t="inlineStr">
        <is>
          <t>Allmännings- och besparingsskogar</t>
        </is>
      </c>
      <c r="G484" t="n">
        <v>3</v>
      </c>
      <c r="H484" t="n">
        <v>0</v>
      </c>
      <c r="I484" t="n">
        <v>0</v>
      </c>
      <c r="J484" t="n">
        <v>0</v>
      </c>
      <c r="K484" t="n">
        <v>0</v>
      </c>
      <c r="L484" t="n">
        <v>0</v>
      </c>
      <c r="M484" t="n">
        <v>0</v>
      </c>
      <c r="N484" t="n">
        <v>0</v>
      </c>
      <c r="O484" t="n">
        <v>0</v>
      </c>
      <c r="P484" t="n">
        <v>0</v>
      </c>
      <c r="Q484" t="n">
        <v>0</v>
      </c>
      <c r="R484" s="2" t="inlineStr"/>
    </row>
    <row r="485" ht="15" customHeight="1">
      <c r="A485" t="inlineStr">
        <is>
          <t>A 33392-2023</t>
        </is>
      </c>
      <c r="B485" s="1" t="n">
        <v>45117</v>
      </c>
      <c r="C485" s="1" t="n">
        <v>45566</v>
      </c>
      <c r="D485" t="inlineStr">
        <is>
          <t>NORRBOTTENS LÄN</t>
        </is>
      </c>
      <c r="E485" t="inlineStr">
        <is>
          <t>GÄLLIVARE</t>
        </is>
      </c>
      <c r="F485" t="inlineStr">
        <is>
          <t>Allmännings- och besparingsskogar</t>
        </is>
      </c>
      <c r="G485" t="n">
        <v>4.2</v>
      </c>
      <c r="H485" t="n">
        <v>0</v>
      </c>
      <c r="I485" t="n">
        <v>0</v>
      </c>
      <c r="J485" t="n">
        <v>0</v>
      </c>
      <c r="K485" t="n">
        <v>0</v>
      </c>
      <c r="L485" t="n">
        <v>0</v>
      </c>
      <c r="M485" t="n">
        <v>0</v>
      </c>
      <c r="N485" t="n">
        <v>0</v>
      </c>
      <c r="O485" t="n">
        <v>0</v>
      </c>
      <c r="P485" t="n">
        <v>0</v>
      </c>
      <c r="Q485" t="n">
        <v>0</v>
      </c>
      <c r="R485" s="2" t="inlineStr"/>
    </row>
    <row r="486" ht="15" customHeight="1">
      <c r="A486" t="inlineStr">
        <is>
          <t>A 33390-2023</t>
        </is>
      </c>
      <c r="B486" s="1" t="n">
        <v>45117</v>
      </c>
      <c r="C486" s="1" t="n">
        <v>45566</v>
      </c>
      <c r="D486" t="inlineStr">
        <is>
          <t>NORRBOTTENS LÄN</t>
        </is>
      </c>
      <c r="E486" t="inlineStr">
        <is>
          <t>GÄLLIVARE</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33847-2023</t>
        </is>
      </c>
      <c r="B487" s="1" t="n">
        <v>45121</v>
      </c>
      <c r="C487" s="1" t="n">
        <v>45566</v>
      </c>
      <c r="D487" t="inlineStr">
        <is>
          <t>NORRBOTTENS LÄN</t>
        </is>
      </c>
      <c r="E487" t="inlineStr">
        <is>
          <t>GÄLLIVARE</t>
        </is>
      </c>
      <c r="F487" t="inlineStr">
        <is>
          <t>Övriga statliga verk och myndigheter</t>
        </is>
      </c>
      <c r="G487" t="n">
        <v>3</v>
      </c>
      <c r="H487" t="n">
        <v>0</v>
      </c>
      <c r="I487" t="n">
        <v>0</v>
      </c>
      <c r="J487" t="n">
        <v>0</v>
      </c>
      <c r="K487" t="n">
        <v>0</v>
      </c>
      <c r="L487" t="n">
        <v>0</v>
      </c>
      <c r="M487" t="n">
        <v>0</v>
      </c>
      <c r="N487" t="n">
        <v>0</v>
      </c>
      <c r="O487" t="n">
        <v>0</v>
      </c>
      <c r="P487" t="n">
        <v>0</v>
      </c>
      <c r="Q487" t="n">
        <v>0</v>
      </c>
      <c r="R487" s="2" t="inlineStr"/>
    </row>
    <row r="488" ht="15" customHeight="1">
      <c r="A488" t="inlineStr">
        <is>
          <t>A 33182-2023</t>
        </is>
      </c>
      <c r="B488" s="1" t="n">
        <v>45127</v>
      </c>
      <c r="C488" s="1" t="n">
        <v>45566</v>
      </c>
      <c r="D488" t="inlineStr">
        <is>
          <t>NORRBOTTENS LÄN</t>
        </is>
      </c>
      <c r="E488" t="inlineStr">
        <is>
          <t>GÄLLIVARE</t>
        </is>
      </c>
      <c r="F488" t="inlineStr">
        <is>
          <t>Sveaskog</t>
        </is>
      </c>
      <c r="G488" t="n">
        <v>40.3</v>
      </c>
      <c r="H488" t="n">
        <v>0</v>
      </c>
      <c r="I488" t="n">
        <v>0</v>
      </c>
      <c r="J488" t="n">
        <v>0</v>
      </c>
      <c r="K488" t="n">
        <v>0</v>
      </c>
      <c r="L488" t="n">
        <v>0</v>
      </c>
      <c r="M488" t="n">
        <v>0</v>
      </c>
      <c r="N488" t="n">
        <v>0</v>
      </c>
      <c r="O488" t="n">
        <v>0</v>
      </c>
      <c r="P488" t="n">
        <v>0</v>
      </c>
      <c r="Q488" t="n">
        <v>0</v>
      </c>
      <c r="R488" s="2" t="inlineStr"/>
    </row>
    <row r="489" ht="15" customHeight="1">
      <c r="A489" t="inlineStr">
        <is>
          <t>A 34139-2023</t>
        </is>
      </c>
      <c r="B489" s="1" t="n">
        <v>45136</v>
      </c>
      <c r="C489" s="1" t="n">
        <v>45566</v>
      </c>
      <c r="D489" t="inlineStr">
        <is>
          <t>NORRBOTTENS LÄN</t>
        </is>
      </c>
      <c r="E489" t="inlineStr">
        <is>
          <t>GÄLLIVARE</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34173-2023</t>
        </is>
      </c>
      <c r="B490" s="1" t="n">
        <v>45138</v>
      </c>
      <c r="C490" s="1" t="n">
        <v>45566</v>
      </c>
      <c r="D490" t="inlineStr">
        <is>
          <t>NORRBOTTENS LÄN</t>
        </is>
      </c>
      <c r="E490" t="inlineStr">
        <is>
          <t>GÄLLIVARE</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34625-2023</t>
        </is>
      </c>
      <c r="B491" s="1" t="n">
        <v>45140</v>
      </c>
      <c r="C491" s="1" t="n">
        <v>45566</v>
      </c>
      <c r="D491" t="inlineStr">
        <is>
          <t>NORRBOTTENS LÄN</t>
        </is>
      </c>
      <c r="E491" t="inlineStr">
        <is>
          <t>GÄLLIVARE</t>
        </is>
      </c>
      <c r="F491" t="inlineStr">
        <is>
          <t>Sveaskog</t>
        </is>
      </c>
      <c r="G491" t="n">
        <v>22.6</v>
      </c>
      <c r="H491" t="n">
        <v>0</v>
      </c>
      <c r="I491" t="n">
        <v>0</v>
      </c>
      <c r="J491" t="n">
        <v>0</v>
      </c>
      <c r="K491" t="n">
        <v>0</v>
      </c>
      <c r="L491" t="n">
        <v>0</v>
      </c>
      <c r="M491" t="n">
        <v>0</v>
      </c>
      <c r="N491" t="n">
        <v>0</v>
      </c>
      <c r="O491" t="n">
        <v>0</v>
      </c>
      <c r="P491" t="n">
        <v>0</v>
      </c>
      <c r="Q491" t="n">
        <v>0</v>
      </c>
      <c r="R491" s="2" t="inlineStr"/>
    </row>
    <row r="492" ht="15" customHeight="1">
      <c r="A492" t="inlineStr">
        <is>
          <t>A 34622-2023</t>
        </is>
      </c>
      <c r="B492" s="1" t="n">
        <v>45140</v>
      </c>
      <c r="C492" s="1" t="n">
        <v>45566</v>
      </c>
      <c r="D492" t="inlineStr">
        <is>
          <t>NORRBOTTENS LÄN</t>
        </is>
      </c>
      <c r="E492" t="inlineStr">
        <is>
          <t>GÄLLIVARE</t>
        </is>
      </c>
      <c r="F492" t="inlineStr">
        <is>
          <t>Sveaskog</t>
        </is>
      </c>
      <c r="G492" t="n">
        <v>31.4</v>
      </c>
      <c r="H492" t="n">
        <v>0</v>
      </c>
      <c r="I492" t="n">
        <v>0</v>
      </c>
      <c r="J492" t="n">
        <v>0</v>
      </c>
      <c r="K492" t="n">
        <v>0</v>
      </c>
      <c r="L492" t="n">
        <v>0</v>
      </c>
      <c r="M492" t="n">
        <v>0</v>
      </c>
      <c r="N492" t="n">
        <v>0</v>
      </c>
      <c r="O492" t="n">
        <v>0</v>
      </c>
      <c r="P492" t="n">
        <v>0</v>
      </c>
      <c r="Q492" t="n">
        <v>0</v>
      </c>
      <c r="R492" s="2" t="inlineStr"/>
    </row>
    <row r="493" ht="15" customHeight="1">
      <c r="A493" t="inlineStr">
        <is>
          <t>A 34900-2023</t>
        </is>
      </c>
      <c r="B493" s="1" t="n">
        <v>45142</v>
      </c>
      <c r="C493" s="1" t="n">
        <v>45566</v>
      </c>
      <c r="D493" t="inlineStr">
        <is>
          <t>NORRBOTTENS LÄN</t>
        </is>
      </c>
      <c r="E493" t="inlineStr">
        <is>
          <t>GÄLLIVARE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35362-2023</t>
        </is>
      </c>
      <c r="B494" s="1" t="n">
        <v>45146</v>
      </c>
      <c r="C494" s="1" t="n">
        <v>45566</v>
      </c>
      <c r="D494" t="inlineStr">
        <is>
          <t>NORRBOTTENS LÄN</t>
        </is>
      </c>
      <c r="E494" t="inlineStr">
        <is>
          <t>GÄLLIVARE</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35730-2023</t>
        </is>
      </c>
      <c r="B495" s="1" t="n">
        <v>45147</v>
      </c>
      <c r="C495" s="1" t="n">
        <v>45566</v>
      </c>
      <c r="D495" t="inlineStr">
        <is>
          <t>NORRBOTTENS LÄN</t>
        </is>
      </c>
      <c r="E495" t="inlineStr">
        <is>
          <t>GÄLLIVARE</t>
        </is>
      </c>
      <c r="G495" t="n">
        <v>0.4</v>
      </c>
      <c r="H495" t="n">
        <v>0</v>
      </c>
      <c r="I495" t="n">
        <v>0</v>
      </c>
      <c r="J495" t="n">
        <v>0</v>
      </c>
      <c r="K495" t="n">
        <v>0</v>
      </c>
      <c r="L495" t="n">
        <v>0</v>
      </c>
      <c r="M495" t="n">
        <v>0</v>
      </c>
      <c r="N495" t="n">
        <v>0</v>
      </c>
      <c r="O495" t="n">
        <v>0</v>
      </c>
      <c r="P495" t="n">
        <v>0</v>
      </c>
      <c r="Q495" t="n">
        <v>0</v>
      </c>
      <c r="R495" s="2" t="inlineStr"/>
    </row>
    <row r="496" ht="15" customHeight="1">
      <c r="A496" t="inlineStr">
        <is>
          <t>A 36014-2023</t>
        </is>
      </c>
      <c r="B496" s="1" t="n">
        <v>45148</v>
      </c>
      <c r="C496" s="1" t="n">
        <v>45566</v>
      </c>
      <c r="D496" t="inlineStr">
        <is>
          <t>NORRBOTTENS LÄN</t>
        </is>
      </c>
      <c r="E496" t="inlineStr">
        <is>
          <t>GÄLLIVARE</t>
        </is>
      </c>
      <c r="F496" t="inlineStr">
        <is>
          <t>Allmännings- och besparingsskogar</t>
        </is>
      </c>
      <c r="G496" t="n">
        <v>9.9</v>
      </c>
      <c r="H496" t="n">
        <v>0</v>
      </c>
      <c r="I496" t="n">
        <v>0</v>
      </c>
      <c r="J496" t="n">
        <v>0</v>
      </c>
      <c r="K496" t="n">
        <v>0</v>
      </c>
      <c r="L496" t="n">
        <v>0</v>
      </c>
      <c r="M496" t="n">
        <v>0</v>
      </c>
      <c r="N496" t="n">
        <v>0</v>
      </c>
      <c r="O496" t="n">
        <v>0</v>
      </c>
      <c r="P496" t="n">
        <v>0</v>
      </c>
      <c r="Q496" t="n">
        <v>0</v>
      </c>
      <c r="R496" s="2" t="inlineStr"/>
    </row>
    <row r="497" ht="15" customHeight="1">
      <c r="A497" t="inlineStr">
        <is>
          <t>A 36039-2023</t>
        </is>
      </c>
      <c r="B497" s="1" t="n">
        <v>45148</v>
      </c>
      <c r="C497" s="1" t="n">
        <v>45566</v>
      </c>
      <c r="D497" t="inlineStr">
        <is>
          <t>NORRBOTTENS LÄN</t>
        </is>
      </c>
      <c r="E497" t="inlineStr">
        <is>
          <t>GÄLLIVARE</t>
        </is>
      </c>
      <c r="F497" t="inlineStr">
        <is>
          <t>Allmännings- och besparingsskogar</t>
        </is>
      </c>
      <c r="G497" t="n">
        <v>24.3</v>
      </c>
      <c r="H497" t="n">
        <v>0</v>
      </c>
      <c r="I497" t="n">
        <v>0</v>
      </c>
      <c r="J497" t="n">
        <v>0</v>
      </c>
      <c r="K497" t="n">
        <v>0</v>
      </c>
      <c r="L497" t="n">
        <v>0</v>
      </c>
      <c r="M497" t="n">
        <v>0</v>
      </c>
      <c r="N497" t="n">
        <v>0</v>
      </c>
      <c r="O497" t="n">
        <v>0</v>
      </c>
      <c r="P497" t="n">
        <v>0</v>
      </c>
      <c r="Q497" t="n">
        <v>0</v>
      </c>
      <c r="R497" s="2" t="inlineStr"/>
    </row>
    <row r="498" ht="15" customHeight="1">
      <c r="A498" t="inlineStr">
        <is>
          <t>A 36245-2023</t>
        </is>
      </c>
      <c r="B498" s="1" t="n">
        <v>45150</v>
      </c>
      <c r="C498" s="1" t="n">
        <v>45566</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36249-2023</t>
        </is>
      </c>
      <c r="B499" s="1" t="n">
        <v>45151</v>
      </c>
      <c r="C499" s="1" t="n">
        <v>45566</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36242-2023</t>
        </is>
      </c>
      <c r="B500" s="1" t="n">
        <v>45150</v>
      </c>
      <c r="C500" s="1" t="n">
        <v>45566</v>
      </c>
      <c r="D500" t="inlineStr">
        <is>
          <t>NORRBOTTENS LÄN</t>
        </is>
      </c>
      <c r="E500" t="inlineStr">
        <is>
          <t>GÄLLIVARE</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36247-2023</t>
        </is>
      </c>
      <c r="B501" s="1" t="n">
        <v>45151</v>
      </c>
      <c r="C501" s="1" t="n">
        <v>45566</v>
      </c>
      <c r="D501" t="inlineStr">
        <is>
          <t>NORRBOTTENS LÄN</t>
        </is>
      </c>
      <c r="E501" t="inlineStr">
        <is>
          <t>GÄLLIVARE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36251-2023</t>
        </is>
      </c>
      <c r="B502" s="1" t="n">
        <v>45151</v>
      </c>
      <c r="C502" s="1" t="n">
        <v>45566</v>
      </c>
      <c r="D502" t="inlineStr">
        <is>
          <t>NORRBOTTENS LÄN</t>
        </is>
      </c>
      <c r="E502" t="inlineStr">
        <is>
          <t>GÄLLIVARE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36244-2023</t>
        </is>
      </c>
      <c r="B503" s="1" t="n">
        <v>45150</v>
      </c>
      <c r="C503" s="1" t="n">
        <v>45566</v>
      </c>
      <c r="D503" t="inlineStr">
        <is>
          <t>NORRBOTTENS LÄN</t>
        </is>
      </c>
      <c r="E503" t="inlineStr">
        <is>
          <t>GÄLLIVARE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36246-2023</t>
        </is>
      </c>
      <c r="B504" s="1" t="n">
        <v>45150</v>
      </c>
      <c r="C504" s="1" t="n">
        <v>45566</v>
      </c>
      <c r="D504" t="inlineStr">
        <is>
          <t>NORRBOTTENS LÄN</t>
        </is>
      </c>
      <c r="E504" t="inlineStr">
        <is>
          <t>GÄLLIVARE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36250-2023</t>
        </is>
      </c>
      <c r="B505" s="1" t="n">
        <v>45151</v>
      </c>
      <c r="C505" s="1" t="n">
        <v>45566</v>
      </c>
      <c r="D505" t="inlineStr">
        <is>
          <t>NORRBOTTENS LÄN</t>
        </is>
      </c>
      <c r="E505" t="inlineStr">
        <is>
          <t>GÄLLIVARE</t>
        </is>
      </c>
      <c r="F505" t="inlineStr">
        <is>
          <t>SCA</t>
        </is>
      </c>
      <c r="G505" t="n">
        <v>14.6</v>
      </c>
      <c r="H505" t="n">
        <v>0</v>
      </c>
      <c r="I505" t="n">
        <v>0</v>
      </c>
      <c r="J505" t="n">
        <v>0</v>
      </c>
      <c r="K505" t="n">
        <v>0</v>
      </c>
      <c r="L505" t="n">
        <v>0</v>
      </c>
      <c r="M505" t="n">
        <v>0</v>
      </c>
      <c r="N505" t="n">
        <v>0</v>
      </c>
      <c r="O505" t="n">
        <v>0</v>
      </c>
      <c r="P505" t="n">
        <v>0</v>
      </c>
      <c r="Q505" t="n">
        <v>0</v>
      </c>
      <c r="R505" s="2" t="inlineStr"/>
    </row>
    <row r="506" ht="15" customHeight="1">
      <c r="A506" t="inlineStr">
        <is>
          <t>A 36322-2023</t>
        </is>
      </c>
      <c r="B506" s="1" t="n">
        <v>45152</v>
      </c>
      <c r="C506" s="1" t="n">
        <v>45566</v>
      </c>
      <c r="D506" t="inlineStr">
        <is>
          <t>NORRBOTTENS LÄN</t>
        </is>
      </c>
      <c r="E506" t="inlineStr">
        <is>
          <t>GÄLLIVARE</t>
        </is>
      </c>
      <c r="F506" t="inlineStr">
        <is>
          <t>Allmännings- och besparingsskogar</t>
        </is>
      </c>
      <c r="G506" t="n">
        <v>36.8</v>
      </c>
      <c r="H506" t="n">
        <v>0</v>
      </c>
      <c r="I506" t="n">
        <v>0</v>
      </c>
      <c r="J506" t="n">
        <v>0</v>
      </c>
      <c r="K506" t="n">
        <v>0</v>
      </c>
      <c r="L506" t="n">
        <v>0</v>
      </c>
      <c r="M506" t="n">
        <v>0</v>
      </c>
      <c r="N506" t="n">
        <v>0</v>
      </c>
      <c r="O506" t="n">
        <v>0</v>
      </c>
      <c r="P506" t="n">
        <v>0</v>
      </c>
      <c r="Q506" t="n">
        <v>0</v>
      </c>
      <c r="R506" s="2" t="inlineStr"/>
    </row>
    <row r="507" ht="15" customHeight="1">
      <c r="A507" t="inlineStr">
        <is>
          <t>A 36587-2023</t>
        </is>
      </c>
      <c r="B507" s="1" t="n">
        <v>45153</v>
      </c>
      <c r="C507" s="1" t="n">
        <v>45566</v>
      </c>
      <c r="D507" t="inlineStr">
        <is>
          <t>NORRBOTTENS LÄN</t>
        </is>
      </c>
      <c r="E507" t="inlineStr">
        <is>
          <t>GÄLLIVARE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36612-2023</t>
        </is>
      </c>
      <c r="B508" s="1" t="n">
        <v>45153</v>
      </c>
      <c r="C508" s="1" t="n">
        <v>45566</v>
      </c>
      <c r="D508" t="inlineStr">
        <is>
          <t>NORRBOTTENS LÄN</t>
        </is>
      </c>
      <c r="E508" t="inlineStr">
        <is>
          <t>GÄLLIVARE</t>
        </is>
      </c>
      <c r="F508" t="inlineStr">
        <is>
          <t>Sveaskog</t>
        </is>
      </c>
      <c r="G508" t="n">
        <v>27.5</v>
      </c>
      <c r="H508" t="n">
        <v>0</v>
      </c>
      <c r="I508" t="n">
        <v>0</v>
      </c>
      <c r="J508" t="n">
        <v>0</v>
      </c>
      <c r="K508" t="n">
        <v>0</v>
      </c>
      <c r="L508" t="n">
        <v>0</v>
      </c>
      <c r="M508" t="n">
        <v>0</v>
      </c>
      <c r="N508" t="n">
        <v>0</v>
      </c>
      <c r="O508" t="n">
        <v>0</v>
      </c>
      <c r="P508" t="n">
        <v>0</v>
      </c>
      <c r="Q508" t="n">
        <v>0</v>
      </c>
      <c r="R508" s="2" t="inlineStr"/>
    </row>
    <row r="509" ht="15" customHeight="1">
      <c r="A509" t="inlineStr">
        <is>
          <t>A 36591-2023</t>
        </is>
      </c>
      <c r="B509" s="1" t="n">
        <v>45153</v>
      </c>
      <c r="C509" s="1" t="n">
        <v>45566</v>
      </c>
      <c r="D509" t="inlineStr">
        <is>
          <t>NORRBOTTENS LÄN</t>
        </is>
      </c>
      <c r="E509" t="inlineStr">
        <is>
          <t>GÄLLIVARE</t>
        </is>
      </c>
      <c r="F509" t="inlineStr">
        <is>
          <t>Sveaskog</t>
        </is>
      </c>
      <c r="G509" t="n">
        <v>8.5</v>
      </c>
      <c r="H509" t="n">
        <v>0</v>
      </c>
      <c r="I509" t="n">
        <v>0</v>
      </c>
      <c r="J509" t="n">
        <v>0</v>
      </c>
      <c r="K509" t="n">
        <v>0</v>
      </c>
      <c r="L509" t="n">
        <v>0</v>
      </c>
      <c r="M509" t="n">
        <v>0</v>
      </c>
      <c r="N509" t="n">
        <v>0</v>
      </c>
      <c r="O509" t="n">
        <v>0</v>
      </c>
      <c r="P509" t="n">
        <v>0</v>
      </c>
      <c r="Q509" t="n">
        <v>0</v>
      </c>
      <c r="R509" s="2" t="inlineStr"/>
    </row>
    <row r="510" ht="15" customHeight="1">
      <c r="A510" t="inlineStr">
        <is>
          <t>A 36602-2023</t>
        </is>
      </c>
      <c r="B510" s="1" t="n">
        <v>45153</v>
      </c>
      <c r="C510" s="1" t="n">
        <v>45566</v>
      </c>
      <c r="D510" t="inlineStr">
        <is>
          <t>NORRBOTTENS LÄN</t>
        </is>
      </c>
      <c r="E510" t="inlineStr">
        <is>
          <t>GÄLLIVARE</t>
        </is>
      </c>
      <c r="F510" t="inlineStr">
        <is>
          <t>Sveaskog</t>
        </is>
      </c>
      <c r="G510" t="n">
        <v>8.6</v>
      </c>
      <c r="H510" t="n">
        <v>0</v>
      </c>
      <c r="I510" t="n">
        <v>0</v>
      </c>
      <c r="J510" t="n">
        <v>0</v>
      </c>
      <c r="K510" t="n">
        <v>0</v>
      </c>
      <c r="L510" t="n">
        <v>0</v>
      </c>
      <c r="M510" t="n">
        <v>0</v>
      </c>
      <c r="N510" t="n">
        <v>0</v>
      </c>
      <c r="O510" t="n">
        <v>0</v>
      </c>
      <c r="P510" t="n">
        <v>0</v>
      </c>
      <c r="Q510" t="n">
        <v>0</v>
      </c>
      <c r="R510" s="2" t="inlineStr"/>
    </row>
    <row r="511" ht="15" customHeight="1">
      <c r="A511" t="inlineStr">
        <is>
          <t>A 36881-2023</t>
        </is>
      </c>
      <c r="B511" s="1" t="n">
        <v>45154</v>
      </c>
      <c r="C511" s="1" t="n">
        <v>45566</v>
      </c>
      <c r="D511" t="inlineStr">
        <is>
          <t>NORRBOTTENS LÄN</t>
        </is>
      </c>
      <c r="E511" t="inlineStr">
        <is>
          <t>GÄLLIVARE</t>
        </is>
      </c>
      <c r="G511" t="n">
        <v>3.8</v>
      </c>
      <c r="H511" t="n">
        <v>0</v>
      </c>
      <c r="I511" t="n">
        <v>0</v>
      </c>
      <c r="J511" t="n">
        <v>0</v>
      </c>
      <c r="K511" t="n">
        <v>0</v>
      </c>
      <c r="L511" t="n">
        <v>0</v>
      </c>
      <c r="M511" t="n">
        <v>0</v>
      </c>
      <c r="N511" t="n">
        <v>0</v>
      </c>
      <c r="O511" t="n">
        <v>0</v>
      </c>
      <c r="P511" t="n">
        <v>0</v>
      </c>
      <c r="Q511" t="n">
        <v>0</v>
      </c>
      <c r="R511" s="2" t="inlineStr"/>
    </row>
    <row r="512" ht="15" customHeight="1">
      <c r="A512" t="inlineStr">
        <is>
          <t>A 36969-2023</t>
        </is>
      </c>
      <c r="B512" s="1" t="n">
        <v>45155</v>
      </c>
      <c r="C512" s="1" t="n">
        <v>45566</v>
      </c>
      <c r="D512" t="inlineStr">
        <is>
          <t>NORRBOTTENS LÄN</t>
        </is>
      </c>
      <c r="E512" t="inlineStr">
        <is>
          <t>GÄLLIVARE</t>
        </is>
      </c>
      <c r="F512" t="inlineStr">
        <is>
          <t>SCA</t>
        </is>
      </c>
      <c r="G512" t="n">
        <v>10.8</v>
      </c>
      <c r="H512" t="n">
        <v>0</v>
      </c>
      <c r="I512" t="n">
        <v>0</v>
      </c>
      <c r="J512" t="n">
        <v>0</v>
      </c>
      <c r="K512" t="n">
        <v>0</v>
      </c>
      <c r="L512" t="n">
        <v>0</v>
      </c>
      <c r="M512" t="n">
        <v>0</v>
      </c>
      <c r="N512" t="n">
        <v>0</v>
      </c>
      <c r="O512" t="n">
        <v>0</v>
      </c>
      <c r="P512" t="n">
        <v>0</v>
      </c>
      <c r="Q512" t="n">
        <v>0</v>
      </c>
      <c r="R512" s="2" t="inlineStr"/>
    </row>
    <row r="513" ht="15" customHeight="1">
      <c r="A513" t="inlineStr">
        <is>
          <t>A 36980-2023</t>
        </is>
      </c>
      <c r="B513" s="1" t="n">
        <v>45155</v>
      </c>
      <c r="C513" s="1" t="n">
        <v>45566</v>
      </c>
      <c r="D513" t="inlineStr">
        <is>
          <t>NORRBOTTENS LÄN</t>
        </is>
      </c>
      <c r="E513" t="inlineStr">
        <is>
          <t>GÄLLIVARE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36981-2023</t>
        </is>
      </c>
      <c r="B514" s="1" t="n">
        <v>45154</v>
      </c>
      <c r="C514" s="1" t="n">
        <v>45566</v>
      </c>
      <c r="D514" t="inlineStr">
        <is>
          <t>NORRBOTTENS LÄN</t>
        </is>
      </c>
      <c r="E514" t="inlineStr">
        <is>
          <t>GÄLLIVARE</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36984-2023</t>
        </is>
      </c>
      <c r="B515" s="1" t="n">
        <v>45155</v>
      </c>
      <c r="C515" s="1" t="n">
        <v>45566</v>
      </c>
      <c r="D515" t="inlineStr">
        <is>
          <t>NORRBOTTENS LÄN</t>
        </is>
      </c>
      <c r="E515" t="inlineStr">
        <is>
          <t>GÄLLIVARE</t>
        </is>
      </c>
      <c r="F515" t="inlineStr">
        <is>
          <t>SCA</t>
        </is>
      </c>
      <c r="G515" t="n">
        <v>5.3</v>
      </c>
      <c r="H515" t="n">
        <v>0</v>
      </c>
      <c r="I515" t="n">
        <v>0</v>
      </c>
      <c r="J515" t="n">
        <v>0</v>
      </c>
      <c r="K515" t="n">
        <v>0</v>
      </c>
      <c r="L515" t="n">
        <v>0</v>
      </c>
      <c r="M515" t="n">
        <v>0</v>
      </c>
      <c r="N515" t="n">
        <v>0</v>
      </c>
      <c r="O515" t="n">
        <v>0</v>
      </c>
      <c r="P515" t="n">
        <v>0</v>
      </c>
      <c r="Q515" t="n">
        <v>0</v>
      </c>
      <c r="R515" s="2" t="inlineStr"/>
    </row>
    <row r="516" ht="15" customHeight="1">
      <c r="A516" t="inlineStr">
        <is>
          <t>A 36978-2023</t>
        </is>
      </c>
      <c r="B516" s="1" t="n">
        <v>45155</v>
      </c>
      <c r="C516" s="1" t="n">
        <v>45566</v>
      </c>
      <c r="D516" t="inlineStr">
        <is>
          <t>NORRBOTTENS LÄN</t>
        </is>
      </c>
      <c r="E516" t="inlineStr">
        <is>
          <t>GÄLLIVARE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36979-2023</t>
        </is>
      </c>
      <c r="B517" s="1" t="n">
        <v>45155</v>
      </c>
      <c r="C517" s="1" t="n">
        <v>45566</v>
      </c>
      <c r="D517" t="inlineStr">
        <is>
          <t>NORRBOTTENS LÄN</t>
        </is>
      </c>
      <c r="E517" t="inlineStr">
        <is>
          <t>GÄLLIVARE</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36983-2023</t>
        </is>
      </c>
      <c r="B518" s="1" t="n">
        <v>45155</v>
      </c>
      <c r="C518" s="1" t="n">
        <v>45566</v>
      </c>
      <c r="D518" t="inlineStr">
        <is>
          <t>NORRBOTTENS LÄN</t>
        </is>
      </c>
      <c r="E518" t="inlineStr">
        <is>
          <t>GÄLLIVARE</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37819-2023</t>
        </is>
      </c>
      <c r="B519" s="1" t="n">
        <v>45160</v>
      </c>
      <c r="C519" s="1" t="n">
        <v>45566</v>
      </c>
      <c r="D519" t="inlineStr">
        <is>
          <t>NORRBOTTENS LÄN</t>
        </is>
      </c>
      <c r="E519" t="inlineStr">
        <is>
          <t>GÄLLIVARE</t>
        </is>
      </c>
      <c r="F519" t="inlineStr">
        <is>
          <t>Sveaskog</t>
        </is>
      </c>
      <c r="G519" t="n">
        <v>30.4</v>
      </c>
      <c r="H519" t="n">
        <v>0</v>
      </c>
      <c r="I519" t="n">
        <v>0</v>
      </c>
      <c r="J519" t="n">
        <v>0</v>
      </c>
      <c r="K519" t="n">
        <v>0</v>
      </c>
      <c r="L519" t="n">
        <v>0</v>
      </c>
      <c r="M519" t="n">
        <v>0</v>
      </c>
      <c r="N519" t="n">
        <v>0</v>
      </c>
      <c r="O519" t="n">
        <v>0</v>
      </c>
      <c r="P519" t="n">
        <v>0</v>
      </c>
      <c r="Q519" t="n">
        <v>0</v>
      </c>
      <c r="R519" s="2" t="inlineStr"/>
    </row>
    <row r="520" ht="15" customHeight="1">
      <c r="A520" t="inlineStr">
        <is>
          <t>A 37818-2023</t>
        </is>
      </c>
      <c r="B520" s="1" t="n">
        <v>45160</v>
      </c>
      <c r="C520" s="1" t="n">
        <v>45566</v>
      </c>
      <c r="D520" t="inlineStr">
        <is>
          <t>NORRBOTTENS LÄN</t>
        </is>
      </c>
      <c r="E520" t="inlineStr">
        <is>
          <t>GÄLLIVARE</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38426-2023</t>
        </is>
      </c>
      <c r="B521" s="1" t="n">
        <v>45162</v>
      </c>
      <c r="C521" s="1" t="n">
        <v>45566</v>
      </c>
      <c r="D521" t="inlineStr">
        <is>
          <t>NORRBOTTENS LÄN</t>
        </is>
      </c>
      <c r="E521" t="inlineStr">
        <is>
          <t>GÄLLIVARE</t>
        </is>
      </c>
      <c r="F521" t="inlineStr">
        <is>
          <t>Sveaskog</t>
        </is>
      </c>
      <c r="G521" t="n">
        <v>13.9</v>
      </c>
      <c r="H521" t="n">
        <v>0</v>
      </c>
      <c r="I521" t="n">
        <v>0</v>
      </c>
      <c r="J521" t="n">
        <v>0</v>
      </c>
      <c r="K521" t="n">
        <v>0</v>
      </c>
      <c r="L521" t="n">
        <v>0</v>
      </c>
      <c r="M521" t="n">
        <v>0</v>
      </c>
      <c r="N521" t="n">
        <v>0</v>
      </c>
      <c r="O521" t="n">
        <v>0</v>
      </c>
      <c r="P521" t="n">
        <v>0</v>
      </c>
      <c r="Q521" t="n">
        <v>0</v>
      </c>
      <c r="R521" s="2" t="inlineStr"/>
    </row>
    <row r="522" ht="15" customHeight="1">
      <c r="A522" t="inlineStr">
        <is>
          <t>A 38406-2023</t>
        </is>
      </c>
      <c r="B522" s="1" t="n">
        <v>45162</v>
      </c>
      <c r="C522" s="1" t="n">
        <v>45566</v>
      </c>
      <c r="D522" t="inlineStr">
        <is>
          <t>NORRBOTTENS LÄN</t>
        </is>
      </c>
      <c r="E522" t="inlineStr">
        <is>
          <t>GÄLLIVARE</t>
        </is>
      </c>
      <c r="F522" t="inlineStr">
        <is>
          <t>Sveaskog</t>
        </is>
      </c>
      <c r="G522" t="n">
        <v>24.6</v>
      </c>
      <c r="H522" t="n">
        <v>0</v>
      </c>
      <c r="I522" t="n">
        <v>0</v>
      </c>
      <c r="J522" t="n">
        <v>0</v>
      </c>
      <c r="K522" t="n">
        <v>0</v>
      </c>
      <c r="L522" t="n">
        <v>0</v>
      </c>
      <c r="M522" t="n">
        <v>0</v>
      </c>
      <c r="N522" t="n">
        <v>0</v>
      </c>
      <c r="O522" t="n">
        <v>0</v>
      </c>
      <c r="P522" t="n">
        <v>0</v>
      </c>
      <c r="Q522" t="n">
        <v>0</v>
      </c>
      <c r="R522" s="2" t="inlineStr"/>
    </row>
    <row r="523" ht="15" customHeight="1">
      <c r="A523" t="inlineStr">
        <is>
          <t>A 38598-2023</t>
        </is>
      </c>
      <c r="B523" s="1" t="n">
        <v>45162</v>
      </c>
      <c r="C523" s="1" t="n">
        <v>45566</v>
      </c>
      <c r="D523" t="inlineStr">
        <is>
          <t>NORRBOTTENS LÄN</t>
        </is>
      </c>
      <c r="E523" t="inlineStr">
        <is>
          <t>GÄLLIVARE</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39057-2023</t>
        </is>
      </c>
      <c r="B524" s="1" t="n">
        <v>45163</v>
      </c>
      <c r="C524" s="1" t="n">
        <v>45566</v>
      </c>
      <c r="D524" t="inlineStr">
        <is>
          <t>NORRBOTTENS LÄN</t>
        </is>
      </c>
      <c r="E524" t="inlineStr">
        <is>
          <t>GÄLLIVARE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39056-2023</t>
        </is>
      </c>
      <c r="B525" s="1" t="n">
        <v>45163</v>
      </c>
      <c r="C525" s="1" t="n">
        <v>45566</v>
      </c>
      <c r="D525" t="inlineStr">
        <is>
          <t>NORRBOTTENS LÄN</t>
        </is>
      </c>
      <c r="E525" t="inlineStr">
        <is>
          <t>GÄLLIVARE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39060-2023</t>
        </is>
      </c>
      <c r="B526" s="1" t="n">
        <v>45163</v>
      </c>
      <c r="C526" s="1" t="n">
        <v>45566</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40498-2023</t>
        </is>
      </c>
      <c r="B527" s="1" t="n">
        <v>45170</v>
      </c>
      <c r="C527" s="1" t="n">
        <v>45566</v>
      </c>
      <c r="D527" t="inlineStr">
        <is>
          <t>NORRBOTTENS LÄN</t>
        </is>
      </c>
      <c r="E527" t="inlineStr">
        <is>
          <t>GÄLLIVARE</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40492-2023</t>
        </is>
      </c>
      <c r="B528" s="1" t="n">
        <v>45170</v>
      </c>
      <c r="C528" s="1" t="n">
        <v>45566</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40816-2023</t>
        </is>
      </c>
      <c r="B529" s="1" t="n">
        <v>45171</v>
      </c>
      <c r="C529" s="1" t="n">
        <v>45566</v>
      </c>
      <c r="D529" t="inlineStr">
        <is>
          <t>NORRBOTTENS LÄN</t>
        </is>
      </c>
      <c r="E529" t="inlineStr">
        <is>
          <t>GÄLLIVARE</t>
        </is>
      </c>
      <c r="F529" t="inlineStr">
        <is>
          <t>Sveaskog</t>
        </is>
      </c>
      <c r="G529" t="n">
        <v>7.7</v>
      </c>
      <c r="H529" t="n">
        <v>0</v>
      </c>
      <c r="I529" t="n">
        <v>0</v>
      </c>
      <c r="J529" t="n">
        <v>0</v>
      </c>
      <c r="K529" t="n">
        <v>0</v>
      </c>
      <c r="L529" t="n">
        <v>0</v>
      </c>
      <c r="M529" t="n">
        <v>0</v>
      </c>
      <c r="N529" t="n">
        <v>0</v>
      </c>
      <c r="O529" t="n">
        <v>0</v>
      </c>
      <c r="P529" t="n">
        <v>0</v>
      </c>
      <c r="Q529" t="n">
        <v>0</v>
      </c>
      <c r="R529" s="2" t="inlineStr"/>
    </row>
    <row r="530" ht="15" customHeight="1">
      <c r="A530" t="inlineStr">
        <is>
          <t>A 40819-2023</t>
        </is>
      </c>
      <c r="B530" s="1" t="n">
        <v>45171</v>
      </c>
      <c r="C530" s="1" t="n">
        <v>45566</v>
      </c>
      <c r="D530" t="inlineStr">
        <is>
          <t>NORRBOTTENS LÄN</t>
        </is>
      </c>
      <c r="E530" t="inlineStr">
        <is>
          <t>GÄLLIVARE</t>
        </is>
      </c>
      <c r="F530" t="inlineStr">
        <is>
          <t>Sveaskog</t>
        </is>
      </c>
      <c r="G530" t="n">
        <v>10</v>
      </c>
      <c r="H530" t="n">
        <v>0</v>
      </c>
      <c r="I530" t="n">
        <v>0</v>
      </c>
      <c r="J530" t="n">
        <v>0</v>
      </c>
      <c r="K530" t="n">
        <v>0</v>
      </c>
      <c r="L530" t="n">
        <v>0</v>
      </c>
      <c r="M530" t="n">
        <v>0</v>
      </c>
      <c r="N530" t="n">
        <v>0</v>
      </c>
      <c r="O530" t="n">
        <v>0</v>
      </c>
      <c r="P530" t="n">
        <v>0</v>
      </c>
      <c r="Q530" t="n">
        <v>0</v>
      </c>
      <c r="R530" s="2" t="inlineStr"/>
    </row>
    <row r="531" ht="15" customHeight="1">
      <c r="A531" t="inlineStr">
        <is>
          <t>A 40818-2023</t>
        </is>
      </c>
      <c r="B531" s="1" t="n">
        <v>45171</v>
      </c>
      <c r="C531" s="1" t="n">
        <v>45566</v>
      </c>
      <c r="D531" t="inlineStr">
        <is>
          <t>NORRBOTTENS LÄN</t>
        </is>
      </c>
      <c r="E531" t="inlineStr">
        <is>
          <t>GÄLLIVARE</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40817-2023</t>
        </is>
      </c>
      <c r="B532" s="1" t="n">
        <v>45171</v>
      </c>
      <c r="C532" s="1" t="n">
        <v>45566</v>
      </c>
      <c r="D532" t="inlineStr">
        <is>
          <t>NORRBOTTENS LÄN</t>
        </is>
      </c>
      <c r="E532" t="inlineStr">
        <is>
          <t>GÄLLIVARE</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40974-2023</t>
        </is>
      </c>
      <c r="B533" s="1" t="n">
        <v>45173</v>
      </c>
      <c r="C533" s="1" t="n">
        <v>45566</v>
      </c>
      <c r="D533" t="inlineStr">
        <is>
          <t>NORRBOTTENS LÄN</t>
        </is>
      </c>
      <c r="E533" t="inlineStr">
        <is>
          <t>GÄLLIVARE</t>
        </is>
      </c>
      <c r="G533" t="n">
        <v>3</v>
      </c>
      <c r="H533" t="n">
        <v>0</v>
      </c>
      <c r="I533" t="n">
        <v>0</v>
      </c>
      <c r="J533" t="n">
        <v>0</v>
      </c>
      <c r="K533" t="n">
        <v>0</v>
      </c>
      <c r="L533" t="n">
        <v>0</v>
      </c>
      <c r="M533" t="n">
        <v>0</v>
      </c>
      <c r="N533" t="n">
        <v>0</v>
      </c>
      <c r="O533" t="n">
        <v>0</v>
      </c>
      <c r="P533" t="n">
        <v>0</v>
      </c>
      <c r="Q533" t="n">
        <v>0</v>
      </c>
      <c r="R533" s="2" t="inlineStr"/>
    </row>
    <row r="534" ht="15" customHeight="1">
      <c r="A534" t="inlineStr">
        <is>
          <t>A 41547-2023</t>
        </is>
      </c>
      <c r="B534" s="1" t="n">
        <v>45173</v>
      </c>
      <c r="C534" s="1" t="n">
        <v>45566</v>
      </c>
      <c r="D534" t="inlineStr">
        <is>
          <t>NORRBOTTENS LÄN</t>
        </is>
      </c>
      <c r="E534" t="inlineStr">
        <is>
          <t>GÄLLIVARE</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41560-2023</t>
        </is>
      </c>
      <c r="B535" s="1" t="n">
        <v>45173</v>
      </c>
      <c r="C535" s="1" t="n">
        <v>45566</v>
      </c>
      <c r="D535" t="inlineStr">
        <is>
          <t>NORRBOTTENS LÄN</t>
        </is>
      </c>
      <c r="E535" t="inlineStr">
        <is>
          <t>GÄLLIVARE</t>
        </is>
      </c>
      <c r="G535" t="n">
        <v>9</v>
      </c>
      <c r="H535" t="n">
        <v>0</v>
      </c>
      <c r="I535" t="n">
        <v>0</v>
      </c>
      <c r="J535" t="n">
        <v>0</v>
      </c>
      <c r="K535" t="n">
        <v>0</v>
      </c>
      <c r="L535" t="n">
        <v>0</v>
      </c>
      <c r="M535" t="n">
        <v>0</v>
      </c>
      <c r="N535" t="n">
        <v>0</v>
      </c>
      <c r="O535" t="n">
        <v>0</v>
      </c>
      <c r="P535" t="n">
        <v>0</v>
      </c>
      <c r="Q535" t="n">
        <v>0</v>
      </c>
      <c r="R535" s="2" t="inlineStr"/>
    </row>
    <row r="536" ht="15" customHeight="1">
      <c r="A536" t="inlineStr">
        <is>
          <t>A 41653-2023</t>
        </is>
      </c>
      <c r="B536" s="1" t="n">
        <v>45176</v>
      </c>
      <c r="C536" s="1" t="n">
        <v>45566</v>
      </c>
      <c r="D536" t="inlineStr">
        <is>
          <t>NORRBOTTENS LÄN</t>
        </is>
      </c>
      <c r="E536" t="inlineStr">
        <is>
          <t>GÄLLIVARE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42612-2023</t>
        </is>
      </c>
      <c r="B537" s="1" t="n">
        <v>45176</v>
      </c>
      <c r="C537" s="1" t="n">
        <v>45566</v>
      </c>
      <c r="D537" t="inlineStr">
        <is>
          <t>NORRBOTTENS LÄN</t>
        </is>
      </c>
      <c r="E537" t="inlineStr">
        <is>
          <t>GÄLLIVARE</t>
        </is>
      </c>
      <c r="G537" t="n">
        <v>3.9</v>
      </c>
      <c r="H537" t="n">
        <v>0</v>
      </c>
      <c r="I537" t="n">
        <v>0</v>
      </c>
      <c r="J537" t="n">
        <v>0</v>
      </c>
      <c r="K537" t="n">
        <v>0</v>
      </c>
      <c r="L537" t="n">
        <v>0</v>
      </c>
      <c r="M537" t="n">
        <v>0</v>
      </c>
      <c r="N537" t="n">
        <v>0</v>
      </c>
      <c r="O537" t="n">
        <v>0</v>
      </c>
      <c r="P537" t="n">
        <v>0</v>
      </c>
      <c r="Q537" t="n">
        <v>0</v>
      </c>
      <c r="R537" s="2" t="inlineStr"/>
    </row>
    <row r="538" ht="15" customHeight="1">
      <c r="A538" t="inlineStr">
        <is>
          <t>A 42158-2023</t>
        </is>
      </c>
      <c r="B538" s="1" t="n">
        <v>45178</v>
      </c>
      <c r="C538" s="1" t="n">
        <v>45566</v>
      </c>
      <c r="D538" t="inlineStr">
        <is>
          <t>NORRBOTTENS LÄN</t>
        </is>
      </c>
      <c r="E538" t="inlineStr">
        <is>
          <t>GÄLLIVARE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42157-2023</t>
        </is>
      </c>
      <c r="B539" s="1" t="n">
        <v>45178</v>
      </c>
      <c r="C539" s="1" t="n">
        <v>45566</v>
      </c>
      <c r="D539" t="inlineStr">
        <is>
          <t>NORRBOTTENS LÄN</t>
        </is>
      </c>
      <c r="E539" t="inlineStr">
        <is>
          <t>GÄLLIVARE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42546-2023</t>
        </is>
      </c>
      <c r="B540" s="1" t="n">
        <v>45181</v>
      </c>
      <c r="C540" s="1" t="n">
        <v>45566</v>
      </c>
      <c r="D540" t="inlineStr">
        <is>
          <t>NORRBOTTENS LÄN</t>
        </is>
      </c>
      <c r="E540" t="inlineStr">
        <is>
          <t>GÄLLIVARE</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42562-2023</t>
        </is>
      </c>
      <c r="B541" s="1" t="n">
        <v>45181</v>
      </c>
      <c r="C541" s="1" t="n">
        <v>45566</v>
      </c>
      <c r="D541" t="inlineStr">
        <is>
          <t>NORRBOTTENS LÄN</t>
        </is>
      </c>
      <c r="E541" t="inlineStr">
        <is>
          <t>GÄLLIVARE</t>
        </is>
      </c>
      <c r="F541" t="inlineStr">
        <is>
          <t>Sveaskog</t>
        </is>
      </c>
      <c r="G541" t="n">
        <v>32.4</v>
      </c>
      <c r="H541" t="n">
        <v>0</v>
      </c>
      <c r="I541" t="n">
        <v>0</v>
      </c>
      <c r="J541" t="n">
        <v>0</v>
      </c>
      <c r="K541" t="n">
        <v>0</v>
      </c>
      <c r="L541" t="n">
        <v>0</v>
      </c>
      <c r="M541" t="n">
        <v>0</v>
      </c>
      <c r="N541" t="n">
        <v>0</v>
      </c>
      <c r="O541" t="n">
        <v>0</v>
      </c>
      <c r="P541" t="n">
        <v>0</v>
      </c>
      <c r="Q541" t="n">
        <v>0</v>
      </c>
      <c r="R541" s="2" t="inlineStr"/>
    </row>
    <row r="542" ht="15" customHeight="1">
      <c r="A542" t="inlineStr">
        <is>
          <t>A 42568-2023</t>
        </is>
      </c>
      <c r="B542" s="1" t="n">
        <v>45181</v>
      </c>
      <c r="C542" s="1" t="n">
        <v>45566</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43109-2023</t>
        </is>
      </c>
      <c r="B543" s="1" t="n">
        <v>45183</v>
      </c>
      <c r="C543" s="1" t="n">
        <v>45566</v>
      </c>
      <c r="D543" t="inlineStr">
        <is>
          <t>NORRBOTTENS LÄN</t>
        </is>
      </c>
      <c r="E543" t="inlineStr">
        <is>
          <t>GÄLLIVARE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43407-2023</t>
        </is>
      </c>
      <c r="B544" s="1" t="n">
        <v>45184</v>
      </c>
      <c r="C544" s="1" t="n">
        <v>45566</v>
      </c>
      <c r="D544" t="inlineStr">
        <is>
          <t>NORRBOTTENS LÄN</t>
        </is>
      </c>
      <c r="E544" t="inlineStr">
        <is>
          <t>GÄLLIVARE</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43408-2023</t>
        </is>
      </c>
      <c r="B545" s="1" t="n">
        <v>45183</v>
      </c>
      <c r="C545" s="1" t="n">
        <v>45566</v>
      </c>
      <c r="D545" t="inlineStr">
        <is>
          <t>NORRBOTTENS LÄN</t>
        </is>
      </c>
      <c r="E545" t="inlineStr">
        <is>
          <t>GÄLLIVARE</t>
        </is>
      </c>
      <c r="F545" t="inlineStr">
        <is>
          <t>SCA</t>
        </is>
      </c>
      <c r="G545" t="n">
        <v>10</v>
      </c>
      <c r="H545" t="n">
        <v>0</v>
      </c>
      <c r="I545" t="n">
        <v>0</v>
      </c>
      <c r="J545" t="n">
        <v>0</v>
      </c>
      <c r="K545" t="n">
        <v>0</v>
      </c>
      <c r="L545" t="n">
        <v>0</v>
      </c>
      <c r="M545" t="n">
        <v>0</v>
      </c>
      <c r="N545" t="n">
        <v>0</v>
      </c>
      <c r="O545" t="n">
        <v>0</v>
      </c>
      <c r="P545" t="n">
        <v>0</v>
      </c>
      <c r="Q545" t="n">
        <v>0</v>
      </c>
      <c r="R545" s="2" t="inlineStr"/>
    </row>
    <row r="546" ht="15" customHeight="1">
      <c r="A546" t="inlineStr">
        <is>
          <t>A 43477-2023</t>
        </is>
      </c>
      <c r="B546" s="1" t="n">
        <v>45184</v>
      </c>
      <c r="C546" s="1" t="n">
        <v>45566</v>
      </c>
      <c r="D546" t="inlineStr">
        <is>
          <t>NORRBOTTENS LÄN</t>
        </is>
      </c>
      <c r="E546" t="inlineStr">
        <is>
          <t>GÄLLIVARE</t>
        </is>
      </c>
      <c r="F546" t="inlineStr">
        <is>
          <t>Sveaskog</t>
        </is>
      </c>
      <c r="G546" t="n">
        <v>29.1</v>
      </c>
      <c r="H546" t="n">
        <v>0</v>
      </c>
      <c r="I546" t="n">
        <v>0</v>
      </c>
      <c r="J546" t="n">
        <v>0</v>
      </c>
      <c r="K546" t="n">
        <v>0</v>
      </c>
      <c r="L546" t="n">
        <v>0</v>
      </c>
      <c r="M546" t="n">
        <v>0</v>
      </c>
      <c r="N546" t="n">
        <v>0</v>
      </c>
      <c r="O546" t="n">
        <v>0</v>
      </c>
      <c r="P546" t="n">
        <v>0</v>
      </c>
      <c r="Q546" t="n">
        <v>0</v>
      </c>
      <c r="R546" s="2" t="inlineStr"/>
    </row>
    <row r="547" ht="15" customHeight="1">
      <c r="A547" t="inlineStr">
        <is>
          <t>A 43988-2023</t>
        </is>
      </c>
      <c r="B547" s="1" t="n">
        <v>45187</v>
      </c>
      <c r="C547" s="1" t="n">
        <v>45566</v>
      </c>
      <c r="D547" t="inlineStr">
        <is>
          <t>NORRBOTTENS LÄN</t>
        </is>
      </c>
      <c r="E547" t="inlineStr">
        <is>
          <t>GÄLLIVARE</t>
        </is>
      </c>
      <c r="F547" t="inlineStr">
        <is>
          <t>SCA</t>
        </is>
      </c>
      <c r="G547" t="n">
        <v>10.7</v>
      </c>
      <c r="H547" t="n">
        <v>0</v>
      </c>
      <c r="I547" t="n">
        <v>0</v>
      </c>
      <c r="J547" t="n">
        <v>0</v>
      </c>
      <c r="K547" t="n">
        <v>0</v>
      </c>
      <c r="L547" t="n">
        <v>0</v>
      </c>
      <c r="M547" t="n">
        <v>0</v>
      </c>
      <c r="N547" t="n">
        <v>0</v>
      </c>
      <c r="O547" t="n">
        <v>0</v>
      </c>
      <c r="P547" t="n">
        <v>0</v>
      </c>
      <c r="Q547" t="n">
        <v>0</v>
      </c>
      <c r="R547" s="2" t="inlineStr"/>
    </row>
    <row r="548" ht="15" customHeight="1">
      <c r="A548" t="inlineStr">
        <is>
          <t>A 44398-2023</t>
        </is>
      </c>
      <c r="B548" s="1" t="n">
        <v>45188</v>
      </c>
      <c r="C548" s="1" t="n">
        <v>45566</v>
      </c>
      <c r="D548" t="inlineStr">
        <is>
          <t>NORRBOTTENS LÄN</t>
        </is>
      </c>
      <c r="E548" t="inlineStr">
        <is>
          <t>GÄLLIVARE</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44689-2023</t>
        </is>
      </c>
      <c r="B549" s="1" t="n">
        <v>45189</v>
      </c>
      <c r="C549" s="1" t="n">
        <v>45566</v>
      </c>
      <c r="D549" t="inlineStr">
        <is>
          <t>NORRBOTTENS LÄN</t>
        </is>
      </c>
      <c r="E549" t="inlineStr">
        <is>
          <t>GÄLLIVARE</t>
        </is>
      </c>
      <c r="G549" t="n">
        <v>26.1</v>
      </c>
      <c r="H549" t="n">
        <v>0</v>
      </c>
      <c r="I549" t="n">
        <v>0</v>
      </c>
      <c r="J549" t="n">
        <v>0</v>
      </c>
      <c r="K549" t="n">
        <v>0</v>
      </c>
      <c r="L549" t="n">
        <v>0</v>
      </c>
      <c r="M549" t="n">
        <v>0</v>
      </c>
      <c r="N549" t="n">
        <v>0</v>
      </c>
      <c r="O549" t="n">
        <v>0</v>
      </c>
      <c r="P549" t="n">
        <v>0</v>
      </c>
      <c r="Q549" t="n">
        <v>0</v>
      </c>
      <c r="R549" s="2" t="inlineStr"/>
    </row>
    <row r="550" ht="15" customHeight="1">
      <c r="A550" t="inlineStr">
        <is>
          <t>A 44686-2023</t>
        </is>
      </c>
      <c r="B550" s="1" t="n">
        <v>45189</v>
      </c>
      <c r="C550" s="1" t="n">
        <v>45566</v>
      </c>
      <c r="D550" t="inlineStr">
        <is>
          <t>NORRBOTTENS LÄN</t>
        </is>
      </c>
      <c r="E550" t="inlineStr">
        <is>
          <t>GÄLLIVARE</t>
        </is>
      </c>
      <c r="G550" t="n">
        <v>19.4</v>
      </c>
      <c r="H550" t="n">
        <v>0</v>
      </c>
      <c r="I550" t="n">
        <v>0</v>
      </c>
      <c r="J550" t="n">
        <v>0</v>
      </c>
      <c r="K550" t="n">
        <v>0</v>
      </c>
      <c r="L550" t="n">
        <v>0</v>
      </c>
      <c r="M550" t="n">
        <v>0</v>
      </c>
      <c r="N550" t="n">
        <v>0</v>
      </c>
      <c r="O550" t="n">
        <v>0</v>
      </c>
      <c r="P550" t="n">
        <v>0</v>
      </c>
      <c r="Q550" t="n">
        <v>0</v>
      </c>
      <c r="R550" s="2" t="inlineStr"/>
    </row>
    <row r="551" ht="15" customHeight="1">
      <c r="A551" t="inlineStr">
        <is>
          <t>A 44690-2023</t>
        </is>
      </c>
      <c r="B551" s="1" t="n">
        <v>45189</v>
      </c>
      <c r="C551" s="1" t="n">
        <v>45566</v>
      </c>
      <c r="D551" t="inlineStr">
        <is>
          <t>NORRBOTTENS LÄN</t>
        </is>
      </c>
      <c r="E551" t="inlineStr">
        <is>
          <t>GÄLLIVARE</t>
        </is>
      </c>
      <c r="G551" t="n">
        <v>8.6</v>
      </c>
      <c r="H551" t="n">
        <v>0</v>
      </c>
      <c r="I551" t="n">
        <v>0</v>
      </c>
      <c r="J551" t="n">
        <v>0</v>
      </c>
      <c r="K551" t="n">
        <v>0</v>
      </c>
      <c r="L551" t="n">
        <v>0</v>
      </c>
      <c r="M551" t="n">
        <v>0</v>
      </c>
      <c r="N551" t="n">
        <v>0</v>
      </c>
      <c r="O551" t="n">
        <v>0</v>
      </c>
      <c r="P551" t="n">
        <v>0</v>
      </c>
      <c r="Q551" t="n">
        <v>0</v>
      </c>
      <c r="R551" s="2" t="inlineStr"/>
    </row>
    <row r="552" ht="15" customHeight="1">
      <c r="A552" t="inlineStr">
        <is>
          <t>A 44691-2023</t>
        </is>
      </c>
      <c r="B552" s="1" t="n">
        <v>45189</v>
      </c>
      <c r="C552" s="1" t="n">
        <v>45566</v>
      </c>
      <c r="D552" t="inlineStr">
        <is>
          <t>NORRBOTTENS LÄN</t>
        </is>
      </c>
      <c r="E552" t="inlineStr">
        <is>
          <t>GÄLLIVARE</t>
        </is>
      </c>
      <c r="G552" t="n">
        <v>18.8</v>
      </c>
      <c r="H552" t="n">
        <v>0</v>
      </c>
      <c r="I552" t="n">
        <v>0</v>
      </c>
      <c r="J552" t="n">
        <v>0</v>
      </c>
      <c r="K552" t="n">
        <v>0</v>
      </c>
      <c r="L552" t="n">
        <v>0</v>
      </c>
      <c r="M552" t="n">
        <v>0</v>
      </c>
      <c r="N552" t="n">
        <v>0</v>
      </c>
      <c r="O552" t="n">
        <v>0</v>
      </c>
      <c r="P552" t="n">
        <v>0</v>
      </c>
      <c r="Q552" t="n">
        <v>0</v>
      </c>
      <c r="R552" s="2" t="inlineStr"/>
    </row>
    <row r="553" ht="15" customHeight="1">
      <c r="A553" t="inlineStr">
        <is>
          <t>A 44983-2023</t>
        </is>
      </c>
      <c r="B553" s="1" t="n">
        <v>45190</v>
      </c>
      <c r="C553" s="1" t="n">
        <v>45566</v>
      </c>
      <c r="D553" t="inlineStr">
        <is>
          <t>NORRBOTTENS LÄN</t>
        </is>
      </c>
      <c r="E553" t="inlineStr">
        <is>
          <t>GÄLLIVARE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44982-2023</t>
        </is>
      </c>
      <c r="B554" s="1" t="n">
        <v>45191</v>
      </c>
      <c r="C554" s="1" t="n">
        <v>45566</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45026-2023</t>
        </is>
      </c>
      <c r="B555" s="1" t="n">
        <v>45191</v>
      </c>
      <c r="C555" s="1" t="n">
        <v>45566</v>
      </c>
      <c r="D555" t="inlineStr">
        <is>
          <t>NORRBOTTENS LÄN</t>
        </is>
      </c>
      <c r="E555" t="inlineStr">
        <is>
          <t>GÄLLIVARE</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45191</v>
      </c>
      <c r="C556" s="1" t="n">
        <v>45566</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44985-2023</t>
        </is>
      </c>
      <c r="B557" s="1" t="n">
        <v>45191</v>
      </c>
      <c r="C557" s="1" t="n">
        <v>45566</v>
      </c>
      <c r="D557" t="inlineStr">
        <is>
          <t>NORRBOTTENS LÄN</t>
        </is>
      </c>
      <c r="E557" t="inlineStr">
        <is>
          <t>GÄLLIVARE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46056-2023</t>
        </is>
      </c>
      <c r="B558" s="1" t="n">
        <v>45196</v>
      </c>
      <c r="C558" s="1" t="n">
        <v>45566</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46271-2023</t>
        </is>
      </c>
      <c r="B559" s="1" t="n">
        <v>45196</v>
      </c>
      <c r="C559" s="1" t="n">
        <v>45566</v>
      </c>
      <c r="D559" t="inlineStr">
        <is>
          <t>NORRBOTTENS LÄN</t>
        </is>
      </c>
      <c r="E559" t="inlineStr">
        <is>
          <t>GÄLLIVARE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47239-2023</t>
        </is>
      </c>
      <c r="B560" s="1" t="n">
        <v>45196</v>
      </c>
      <c r="C560" s="1" t="n">
        <v>45566</v>
      </c>
      <c r="D560" t="inlineStr">
        <is>
          <t>NORRBOTTENS LÄN</t>
        </is>
      </c>
      <c r="E560" t="inlineStr">
        <is>
          <t>GÄLLIVARE</t>
        </is>
      </c>
      <c r="F560" t="inlineStr">
        <is>
          <t>Övriga statliga verk och myndigheter</t>
        </is>
      </c>
      <c r="G560" t="n">
        <v>146</v>
      </c>
      <c r="H560" t="n">
        <v>0</v>
      </c>
      <c r="I560" t="n">
        <v>0</v>
      </c>
      <c r="J560" t="n">
        <v>0</v>
      </c>
      <c r="K560" t="n">
        <v>0</v>
      </c>
      <c r="L560" t="n">
        <v>0</v>
      </c>
      <c r="M560" t="n">
        <v>0</v>
      </c>
      <c r="N560" t="n">
        <v>0</v>
      </c>
      <c r="O560" t="n">
        <v>0</v>
      </c>
      <c r="P560" t="n">
        <v>0</v>
      </c>
      <c r="Q560" t="n">
        <v>0</v>
      </c>
      <c r="R560" s="2" t="inlineStr"/>
    </row>
    <row r="561" ht="15" customHeight="1">
      <c r="A561" t="inlineStr">
        <is>
          <t>A 46334-2023</t>
        </is>
      </c>
      <c r="B561" s="1" t="n">
        <v>45197</v>
      </c>
      <c r="C561" s="1" t="n">
        <v>45566</v>
      </c>
      <c r="D561" t="inlineStr">
        <is>
          <t>NORRBOTTENS LÄN</t>
        </is>
      </c>
      <c r="E561" t="inlineStr">
        <is>
          <t>GÄLLIVARE</t>
        </is>
      </c>
      <c r="F561" t="inlineStr">
        <is>
          <t>Sveaskog</t>
        </is>
      </c>
      <c r="G561" t="n">
        <v>22.9</v>
      </c>
      <c r="H561" t="n">
        <v>0</v>
      </c>
      <c r="I561" t="n">
        <v>0</v>
      </c>
      <c r="J561" t="n">
        <v>0</v>
      </c>
      <c r="K561" t="n">
        <v>0</v>
      </c>
      <c r="L561" t="n">
        <v>0</v>
      </c>
      <c r="M561" t="n">
        <v>0</v>
      </c>
      <c r="N561" t="n">
        <v>0</v>
      </c>
      <c r="O561" t="n">
        <v>0</v>
      </c>
      <c r="P561" t="n">
        <v>0</v>
      </c>
      <c r="Q561" t="n">
        <v>0</v>
      </c>
      <c r="R561" s="2" t="inlineStr"/>
    </row>
    <row r="562" ht="15" customHeight="1">
      <c r="A562" t="inlineStr">
        <is>
          <t>A 46478-2023</t>
        </is>
      </c>
      <c r="B562" s="1" t="n">
        <v>45197</v>
      </c>
      <c r="C562" s="1" t="n">
        <v>45566</v>
      </c>
      <c r="D562" t="inlineStr">
        <is>
          <t>NORRBOTTENS LÄN</t>
        </is>
      </c>
      <c r="E562" t="inlineStr">
        <is>
          <t>GÄLLIVARE</t>
        </is>
      </c>
      <c r="G562" t="n">
        <v>8.4</v>
      </c>
      <c r="H562" t="n">
        <v>0</v>
      </c>
      <c r="I562" t="n">
        <v>0</v>
      </c>
      <c r="J562" t="n">
        <v>0</v>
      </c>
      <c r="K562" t="n">
        <v>0</v>
      </c>
      <c r="L562" t="n">
        <v>0</v>
      </c>
      <c r="M562" t="n">
        <v>0</v>
      </c>
      <c r="N562" t="n">
        <v>0</v>
      </c>
      <c r="O562" t="n">
        <v>0</v>
      </c>
      <c r="P562" t="n">
        <v>0</v>
      </c>
      <c r="Q562" t="n">
        <v>0</v>
      </c>
      <c r="R562" s="2" t="inlineStr"/>
    </row>
    <row r="563" ht="15" customHeight="1">
      <c r="A563" t="inlineStr">
        <is>
          <t>A 46474-2023</t>
        </is>
      </c>
      <c r="B563" s="1" t="n">
        <v>45197</v>
      </c>
      <c r="C563" s="1" t="n">
        <v>45566</v>
      </c>
      <c r="D563" t="inlineStr">
        <is>
          <t>NORRBOTTENS LÄN</t>
        </is>
      </c>
      <c r="E563" t="inlineStr">
        <is>
          <t>GÄLLIVARE</t>
        </is>
      </c>
      <c r="G563" t="n">
        <v>42.7</v>
      </c>
      <c r="H563" t="n">
        <v>0</v>
      </c>
      <c r="I563" t="n">
        <v>0</v>
      </c>
      <c r="J563" t="n">
        <v>0</v>
      </c>
      <c r="K563" t="n">
        <v>0</v>
      </c>
      <c r="L563" t="n">
        <v>0</v>
      </c>
      <c r="M563" t="n">
        <v>0</v>
      </c>
      <c r="N563" t="n">
        <v>0</v>
      </c>
      <c r="O563" t="n">
        <v>0</v>
      </c>
      <c r="P563" t="n">
        <v>0</v>
      </c>
      <c r="Q563" t="n">
        <v>0</v>
      </c>
      <c r="R563" s="2" t="inlineStr"/>
    </row>
    <row r="564" ht="15" customHeight="1">
      <c r="A564" t="inlineStr">
        <is>
          <t>A 46484-2023</t>
        </is>
      </c>
      <c r="B564" s="1" t="n">
        <v>45197</v>
      </c>
      <c r="C564" s="1" t="n">
        <v>45566</v>
      </c>
      <c r="D564" t="inlineStr">
        <is>
          <t>NORRBOTTENS LÄN</t>
        </is>
      </c>
      <c r="E564" t="inlineStr">
        <is>
          <t>GÄLLIVARE</t>
        </is>
      </c>
      <c r="G564" t="n">
        <v>5.8</v>
      </c>
      <c r="H564" t="n">
        <v>0</v>
      </c>
      <c r="I564" t="n">
        <v>0</v>
      </c>
      <c r="J564" t="n">
        <v>0</v>
      </c>
      <c r="K564" t="n">
        <v>0</v>
      </c>
      <c r="L564" t="n">
        <v>0</v>
      </c>
      <c r="M564" t="n">
        <v>0</v>
      </c>
      <c r="N564" t="n">
        <v>0</v>
      </c>
      <c r="O564" t="n">
        <v>0</v>
      </c>
      <c r="P564" t="n">
        <v>0</v>
      </c>
      <c r="Q564" t="n">
        <v>0</v>
      </c>
      <c r="R564" s="2" t="inlineStr"/>
    </row>
    <row r="565" ht="15" customHeight="1">
      <c r="A565" t="inlineStr">
        <is>
          <t>A 47613-2023</t>
        </is>
      </c>
      <c r="B565" s="1" t="n">
        <v>45198</v>
      </c>
      <c r="C565" s="1" t="n">
        <v>45566</v>
      </c>
      <c r="D565" t="inlineStr">
        <is>
          <t>NORRBOTTENS LÄN</t>
        </is>
      </c>
      <c r="E565" t="inlineStr">
        <is>
          <t>GÄLLIVARE</t>
        </is>
      </c>
      <c r="G565" t="n">
        <v>1.9</v>
      </c>
      <c r="H565" t="n">
        <v>0</v>
      </c>
      <c r="I565" t="n">
        <v>0</v>
      </c>
      <c r="J565" t="n">
        <v>0</v>
      </c>
      <c r="K565" t="n">
        <v>0</v>
      </c>
      <c r="L565" t="n">
        <v>0</v>
      </c>
      <c r="M565" t="n">
        <v>0</v>
      </c>
      <c r="N565" t="n">
        <v>0</v>
      </c>
      <c r="O565" t="n">
        <v>0</v>
      </c>
      <c r="P565" t="n">
        <v>0</v>
      </c>
      <c r="Q565" t="n">
        <v>0</v>
      </c>
      <c r="R565" s="2" t="inlineStr"/>
    </row>
    <row r="566" ht="15" customHeight="1">
      <c r="A566" t="inlineStr">
        <is>
          <t>A 46853-2023</t>
        </is>
      </c>
      <c r="B566" s="1" t="n">
        <v>45199</v>
      </c>
      <c r="C566" s="1" t="n">
        <v>45566</v>
      </c>
      <c r="D566" t="inlineStr">
        <is>
          <t>NORRBOTTENS LÄN</t>
        </is>
      </c>
      <c r="E566" t="inlineStr">
        <is>
          <t>GÄLLIVARE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46854-2023</t>
        </is>
      </c>
      <c r="B567" s="1" t="n">
        <v>45199</v>
      </c>
      <c r="C567" s="1" t="n">
        <v>45566</v>
      </c>
      <c r="D567" t="inlineStr">
        <is>
          <t>NORRBOTTENS LÄN</t>
        </is>
      </c>
      <c r="E567" t="inlineStr">
        <is>
          <t>GÄLLIVARE</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46857-2023</t>
        </is>
      </c>
      <c r="B568" s="1" t="n">
        <v>45200</v>
      </c>
      <c r="C568" s="1" t="n">
        <v>45566</v>
      </c>
      <c r="D568" t="inlineStr">
        <is>
          <t>NORRBOTTENS LÄN</t>
        </is>
      </c>
      <c r="E568" t="inlineStr">
        <is>
          <t>GÄLLIVARE</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46855-2023</t>
        </is>
      </c>
      <c r="B569" s="1" t="n">
        <v>45199</v>
      </c>
      <c r="C569" s="1" t="n">
        <v>45566</v>
      </c>
      <c r="D569" t="inlineStr">
        <is>
          <t>NORRBOTTENS LÄN</t>
        </is>
      </c>
      <c r="E569" t="inlineStr">
        <is>
          <t>GÄLLIVARE</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47162-2023</t>
        </is>
      </c>
      <c r="B570" s="1" t="n">
        <v>45201</v>
      </c>
      <c r="C570" s="1" t="n">
        <v>45566</v>
      </c>
      <c r="D570" t="inlineStr">
        <is>
          <t>NORRBOTTENS LÄN</t>
        </is>
      </c>
      <c r="E570" t="inlineStr">
        <is>
          <t>GÄLLIVARE</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47166-2023</t>
        </is>
      </c>
      <c r="B571" s="1" t="n">
        <v>45201</v>
      </c>
      <c r="C571" s="1" t="n">
        <v>45566</v>
      </c>
      <c r="D571" t="inlineStr">
        <is>
          <t>NORRBOTTENS LÄN</t>
        </is>
      </c>
      <c r="E571" t="inlineStr">
        <is>
          <t>GÄLLIVARE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47048-2023</t>
        </is>
      </c>
      <c r="B572" s="1" t="n">
        <v>45201</v>
      </c>
      <c r="C572" s="1" t="n">
        <v>45566</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47271-2023</t>
        </is>
      </c>
      <c r="B573" s="1" t="n">
        <v>45202</v>
      </c>
      <c r="C573" s="1" t="n">
        <v>45566</v>
      </c>
      <c r="D573" t="inlineStr">
        <is>
          <t>NORRBOTTENS LÄN</t>
        </is>
      </c>
      <c r="E573" t="inlineStr">
        <is>
          <t>GÄLLIVARE</t>
        </is>
      </c>
      <c r="F573" t="inlineStr">
        <is>
          <t>Sveaskog</t>
        </is>
      </c>
      <c r="G573" t="n">
        <v>12.7</v>
      </c>
      <c r="H573" t="n">
        <v>0</v>
      </c>
      <c r="I573" t="n">
        <v>0</v>
      </c>
      <c r="J573" t="n">
        <v>0</v>
      </c>
      <c r="K573" t="n">
        <v>0</v>
      </c>
      <c r="L573" t="n">
        <v>0</v>
      </c>
      <c r="M573" t="n">
        <v>0</v>
      </c>
      <c r="N573" t="n">
        <v>0</v>
      </c>
      <c r="O573" t="n">
        <v>0</v>
      </c>
      <c r="P573" t="n">
        <v>0</v>
      </c>
      <c r="Q573" t="n">
        <v>0</v>
      </c>
      <c r="R573" s="2" t="inlineStr"/>
    </row>
    <row r="574" ht="15" customHeight="1">
      <c r="A574" t="inlineStr">
        <is>
          <t>A 49116-2023</t>
        </is>
      </c>
      <c r="B574" s="1" t="n">
        <v>45205</v>
      </c>
      <c r="C574" s="1" t="n">
        <v>45566</v>
      </c>
      <c r="D574" t="inlineStr">
        <is>
          <t>NORRBOTTENS LÄN</t>
        </is>
      </c>
      <c r="E574" t="inlineStr">
        <is>
          <t>GÄLLIVARE</t>
        </is>
      </c>
      <c r="G574" t="n">
        <v>16.2</v>
      </c>
      <c r="H574" t="n">
        <v>0</v>
      </c>
      <c r="I574" t="n">
        <v>0</v>
      </c>
      <c r="J574" t="n">
        <v>0</v>
      </c>
      <c r="K574" t="n">
        <v>0</v>
      </c>
      <c r="L574" t="n">
        <v>0</v>
      </c>
      <c r="M574" t="n">
        <v>0</v>
      </c>
      <c r="N574" t="n">
        <v>0</v>
      </c>
      <c r="O574" t="n">
        <v>0</v>
      </c>
      <c r="P574" t="n">
        <v>0</v>
      </c>
      <c r="Q574" t="n">
        <v>0</v>
      </c>
      <c r="R574" s="2" t="inlineStr"/>
    </row>
    <row r="575" ht="15" customHeight="1">
      <c r="A575" t="inlineStr">
        <is>
          <t>A 48531-2023</t>
        </is>
      </c>
      <c r="B575" s="1" t="n">
        <v>45208</v>
      </c>
      <c r="C575" s="1" t="n">
        <v>45566</v>
      </c>
      <c r="D575" t="inlineStr">
        <is>
          <t>NORRBOTTENS LÄN</t>
        </is>
      </c>
      <c r="E575" t="inlineStr">
        <is>
          <t>GÄLLIVARE</t>
        </is>
      </c>
      <c r="G575" t="n">
        <v>16.5</v>
      </c>
      <c r="H575" t="n">
        <v>0</v>
      </c>
      <c r="I575" t="n">
        <v>0</v>
      </c>
      <c r="J575" t="n">
        <v>0</v>
      </c>
      <c r="K575" t="n">
        <v>0</v>
      </c>
      <c r="L575" t="n">
        <v>0</v>
      </c>
      <c r="M575" t="n">
        <v>0</v>
      </c>
      <c r="N575" t="n">
        <v>0</v>
      </c>
      <c r="O575" t="n">
        <v>0</v>
      </c>
      <c r="P575" t="n">
        <v>0</v>
      </c>
      <c r="Q575" t="n">
        <v>0</v>
      </c>
      <c r="R575" s="2" t="inlineStr"/>
    </row>
    <row r="576" ht="15" customHeight="1">
      <c r="A576" t="inlineStr">
        <is>
          <t>A 48760-2023</t>
        </is>
      </c>
      <c r="B576" s="1" t="n">
        <v>45209</v>
      </c>
      <c r="C576" s="1" t="n">
        <v>45566</v>
      </c>
      <c r="D576" t="inlineStr">
        <is>
          <t>NORRBOTTENS LÄN</t>
        </is>
      </c>
      <c r="E576" t="inlineStr">
        <is>
          <t>GÄLLIVARE</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49092-2023</t>
        </is>
      </c>
      <c r="B577" s="1" t="n">
        <v>45210</v>
      </c>
      <c r="C577" s="1" t="n">
        <v>45566</v>
      </c>
      <c r="D577" t="inlineStr">
        <is>
          <t>NORRBOTTENS LÄN</t>
        </is>
      </c>
      <c r="E577" t="inlineStr">
        <is>
          <t>GÄLLIVARE</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49314-2023</t>
        </is>
      </c>
      <c r="B578" s="1" t="n">
        <v>45211</v>
      </c>
      <c r="C578" s="1" t="n">
        <v>45566</v>
      </c>
      <c r="D578" t="inlineStr">
        <is>
          <t>NORRBOTTENS LÄN</t>
        </is>
      </c>
      <c r="E578" t="inlineStr">
        <is>
          <t>GÄLLIVARE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49318-2023</t>
        </is>
      </c>
      <c r="B579" s="1" t="n">
        <v>45211</v>
      </c>
      <c r="C579" s="1" t="n">
        <v>45566</v>
      </c>
      <c r="D579" t="inlineStr">
        <is>
          <t>NORRBOTTENS LÄN</t>
        </is>
      </c>
      <c r="E579" t="inlineStr">
        <is>
          <t>GÄLLIVARE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49621-2023</t>
        </is>
      </c>
      <c r="B580" s="1" t="n">
        <v>45211</v>
      </c>
      <c r="C580" s="1" t="n">
        <v>45566</v>
      </c>
      <c r="D580" t="inlineStr">
        <is>
          <t>NORRBOTTENS LÄN</t>
        </is>
      </c>
      <c r="E580" t="inlineStr">
        <is>
          <t>GÄLLIVARE</t>
        </is>
      </c>
      <c r="G580" t="n">
        <v>3.5</v>
      </c>
      <c r="H580" t="n">
        <v>0</v>
      </c>
      <c r="I580" t="n">
        <v>0</v>
      </c>
      <c r="J580" t="n">
        <v>0</v>
      </c>
      <c r="K580" t="n">
        <v>0</v>
      </c>
      <c r="L580" t="n">
        <v>0</v>
      </c>
      <c r="M580" t="n">
        <v>0</v>
      </c>
      <c r="N580" t="n">
        <v>0</v>
      </c>
      <c r="O580" t="n">
        <v>0</v>
      </c>
      <c r="P580" t="n">
        <v>0</v>
      </c>
      <c r="Q580" t="n">
        <v>0</v>
      </c>
      <c r="R580" s="2" t="inlineStr"/>
    </row>
    <row r="581" ht="15" customHeight="1">
      <c r="A581" t="inlineStr">
        <is>
          <t>A 49634-2023</t>
        </is>
      </c>
      <c r="B581" s="1" t="n">
        <v>45211</v>
      </c>
      <c r="C581" s="1" t="n">
        <v>45566</v>
      </c>
      <c r="D581" t="inlineStr">
        <is>
          <t>NORRBOTTENS LÄN</t>
        </is>
      </c>
      <c r="E581" t="inlineStr">
        <is>
          <t>GÄLLIVARE</t>
        </is>
      </c>
      <c r="G581" t="n">
        <v>15.4</v>
      </c>
      <c r="H581" t="n">
        <v>0</v>
      </c>
      <c r="I581" t="n">
        <v>0</v>
      </c>
      <c r="J581" t="n">
        <v>0</v>
      </c>
      <c r="K581" t="n">
        <v>0</v>
      </c>
      <c r="L581" t="n">
        <v>0</v>
      </c>
      <c r="M581" t="n">
        <v>0</v>
      </c>
      <c r="N581" t="n">
        <v>0</v>
      </c>
      <c r="O581" t="n">
        <v>0</v>
      </c>
      <c r="P581" t="n">
        <v>0</v>
      </c>
      <c r="Q581" t="n">
        <v>0</v>
      </c>
      <c r="R581" s="2" t="inlineStr"/>
    </row>
    <row r="582" ht="15" customHeight="1">
      <c r="A582" t="inlineStr">
        <is>
          <t>A 49735-2023</t>
        </is>
      </c>
      <c r="B582" s="1" t="n">
        <v>45212</v>
      </c>
      <c r="C582" s="1" t="n">
        <v>45566</v>
      </c>
      <c r="D582" t="inlineStr">
        <is>
          <t>NORRBOTTENS LÄN</t>
        </is>
      </c>
      <c r="E582" t="inlineStr">
        <is>
          <t>GÄLLIVARE</t>
        </is>
      </c>
      <c r="F582" t="inlineStr">
        <is>
          <t>Sveaskog</t>
        </is>
      </c>
      <c r="G582" t="n">
        <v>11.8</v>
      </c>
      <c r="H582" t="n">
        <v>0</v>
      </c>
      <c r="I582" t="n">
        <v>0</v>
      </c>
      <c r="J582" t="n">
        <v>0</v>
      </c>
      <c r="K582" t="n">
        <v>0</v>
      </c>
      <c r="L582" t="n">
        <v>0</v>
      </c>
      <c r="M582" t="n">
        <v>0</v>
      </c>
      <c r="N582" t="n">
        <v>0</v>
      </c>
      <c r="O582" t="n">
        <v>0</v>
      </c>
      <c r="P582" t="n">
        <v>0</v>
      </c>
      <c r="Q582" t="n">
        <v>0</v>
      </c>
      <c r="R582" s="2" t="inlineStr"/>
    </row>
    <row r="583" ht="15" customHeight="1">
      <c r="A583" t="inlineStr">
        <is>
          <t>A 49740-2023</t>
        </is>
      </c>
      <c r="B583" s="1" t="n">
        <v>45212</v>
      </c>
      <c r="C583" s="1" t="n">
        <v>45566</v>
      </c>
      <c r="D583" t="inlineStr">
        <is>
          <t>NORRBOTTENS LÄN</t>
        </is>
      </c>
      <c r="E583" t="inlineStr">
        <is>
          <t>GÄLLIVARE</t>
        </is>
      </c>
      <c r="F583" t="inlineStr">
        <is>
          <t>Sveaskog</t>
        </is>
      </c>
      <c r="G583" t="n">
        <v>6.6</v>
      </c>
      <c r="H583" t="n">
        <v>0</v>
      </c>
      <c r="I583" t="n">
        <v>0</v>
      </c>
      <c r="J583" t="n">
        <v>0</v>
      </c>
      <c r="K583" t="n">
        <v>0</v>
      </c>
      <c r="L583" t="n">
        <v>0</v>
      </c>
      <c r="M583" t="n">
        <v>0</v>
      </c>
      <c r="N583" t="n">
        <v>0</v>
      </c>
      <c r="O583" t="n">
        <v>0</v>
      </c>
      <c r="P583" t="n">
        <v>0</v>
      </c>
      <c r="Q583" t="n">
        <v>0</v>
      </c>
      <c r="R583" s="2" t="inlineStr"/>
    </row>
    <row r="584" ht="15" customHeight="1">
      <c r="A584" t="inlineStr">
        <is>
          <t>A 49739-2023</t>
        </is>
      </c>
      <c r="B584" s="1" t="n">
        <v>45212</v>
      </c>
      <c r="C584" s="1" t="n">
        <v>45566</v>
      </c>
      <c r="D584" t="inlineStr">
        <is>
          <t>NORRBOTTENS LÄN</t>
        </is>
      </c>
      <c r="E584" t="inlineStr">
        <is>
          <t>GÄLLIVARE</t>
        </is>
      </c>
      <c r="F584" t="inlineStr">
        <is>
          <t>Sveaskog</t>
        </is>
      </c>
      <c r="G584" t="n">
        <v>12.2</v>
      </c>
      <c r="H584" t="n">
        <v>0</v>
      </c>
      <c r="I584" t="n">
        <v>0</v>
      </c>
      <c r="J584" t="n">
        <v>0</v>
      </c>
      <c r="K584" t="n">
        <v>0</v>
      </c>
      <c r="L584" t="n">
        <v>0</v>
      </c>
      <c r="M584" t="n">
        <v>0</v>
      </c>
      <c r="N584" t="n">
        <v>0</v>
      </c>
      <c r="O584" t="n">
        <v>0</v>
      </c>
      <c r="P584" t="n">
        <v>0</v>
      </c>
      <c r="Q584" t="n">
        <v>0</v>
      </c>
      <c r="R584" s="2" t="inlineStr"/>
    </row>
    <row r="585" ht="15" customHeight="1">
      <c r="A585" t="inlineStr">
        <is>
          <t>A 49748-2023</t>
        </is>
      </c>
      <c r="B585" s="1" t="n">
        <v>45212</v>
      </c>
      <c r="C585" s="1" t="n">
        <v>45566</v>
      </c>
      <c r="D585" t="inlineStr">
        <is>
          <t>NORRBOTTENS LÄN</t>
        </is>
      </c>
      <c r="E585" t="inlineStr">
        <is>
          <t>GÄLLIVARE</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49742-2023</t>
        </is>
      </c>
      <c r="B586" s="1" t="n">
        <v>45212</v>
      </c>
      <c r="C586" s="1" t="n">
        <v>45566</v>
      </c>
      <c r="D586" t="inlineStr">
        <is>
          <t>NORRBOTTENS LÄN</t>
        </is>
      </c>
      <c r="E586" t="inlineStr">
        <is>
          <t>GÄLLIVARE</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49746-2023</t>
        </is>
      </c>
      <c r="B587" s="1" t="n">
        <v>45212</v>
      </c>
      <c r="C587" s="1" t="n">
        <v>45566</v>
      </c>
      <c r="D587" t="inlineStr">
        <is>
          <t>NORRBOTTENS LÄN</t>
        </is>
      </c>
      <c r="E587" t="inlineStr">
        <is>
          <t>GÄLLIVARE</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49750-2023</t>
        </is>
      </c>
      <c r="B588" s="1" t="n">
        <v>45212</v>
      </c>
      <c r="C588" s="1" t="n">
        <v>45566</v>
      </c>
      <c r="D588" t="inlineStr">
        <is>
          <t>NORRBOTTENS LÄN</t>
        </is>
      </c>
      <c r="E588" t="inlineStr">
        <is>
          <t>GÄLLIVARE</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49873-2023</t>
        </is>
      </c>
      <c r="B589" s="1" t="n">
        <v>45212</v>
      </c>
      <c r="C589" s="1" t="n">
        <v>45566</v>
      </c>
      <c r="D589" t="inlineStr">
        <is>
          <t>NORRBOTTENS LÄN</t>
        </is>
      </c>
      <c r="E589" t="inlineStr">
        <is>
          <t>GÄLLIVARE</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49877-2023</t>
        </is>
      </c>
      <c r="B590" s="1" t="n">
        <v>45213</v>
      </c>
      <c r="C590" s="1" t="n">
        <v>45566</v>
      </c>
      <c r="D590" t="inlineStr">
        <is>
          <t>NORRBOTTENS LÄN</t>
        </is>
      </c>
      <c r="E590" t="inlineStr">
        <is>
          <t>GÄLLIVARE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51243-2023</t>
        </is>
      </c>
      <c r="B591" s="1" t="n">
        <v>45212</v>
      </c>
      <c r="C591" s="1" t="n">
        <v>45566</v>
      </c>
      <c r="D591" t="inlineStr">
        <is>
          <t>NORRBOTTENS LÄN</t>
        </is>
      </c>
      <c r="E591" t="inlineStr">
        <is>
          <t>GÄLLIVARE</t>
        </is>
      </c>
      <c r="G591" t="n">
        <v>3.2</v>
      </c>
      <c r="H591" t="n">
        <v>0</v>
      </c>
      <c r="I591" t="n">
        <v>0</v>
      </c>
      <c r="J591" t="n">
        <v>0</v>
      </c>
      <c r="K591" t="n">
        <v>0</v>
      </c>
      <c r="L591" t="n">
        <v>0</v>
      </c>
      <c r="M591" t="n">
        <v>0</v>
      </c>
      <c r="N591" t="n">
        <v>0</v>
      </c>
      <c r="O591" t="n">
        <v>0</v>
      </c>
      <c r="P591" t="n">
        <v>0</v>
      </c>
      <c r="Q591" t="n">
        <v>0</v>
      </c>
      <c r="R591" s="2" t="inlineStr"/>
    </row>
    <row r="592" ht="15" customHeight="1">
      <c r="A592" t="inlineStr">
        <is>
          <t>A 51217-2023</t>
        </is>
      </c>
      <c r="B592" s="1" t="n">
        <v>45212</v>
      </c>
      <c r="C592" s="1" t="n">
        <v>45566</v>
      </c>
      <c r="D592" t="inlineStr">
        <is>
          <t>NORRBOTTENS LÄN</t>
        </is>
      </c>
      <c r="E592" t="inlineStr">
        <is>
          <t>GÄLLIVARE</t>
        </is>
      </c>
      <c r="G592" t="n">
        <v>8.6</v>
      </c>
      <c r="H592" t="n">
        <v>0</v>
      </c>
      <c r="I592" t="n">
        <v>0</v>
      </c>
      <c r="J592" t="n">
        <v>0</v>
      </c>
      <c r="K592" t="n">
        <v>0</v>
      </c>
      <c r="L592" t="n">
        <v>0</v>
      </c>
      <c r="M592" t="n">
        <v>0</v>
      </c>
      <c r="N592" t="n">
        <v>0</v>
      </c>
      <c r="O592" t="n">
        <v>0</v>
      </c>
      <c r="P592" t="n">
        <v>0</v>
      </c>
      <c r="Q592" t="n">
        <v>0</v>
      </c>
      <c r="R592" s="2" t="inlineStr"/>
    </row>
    <row r="593" ht="15" customHeight="1">
      <c r="A593" t="inlineStr">
        <is>
          <t>A 49875-2023</t>
        </is>
      </c>
      <c r="B593" s="1" t="n">
        <v>45212</v>
      </c>
      <c r="C593" s="1" t="n">
        <v>45566</v>
      </c>
      <c r="D593" t="inlineStr">
        <is>
          <t>NORRBOTTENS LÄN</t>
        </is>
      </c>
      <c r="E593" t="inlineStr">
        <is>
          <t>GÄLLIVARE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51451-2023</t>
        </is>
      </c>
      <c r="B594" s="1" t="n">
        <v>45215</v>
      </c>
      <c r="C594" s="1" t="n">
        <v>45566</v>
      </c>
      <c r="D594" t="inlineStr">
        <is>
          <t>NORRBOTTENS LÄN</t>
        </is>
      </c>
      <c r="E594" t="inlineStr">
        <is>
          <t>GÄLLIVARE</t>
        </is>
      </c>
      <c r="G594" t="n">
        <v>4.1</v>
      </c>
      <c r="H594" t="n">
        <v>0</v>
      </c>
      <c r="I594" t="n">
        <v>0</v>
      </c>
      <c r="J594" t="n">
        <v>0</v>
      </c>
      <c r="K594" t="n">
        <v>0</v>
      </c>
      <c r="L594" t="n">
        <v>0</v>
      </c>
      <c r="M594" t="n">
        <v>0</v>
      </c>
      <c r="N594" t="n">
        <v>0</v>
      </c>
      <c r="O594" t="n">
        <v>0</v>
      </c>
      <c r="P594" t="n">
        <v>0</v>
      </c>
      <c r="Q594" t="n">
        <v>0</v>
      </c>
      <c r="R594" s="2" t="inlineStr"/>
    </row>
    <row r="595" ht="15" customHeight="1">
      <c r="A595" t="inlineStr">
        <is>
          <t>A 50498-2023</t>
        </is>
      </c>
      <c r="B595" s="1" t="n">
        <v>45216</v>
      </c>
      <c r="C595" s="1" t="n">
        <v>45566</v>
      </c>
      <c r="D595" t="inlineStr">
        <is>
          <t>NORRBOTTENS LÄN</t>
        </is>
      </c>
      <c r="E595" t="inlineStr">
        <is>
          <t>GÄLLIVARE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50240-2023</t>
        </is>
      </c>
      <c r="B596" s="1" t="n">
        <v>45216</v>
      </c>
      <c r="C596" s="1" t="n">
        <v>45566</v>
      </c>
      <c r="D596" t="inlineStr">
        <is>
          <t>NORRBOTTENS LÄN</t>
        </is>
      </c>
      <c r="E596" t="inlineStr">
        <is>
          <t>GÄLLIVARE</t>
        </is>
      </c>
      <c r="F596" t="inlineStr">
        <is>
          <t>Sveaskog</t>
        </is>
      </c>
      <c r="G596" t="n">
        <v>9.1</v>
      </c>
      <c r="H596" t="n">
        <v>0</v>
      </c>
      <c r="I596" t="n">
        <v>0</v>
      </c>
      <c r="J596" t="n">
        <v>0</v>
      </c>
      <c r="K596" t="n">
        <v>0</v>
      </c>
      <c r="L596" t="n">
        <v>0</v>
      </c>
      <c r="M596" t="n">
        <v>0</v>
      </c>
      <c r="N596" t="n">
        <v>0</v>
      </c>
      <c r="O596" t="n">
        <v>0</v>
      </c>
      <c r="P596" t="n">
        <v>0</v>
      </c>
      <c r="Q596" t="n">
        <v>0</v>
      </c>
      <c r="R596" s="2" t="inlineStr"/>
    </row>
    <row r="597" ht="15" customHeight="1">
      <c r="A597" t="inlineStr">
        <is>
          <t>A 50577-2023</t>
        </is>
      </c>
      <c r="B597" s="1" t="n">
        <v>45217</v>
      </c>
      <c r="C597" s="1" t="n">
        <v>45566</v>
      </c>
      <c r="D597" t="inlineStr">
        <is>
          <t>NORRBOTTENS LÄN</t>
        </is>
      </c>
      <c r="E597" t="inlineStr">
        <is>
          <t>GÄLLIVARE</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52887-2023</t>
        </is>
      </c>
      <c r="B598" s="1" t="n">
        <v>45219</v>
      </c>
      <c r="C598" s="1" t="n">
        <v>45566</v>
      </c>
      <c r="D598" t="inlineStr">
        <is>
          <t>NORRBOTTENS LÄN</t>
        </is>
      </c>
      <c r="E598" t="inlineStr">
        <is>
          <t>GÄLLIVARE</t>
        </is>
      </c>
      <c r="F598" t="inlineStr">
        <is>
          <t>Övriga statliga verk och myndigheter</t>
        </is>
      </c>
      <c r="G598" t="n">
        <v>23.1</v>
      </c>
      <c r="H598" t="n">
        <v>0</v>
      </c>
      <c r="I598" t="n">
        <v>0</v>
      </c>
      <c r="J598" t="n">
        <v>0</v>
      </c>
      <c r="K598" t="n">
        <v>0</v>
      </c>
      <c r="L598" t="n">
        <v>0</v>
      </c>
      <c r="M598" t="n">
        <v>0</v>
      </c>
      <c r="N598" t="n">
        <v>0</v>
      </c>
      <c r="O598" t="n">
        <v>0</v>
      </c>
      <c r="P598" t="n">
        <v>0</v>
      </c>
      <c r="Q598" t="n">
        <v>0</v>
      </c>
      <c r="R598" s="2" t="inlineStr"/>
    </row>
    <row r="599" ht="15" customHeight="1">
      <c r="A599" t="inlineStr">
        <is>
          <t>A 52947-2023</t>
        </is>
      </c>
      <c r="B599" s="1" t="n">
        <v>45219</v>
      </c>
      <c r="C599" s="1" t="n">
        <v>45566</v>
      </c>
      <c r="D599" t="inlineStr">
        <is>
          <t>NORRBOTTENS LÄN</t>
        </is>
      </c>
      <c r="E599" t="inlineStr">
        <is>
          <t>GÄLLIVARE</t>
        </is>
      </c>
      <c r="F599" t="inlineStr">
        <is>
          <t>Övriga statliga verk och myndigheter</t>
        </is>
      </c>
      <c r="G599" t="n">
        <v>36.3</v>
      </c>
      <c r="H599" t="n">
        <v>0</v>
      </c>
      <c r="I599" t="n">
        <v>0</v>
      </c>
      <c r="J599" t="n">
        <v>0</v>
      </c>
      <c r="K599" t="n">
        <v>0</v>
      </c>
      <c r="L599" t="n">
        <v>0</v>
      </c>
      <c r="M599" t="n">
        <v>0</v>
      </c>
      <c r="N599" t="n">
        <v>0</v>
      </c>
      <c r="O599" t="n">
        <v>0</v>
      </c>
      <c r="P599" t="n">
        <v>0</v>
      </c>
      <c r="Q599" t="n">
        <v>0</v>
      </c>
      <c r="R599" s="2" t="inlineStr"/>
    </row>
    <row r="600" ht="15" customHeight="1">
      <c r="A600" t="inlineStr">
        <is>
          <t>A 51604-2023</t>
        </is>
      </c>
      <c r="B600" s="1" t="n">
        <v>45222</v>
      </c>
      <c r="C600" s="1" t="n">
        <v>45566</v>
      </c>
      <c r="D600" t="inlineStr">
        <is>
          <t>NORRBOTTENS LÄN</t>
        </is>
      </c>
      <c r="E600" t="inlineStr">
        <is>
          <t>GÄLLIVARE</t>
        </is>
      </c>
      <c r="F600" t="inlineStr">
        <is>
          <t>Sveaskog</t>
        </is>
      </c>
      <c r="G600" t="n">
        <v>25.2</v>
      </c>
      <c r="H600" t="n">
        <v>0</v>
      </c>
      <c r="I600" t="n">
        <v>0</v>
      </c>
      <c r="J600" t="n">
        <v>0</v>
      </c>
      <c r="K600" t="n">
        <v>0</v>
      </c>
      <c r="L600" t="n">
        <v>0</v>
      </c>
      <c r="M600" t="n">
        <v>0</v>
      </c>
      <c r="N600" t="n">
        <v>0</v>
      </c>
      <c r="O600" t="n">
        <v>0</v>
      </c>
      <c r="P600" t="n">
        <v>0</v>
      </c>
      <c r="Q600" t="n">
        <v>0</v>
      </c>
      <c r="R600" s="2" t="inlineStr"/>
    </row>
    <row r="601" ht="15" customHeight="1">
      <c r="A601" t="inlineStr">
        <is>
          <t>A 51615-2023</t>
        </is>
      </c>
      <c r="B601" s="1" t="n">
        <v>45222</v>
      </c>
      <c r="C601" s="1" t="n">
        <v>45566</v>
      </c>
      <c r="D601" t="inlineStr">
        <is>
          <t>NORRBOTTENS LÄN</t>
        </is>
      </c>
      <c r="E601" t="inlineStr">
        <is>
          <t>GÄLLIVARE</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51950-2023</t>
        </is>
      </c>
      <c r="B602" s="1" t="n">
        <v>45223</v>
      </c>
      <c r="C602" s="1" t="n">
        <v>45566</v>
      </c>
      <c r="D602" t="inlineStr">
        <is>
          <t>NORRBOTTENS LÄN</t>
        </is>
      </c>
      <c r="E602" t="inlineStr">
        <is>
          <t>GÄLLIVARE</t>
        </is>
      </c>
      <c r="F602" t="inlineStr">
        <is>
          <t>Sveaskog</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52728-2023</t>
        </is>
      </c>
      <c r="B603" s="1" t="n">
        <v>45225</v>
      </c>
      <c r="C603" s="1" t="n">
        <v>45566</v>
      </c>
      <c r="D603" t="inlineStr">
        <is>
          <t>NORRBOTTENS LÄN</t>
        </is>
      </c>
      <c r="E603" t="inlineStr">
        <is>
          <t>GÄLLIVARE</t>
        </is>
      </c>
      <c r="G603" t="n">
        <v>2.9</v>
      </c>
      <c r="H603" t="n">
        <v>0</v>
      </c>
      <c r="I603" t="n">
        <v>0</v>
      </c>
      <c r="J603" t="n">
        <v>0</v>
      </c>
      <c r="K603" t="n">
        <v>0</v>
      </c>
      <c r="L603" t="n">
        <v>0</v>
      </c>
      <c r="M603" t="n">
        <v>0</v>
      </c>
      <c r="N603" t="n">
        <v>0</v>
      </c>
      <c r="O603" t="n">
        <v>0</v>
      </c>
      <c r="P603" t="n">
        <v>0</v>
      </c>
      <c r="Q603" t="n">
        <v>0</v>
      </c>
      <c r="R603" s="2" t="inlineStr"/>
    </row>
    <row r="604" ht="15" customHeight="1">
      <c r="A604" t="inlineStr">
        <is>
          <t>A 52660-2023</t>
        </is>
      </c>
      <c r="B604" s="1" t="n">
        <v>45225</v>
      </c>
      <c r="C604" s="1" t="n">
        <v>45566</v>
      </c>
      <c r="D604" t="inlineStr">
        <is>
          <t>NORRBOTTENS LÄN</t>
        </is>
      </c>
      <c r="E604" t="inlineStr">
        <is>
          <t>GÄLLIVARE</t>
        </is>
      </c>
      <c r="G604" t="n">
        <v>2.4</v>
      </c>
      <c r="H604" t="n">
        <v>0</v>
      </c>
      <c r="I604" t="n">
        <v>0</v>
      </c>
      <c r="J604" t="n">
        <v>0</v>
      </c>
      <c r="K604" t="n">
        <v>0</v>
      </c>
      <c r="L604" t="n">
        <v>0</v>
      </c>
      <c r="M604" t="n">
        <v>0</v>
      </c>
      <c r="N604" t="n">
        <v>0</v>
      </c>
      <c r="O604" t="n">
        <v>0</v>
      </c>
      <c r="P604" t="n">
        <v>0</v>
      </c>
      <c r="Q604" t="n">
        <v>0</v>
      </c>
      <c r="R604" s="2" t="inlineStr"/>
    </row>
    <row r="605" ht="15" customHeight="1">
      <c r="A605" t="inlineStr">
        <is>
          <t>A 52827-2023</t>
        </is>
      </c>
      <c r="B605" s="1" t="n">
        <v>45226</v>
      </c>
      <c r="C605" s="1" t="n">
        <v>45566</v>
      </c>
      <c r="D605" t="inlineStr">
        <is>
          <t>NORRBOTTENS LÄN</t>
        </is>
      </c>
      <c r="E605" t="inlineStr">
        <is>
          <t>GÄLLIVARE</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52821-2023</t>
        </is>
      </c>
      <c r="B606" s="1" t="n">
        <v>45226</v>
      </c>
      <c r="C606" s="1" t="n">
        <v>45566</v>
      </c>
      <c r="D606" t="inlineStr">
        <is>
          <t>NORRBOTTENS LÄN</t>
        </is>
      </c>
      <c r="E606" t="inlineStr">
        <is>
          <t>GÄLLIVARE</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54725-2023</t>
        </is>
      </c>
      <c r="B607" s="1" t="n">
        <v>45229</v>
      </c>
      <c r="C607" s="1" t="n">
        <v>45566</v>
      </c>
      <c r="D607" t="inlineStr">
        <is>
          <t>NORRBOTTENS LÄN</t>
        </is>
      </c>
      <c r="E607" t="inlineStr">
        <is>
          <t>GÄLLIVARE</t>
        </is>
      </c>
      <c r="G607" t="n">
        <v>2.5</v>
      </c>
      <c r="H607" t="n">
        <v>0</v>
      </c>
      <c r="I607" t="n">
        <v>0</v>
      </c>
      <c r="J607" t="n">
        <v>0</v>
      </c>
      <c r="K607" t="n">
        <v>0</v>
      </c>
      <c r="L607" t="n">
        <v>0</v>
      </c>
      <c r="M607" t="n">
        <v>0</v>
      </c>
      <c r="N607" t="n">
        <v>0</v>
      </c>
      <c r="O607" t="n">
        <v>0</v>
      </c>
      <c r="P607" t="n">
        <v>0</v>
      </c>
      <c r="Q607" t="n">
        <v>0</v>
      </c>
      <c r="R607" s="2" t="inlineStr"/>
    </row>
    <row r="608" ht="15" customHeight="1">
      <c r="A608" t="inlineStr">
        <is>
          <t>A 55394-2023</t>
        </is>
      </c>
      <c r="B608" s="1" t="n">
        <v>45231</v>
      </c>
      <c r="C608" s="1" t="n">
        <v>45566</v>
      </c>
      <c r="D608" t="inlineStr">
        <is>
          <t>NORRBOTTENS LÄN</t>
        </is>
      </c>
      <c r="E608" t="inlineStr">
        <is>
          <t>GÄLLIVARE</t>
        </is>
      </c>
      <c r="G608" t="n">
        <v>1.4</v>
      </c>
      <c r="H608" t="n">
        <v>0</v>
      </c>
      <c r="I608" t="n">
        <v>0</v>
      </c>
      <c r="J608" t="n">
        <v>0</v>
      </c>
      <c r="K608" t="n">
        <v>0</v>
      </c>
      <c r="L608" t="n">
        <v>0</v>
      </c>
      <c r="M608" t="n">
        <v>0</v>
      </c>
      <c r="N608" t="n">
        <v>0</v>
      </c>
      <c r="O608" t="n">
        <v>0</v>
      </c>
      <c r="P608" t="n">
        <v>0</v>
      </c>
      <c r="Q608" t="n">
        <v>0</v>
      </c>
      <c r="R608" s="2" t="inlineStr"/>
    </row>
    <row r="609" ht="15" customHeight="1">
      <c r="A609" t="inlineStr">
        <is>
          <t>A 55407-2023</t>
        </is>
      </c>
      <c r="B609" s="1" t="n">
        <v>45231</v>
      </c>
      <c r="C609" s="1" t="n">
        <v>45566</v>
      </c>
      <c r="D609" t="inlineStr">
        <is>
          <t>NORRBOTTENS LÄN</t>
        </is>
      </c>
      <c r="E609" t="inlineStr">
        <is>
          <t>GÄLLIVARE</t>
        </is>
      </c>
      <c r="G609" t="n">
        <v>6.3</v>
      </c>
      <c r="H609" t="n">
        <v>0</v>
      </c>
      <c r="I609" t="n">
        <v>0</v>
      </c>
      <c r="J609" t="n">
        <v>0</v>
      </c>
      <c r="K609" t="n">
        <v>0</v>
      </c>
      <c r="L609" t="n">
        <v>0</v>
      </c>
      <c r="M609" t="n">
        <v>0</v>
      </c>
      <c r="N609" t="n">
        <v>0</v>
      </c>
      <c r="O609" t="n">
        <v>0</v>
      </c>
      <c r="P609" t="n">
        <v>0</v>
      </c>
      <c r="Q609" t="n">
        <v>0</v>
      </c>
      <c r="R609" s="2" t="inlineStr"/>
    </row>
    <row r="610" ht="15" customHeight="1">
      <c r="A610" t="inlineStr">
        <is>
          <t>A 55410-2023</t>
        </is>
      </c>
      <c r="B610" s="1" t="n">
        <v>45231</v>
      </c>
      <c r="C610" s="1" t="n">
        <v>45566</v>
      </c>
      <c r="D610" t="inlineStr">
        <is>
          <t>NORRBOTTENS LÄN</t>
        </is>
      </c>
      <c r="E610" t="inlineStr">
        <is>
          <t>GÄLLIVARE</t>
        </is>
      </c>
      <c r="G610" t="n">
        <v>1.7</v>
      </c>
      <c r="H610" t="n">
        <v>0</v>
      </c>
      <c r="I610" t="n">
        <v>0</v>
      </c>
      <c r="J610" t="n">
        <v>0</v>
      </c>
      <c r="K610" t="n">
        <v>0</v>
      </c>
      <c r="L610" t="n">
        <v>0</v>
      </c>
      <c r="M610" t="n">
        <v>0</v>
      </c>
      <c r="N610" t="n">
        <v>0</v>
      </c>
      <c r="O610" t="n">
        <v>0</v>
      </c>
      <c r="P610" t="n">
        <v>0</v>
      </c>
      <c r="Q610" t="n">
        <v>0</v>
      </c>
      <c r="R610" s="2" t="inlineStr"/>
    </row>
    <row r="611" ht="15" customHeight="1">
      <c r="A611" t="inlineStr">
        <is>
          <t>A 54410-2023</t>
        </is>
      </c>
      <c r="B611" s="1" t="n">
        <v>45233</v>
      </c>
      <c r="C611" s="1" t="n">
        <v>45566</v>
      </c>
      <c r="D611" t="inlineStr">
        <is>
          <t>NORRBOTTENS LÄN</t>
        </is>
      </c>
      <c r="E611" t="inlineStr">
        <is>
          <t>GÄLLIVARE</t>
        </is>
      </c>
      <c r="F611" t="inlineStr">
        <is>
          <t>Sveaskog</t>
        </is>
      </c>
      <c r="G611" t="n">
        <v>5.6</v>
      </c>
      <c r="H611" t="n">
        <v>0</v>
      </c>
      <c r="I611" t="n">
        <v>0</v>
      </c>
      <c r="J611" t="n">
        <v>0</v>
      </c>
      <c r="K611" t="n">
        <v>0</v>
      </c>
      <c r="L611" t="n">
        <v>0</v>
      </c>
      <c r="M611" t="n">
        <v>0</v>
      </c>
      <c r="N611" t="n">
        <v>0</v>
      </c>
      <c r="O611" t="n">
        <v>0</v>
      </c>
      <c r="P611" t="n">
        <v>0</v>
      </c>
      <c r="Q611" t="n">
        <v>0</v>
      </c>
      <c r="R611" s="2" t="inlineStr"/>
    </row>
    <row r="612" ht="15" customHeight="1">
      <c r="A612" t="inlineStr">
        <is>
          <t>A 54937-2023</t>
        </is>
      </c>
      <c r="B612" s="1" t="n">
        <v>45236</v>
      </c>
      <c r="C612" s="1" t="n">
        <v>45566</v>
      </c>
      <c r="D612" t="inlineStr">
        <is>
          <t>NORRBOTTENS LÄN</t>
        </is>
      </c>
      <c r="E612" t="inlineStr">
        <is>
          <t>GÄLLIVARE</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55034-2023</t>
        </is>
      </c>
      <c r="B613" s="1" t="n">
        <v>45237</v>
      </c>
      <c r="C613" s="1" t="n">
        <v>45566</v>
      </c>
      <c r="D613" t="inlineStr">
        <is>
          <t>NORRBOTTENS LÄN</t>
        </is>
      </c>
      <c r="E613" t="inlineStr">
        <is>
          <t>GÄLLIVARE</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55044-2023</t>
        </is>
      </c>
      <c r="B614" s="1" t="n">
        <v>45237</v>
      </c>
      <c r="C614" s="1" t="n">
        <v>45566</v>
      </c>
      <c r="D614" t="inlineStr">
        <is>
          <t>NORRBOTTENS LÄN</t>
        </is>
      </c>
      <c r="E614" t="inlineStr">
        <is>
          <t>GÄLLIVARE</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55118-2023</t>
        </is>
      </c>
      <c r="B615" s="1" t="n">
        <v>45237</v>
      </c>
      <c r="C615" s="1" t="n">
        <v>45566</v>
      </c>
      <c r="D615" t="inlineStr">
        <is>
          <t>NORRBOTTENS LÄN</t>
        </is>
      </c>
      <c r="E615" t="inlineStr">
        <is>
          <t>GÄLLIVARE</t>
        </is>
      </c>
      <c r="F615" t="inlineStr">
        <is>
          <t>Sveaskog</t>
        </is>
      </c>
      <c r="G615" t="n">
        <v>30</v>
      </c>
      <c r="H615" t="n">
        <v>0</v>
      </c>
      <c r="I615" t="n">
        <v>0</v>
      </c>
      <c r="J615" t="n">
        <v>0</v>
      </c>
      <c r="K615" t="n">
        <v>0</v>
      </c>
      <c r="L615" t="n">
        <v>0</v>
      </c>
      <c r="M615" t="n">
        <v>0</v>
      </c>
      <c r="N615" t="n">
        <v>0</v>
      </c>
      <c r="O615" t="n">
        <v>0</v>
      </c>
      <c r="P615" t="n">
        <v>0</v>
      </c>
      <c r="Q615" t="n">
        <v>0</v>
      </c>
      <c r="R615" s="2" t="inlineStr"/>
    </row>
    <row r="616" ht="15" customHeight="1">
      <c r="A616" t="inlineStr">
        <is>
          <t>A 55050-2023</t>
        </is>
      </c>
      <c r="B616" s="1" t="n">
        <v>45237</v>
      </c>
      <c r="C616" s="1" t="n">
        <v>45566</v>
      </c>
      <c r="D616" t="inlineStr">
        <is>
          <t>NORRBOTTENS LÄN</t>
        </is>
      </c>
      <c r="E616" t="inlineStr">
        <is>
          <t>GÄLLIVARE</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55429-2023</t>
        </is>
      </c>
      <c r="B617" s="1" t="n">
        <v>45238</v>
      </c>
      <c r="C617" s="1" t="n">
        <v>45566</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55584-2023</t>
        </is>
      </c>
      <c r="B618" s="1" t="n">
        <v>45238</v>
      </c>
      <c r="C618" s="1" t="n">
        <v>45566</v>
      </c>
      <c r="D618" t="inlineStr">
        <is>
          <t>NORRBOTTENS LÄN</t>
        </is>
      </c>
      <c r="E618" t="inlineStr">
        <is>
          <t>GÄLLIVARE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55606-2023</t>
        </is>
      </c>
      <c r="B619" s="1" t="n">
        <v>45238</v>
      </c>
      <c r="C619" s="1" t="n">
        <v>45566</v>
      </c>
      <c r="D619" t="inlineStr">
        <is>
          <t>NORRBOTTENS LÄN</t>
        </is>
      </c>
      <c r="E619" t="inlineStr">
        <is>
          <t>GÄLLIVARE</t>
        </is>
      </c>
      <c r="G619" t="n">
        <v>2.4</v>
      </c>
      <c r="H619" t="n">
        <v>0</v>
      </c>
      <c r="I619" t="n">
        <v>0</v>
      </c>
      <c r="J619" t="n">
        <v>0</v>
      </c>
      <c r="K619" t="n">
        <v>0</v>
      </c>
      <c r="L619" t="n">
        <v>0</v>
      </c>
      <c r="M619" t="n">
        <v>0</v>
      </c>
      <c r="N619" t="n">
        <v>0</v>
      </c>
      <c r="O619" t="n">
        <v>0</v>
      </c>
      <c r="P619" t="n">
        <v>0</v>
      </c>
      <c r="Q619" t="n">
        <v>0</v>
      </c>
      <c r="R619" s="2" t="inlineStr"/>
    </row>
    <row r="620" ht="15" customHeight="1">
      <c r="A620" t="inlineStr">
        <is>
          <t>A 55588-2023</t>
        </is>
      </c>
      <c r="B620" s="1" t="n">
        <v>45238</v>
      </c>
      <c r="C620" s="1" t="n">
        <v>45566</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55644-2023</t>
        </is>
      </c>
      <c r="B621" s="1" t="n">
        <v>45238</v>
      </c>
      <c r="C621" s="1" t="n">
        <v>45566</v>
      </c>
      <c r="D621" t="inlineStr">
        <is>
          <t>NORRBOTTENS LÄN</t>
        </is>
      </c>
      <c r="E621" t="inlineStr">
        <is>
          <t>GÄLLIVARE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55466-2023</t>
        </is>
      </c>
      <c r="B622" s="1" t="n">
        <v>45238</v>
      </c>
      <c r="C622" s="1" t="n">
        <v>45566</v>
      </c>
      <c r="D622" t="inlineStr">
        <is>
          <t>NORRBOTTENS LÄN</t>
        </is>
      </c>
      <c r="E622" t="inlineStr">
        <is>
          <t>GÄLLIVARE</t>
        </is>
      </c>
      <c r="G622" t="n">
        <v>5.1</v>
      </c>
      <c r="H622" t="n">
        <v>0</v>
      </c>
      <c r="I622" t="n">
        <v>0</v>
      </c>
      <c r="J622" t="n">
        <v>0</v>
      </c>
      <c r="K622" t="n">
        <v>0</v>
      </c>
      <c r="L622" t="n">
        <v>0</v>
      </c>
      <c r="M622" t="n">
        <v>0</v>
      </c>
      <c r="N622" t="n">
        <v>0</v>
      </c>
      <c r="O622" t="n">
        <v>0</v>
      </c>
      <c r="P622" t="n">
        <v>0</v>
      </c>
      <c r="Q622" t="n">
        <v>0</v>
      </c>
      <c r="R622" s="2" t="inlineStr"/>
    </row>
    <row r="623" ht="15" customHeight="1">
      <c r="A623" t="inlineStr">
        <is>
          <t>A 56259-2023</t>
        </is>
      </c>
      <c r="B623" s="1" t="n">
        <v>45240</v>
      </c>
      <c r="C623" s="1" t="n">
        <v>45566</v>
      </c>
      <c r="D623" t="inlineStr">
        <is>
          <t>NORRBOTTENS LÄN</t>
        </is>
      </c>
      <c r="E623" t="inlineStr">
        <is>
          <t>GÄLLIVARE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57909-2023</t>
        </is>
      </c>
      <c r="B624" s="1" t="n">
        <v>45244</v>
      </c>
      <c r="C624" s="1" t="n">
        <v>45566</v>
      </c>
      <c r="D624" t="inlineStr">
        <is>
          <t>NORRBOTTENS LÄN</t>
        </is>
      </c>
      <c r="E624" t="inlineStr">
        <is>
          <t>GÄLLIVARE</t>
        </is>
      </c>
      <c r="F624" t="inlineStr">
        <is>
          <t>Allmännings- och besparingsskogar</t>
        </is>
      </c>
      <c r="G624" t="n">
        <v>4.5</v>
      </c>
      <c r="H624" t="n">
        <v>0</v>
      </c>
      <c r="I624" t="n">
        <v>0</v>
      </c>
      <c r="J624" t="n">
        <v>0</v>
      </c>
      <c r="K624" t="n">
        <v>0</v>
      </c>
      <c r="L624" t="n">
        <v>0</v>
      </c>
      <c r="M624" t="n">
        <v>0</v>
      </c>
      <c r="N624" t="n">
        <v>0</v>
      </c>
      <c r="O624" t="n">
        <v>0</v>
      </c>
      <c r="P624" t="n">
        <v>0</v>
      </c>
      <c r="Q624" t="n">
        <v>0</v>
      </c>
      <c r="R624" s="2" t="inlineStr"/>
    </row>
    <row r="625" ht="15" customHeight="1">
      <c r="A625" t="inlineStr">
        <is>
          <t>A 60584-2023</t>
        </is>
      </c>
      <c r="B625" s="1" t="n">
        <v>45259</v>
      </c>
      <c r="C625" s="1" t="n">
        <v>45566</v>
      </c>
      <c r="D625" t="inlineStr">
        <is>
          <t>NORRBOTTENS LÄN</t>
        </is>
      </c>
      <c r="E625" t="inlineStr">
        <is>
          <t>GÄLLIVARE</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60856-2023</t>
        </is>
      </c>
      <c r="B626" s="1" t="n">
        <v>45260</v>
      </c>
      <c r="C626" s="1" t="n">
        <v>45566</v>
      </c>
      <c r="D626" t="inlineStr">
        <is>
          <t>NORRBOTTENS LÄN</t>
        </is>
      </c>
      <c r="E626" t="inlineStr">
        <is>
          <t>GÄLLIVARE</t>
        </is>
      </c>
      <c r="G626" t="n">
        <v>6.8</v>
      </c>
      <c r="H626" t="n">
        <v>0</v>
      </c>
      <c r="I626" t="n">
        <v>0</v>
      </c>
      <c r="J626" t="n">
        <v>0</v>
      </c>
      <c r="K626" t="n">
        <v>0</v>
      </c>
      <c r="L626" t="n">
        <v>0</v>
      </c>
      <c r="M626" t="n">
        <v>0</v>
      </c>
      <c r="N626" t="n">
        <v>0</v>
      </c>
      <c r="O626" t="n">
        <v>0</v>
      </c>
      <c r="P626" t="n">
        <v>0</v>
      </c>
      <c r="Q626" t="n">
        <v>0</v>
      </c>
      <c r="R626" s="2" t="inlineStr"/>
    </row>
    <row r="627" ht="15" customHeight="1">
      <c r="A627" t="inlineStr">
        <is>
          <t>A 60868-2023</t>
        </is>
      </c>
      <c r="B627" s="1" t="n">
        <v>45260</v>
      </c>
      <c r="C627" s="1" t="n">
        <v>45566</v>
      </c>
      <c r="D627" t="inlineStr">
        <is>
          <t>NORRBOTTENS LÄN</t>
        </is>
      </c>
      <c r="E627" t="inlineStr">
        <is>
          <t>GÄLLIVARE</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61139-2023</t>
        </is>
      </c>
      <c r="B628" s="1" t="n">
        <v>45261</v>
      </c>
      <c r="C628" s="1" t="n">
        <v>45566</v>
      </c>
      <c r="D628" t="inlineStr">
        <is>
          <t>NORRBOTTENS LÄN</t>
        </is>
      </c>
      <c r="E628" t="inlineStr">
        <is>
          <t>GÄLLIVARE</t>
        </is>
      </c>
      <c r="G628" t="n">
        <v>11.4</v>
      </c>
      <c r="H628" t="n">
        <v>0</v>
      </c>
      <c r="I628" t="n">
        <v>0</v>
      </c>
      <c r="J628" t="n">
        <v>0</v>
      </c>
      <c r="K628" t="n">
        <v>0</v>
      </c>
      <c r="L628" t="n">
        <v>0</v>
      </c>
      <c r="M628" t="n">
        <v>0</v>
      </c>
      <c r="N628" t="n">
        <v>0</v>
      </c>
      <c r="O628" t="n">
        <v>0</v>
      </c>
      <c r="P628" t="n">
        <v>0</v>
      </c>
      <c r="Q628" t="n">
        <v>0</v>
      </c>
      <c r="R628" s="2" t="inlineStr"/>
    </row>
    <row r="629" ht="15" customHeight="1">
      <c r="A629" t="inlineStr">
        <is>
          <t>A 61158-2023</t>
        </is>
      </c>
      <c r="B629" s="1" t="n">
        <v>45262</v>
      </c>
      <c r="C629" s="1" t="n">
        <v>45566</v>
      </c>
      <c r="D629" t="inlineStr">
        <is>
          <t>NORRBOTTENS LÄN</t>
        </is>
      </c>
      <c r="E629" t="inlineStr">
        <is>
          <t>GÄLLIVARE</t>
        </is>
      </c>
      <c r="G629" t="n">
        <v>2.3</v>
      </c>
      <c r="H629" t="n">
        <v>0</v>
      </c>
      <c r="I629" t="n">
        <v>0</v>
      </c>
      <c r="J629" t="n">
        <v>0</v>
      </c>
      <c r="K629" t="n">
        <v>0</v>
      </c>
      <c r="L629" t="n">
        <v>0</v>
      </c>
      <c r="M629" t="n">
        <v>0</v>
      </c>
      <c r="N629" t="n">
        <v>0</v>
      </c>
      <c r="O629" t="n">
        <v>0</v>
      </c>
      <c r="P629" t="n">
        <v>0</v>
      </c>
      <c r="Q629" t="n">
        <v>0</v>
      </c>
      <c r="R629" s="2" t="inlineStr"/>
    </row>
    <row r="630" ht="15" customHeight="1">
      <c r="A630" t="inlineStr">
        <is>
          <t>A 61190-2023</t>
        </is>
      </c>
      <c r="B630" s="1" t="n">
        <v>45264</v>
      </c>
      <c r="C630" s="1" t="n">
        <v>45566</v>
      </c>
      <c r="D630" t="inlineStr">
        <is>
          <t>NORRBOTTENS LÄN</t>
        </is>
      </c>
      <c r="E630" t="inlineStr">
        <is>
          <t>GÄLLIVARE</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61187-2023</t>
        </is>
      </c>
      <c r="B631" s="1" t="n">
        <v>45264</v>
      </c>
      <c r="C631" s="1" t="n">
        <v>45566</v>
      </c>
      <c r="D631" t="inlineStr">
        <is>
          <t>NORRBOTTENS LÄN</t>
        </is>
      </c>
      <c r="E631" t="inlineStr">
        <is>
          <t>GÄLLIVARE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61192-2023</t>
        </is>
      </c>
      <c r="B632" s="1" t="n">
        <v>45264</v>
      </c>
      <c r="C632" s="1" t="n">
        <v>45566</v>
      </c>
      <c r="D632" t="inlineStr">
        <is>
          <t>NORRBOTTENS LÄN</t>
        </is>
      </c>
      <c r="E632" t="inlineStr">
        <is>
          <t>GÄLLIVARE</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61986-2023</t>
        </is>
      </c>
      <c r="B633" s="1" t="n">
        <v>45265</v>
      </c>
      <c r="C633" s="1" t="n">
        <v>45566</v>
      </c>
      <c r="D633" t="inlineStr">
        <is>
          <t>NORRBOTTENS LÄN</t>
        </is>
      </c>
      <c r="E633" t="inlineStr">
        <is>
          <t>GÄLLIVARE</t>
        </is>
      </c>
      <c r="G633" t="n">
        <v>18.6</v>
      </c>
      <c r="H633" t="n">
        <v>0</v>
      </c>
      <c r="I633" t="n">
        <v>0</v>
      </c>
      <c r="J633" t="n">
        <v>0</v>
      </c>
      <c r="K633" t="n">
        <v>0</v>
      </c>
      <c r="L633" t="n">
        <v>0</v>
      </c>
      <c r="M633" t="n">
        <v>0</v>
      </c>
      <c r="N633" t="n">
        <v>0</v>
      </c>
      <c r="O633" t="n">
        <v>0</v>
      </c>
      <c r="P633" t="n">
        <v>0</v>
      </c>
      <c r="Q633" t="n">
        <v>0</v>
      </c>
      <c r="R633" s="2" t="inlineStr"/>
    </row>
    <row r="634" ht="15" customHeight="1">
      <c r="A634" t="inlineStr">
        <is>
          <t>A 61783-2023</t>
        </is>
      </c>
      <c r="B634" s="1" t="n">
        <v>45265</v>
      </c>
      <c r="C634" s="1" t="n">
        <v>45566</v>
      </c>
      <c r="D634" t="inlineStr">
        <is>
          <t>NORRBOTTENS LÄN</t>
        </is>
      </c>
      <c r="E634" t="inlineStr">
        <is>
          <t>GÄLLIVARE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61982-2023</t>
        </is>
      </c>
      <c r="B635" s="1" t="n">
        <v>45266</v>
      </c>
      <c r="C635" s="1" t="n">
        <v>45566</v>
      </c>
      <c r="D635" t="inlineStr">
        <is>
          <t>NORRBOTTENS LÄN</t>
        </is>
      </c>
      <c r="E635" t="inlineStr">
        <is>
          <t>GÄLLIVARE</t>
        </is>
      </c>
      <c r="G635" t="n">
        <v>20.2</v>
      </c>
      <c r="H635" t="n">
        <v>0</v>
      </c>
      <c r="I635" t="n">
        <v>0</v>
      </c>
      <c r="J635" t="n">
        <v>0</v>
      </c>
      <c r="K635" t="n">
        <v>0</v>
      </c>
      <c r="L635" t="n">
        <v>0</v>
      </c>
      <c r="M635" t="n">
        <v>0</v>
      </c>
      <c r="N635" t="n">
        <v>0</v>
      </c>
      <c r="O635" t="n">
        <v>0</v>
      </c>
      <c r="P635" t="n">
        <v>0</v>
      </c>
      <c r="Q635" t="n">
        <v>0</v>
      </c>
      <c r="R635" s="2" t="inlineStr"/>
    </row>
    <row r="636" ht="15" customHeight="1">
      <c r="A636" t="inlineStr">
        <is>
          <t>A 62788-2023</t>
        </is>
      </c>
      <c r="B636" s="1" t="n">
        <v>45271</v>
      </c>
      <c r="C636" s="1" t="n">
        <v>45566</v>
      </c>
      <c r="D636" t="inlineStr">
        <is>
          <t>NORRBOTTENS LÄN</t>
        </is>
      </c>
      <c r="E636" t="inlineStr">
        <is>
          <t>GÄLLIVARE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62949-2023</t>
        </is>
      </c>
      <c r="B637" s="1" t="n">
        <v>45272</v>
      </c>
      <c r="C637" s="1" t="n">
        <v>45566</v>
      </c>
      <c r="D637" t="inlineStr">
        <is>
          <t>NORRBOTTENS LÄN</t>
        </is>
      </c>
      <c r="E637" t="inlineStr">
        <is>
          <t>GÄLLIVARE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64238-2023</t>
        </is>
      </c>
      <c r="B638" s="1" t="n">
        <v>45279</v>
      </c>
      <c r="C638" s="1" t="n">
        <v>45566</v>
      </c>
      <c r="D638" t="inlineStr">
        <is>
          <t>NORRBOTTENS LÄN</t>
        </is>
      </c>
      <c r="E638" t="inlineStr">
        <is>
          <t>GÄLLIVARE</t>
        </is>
      </c>
      <c r="G638" t="n">
        <v>5.5</v>
      </c>
      <c r="H638" t="n">
        <v>0</v>
      </c>
      <c r="I638" t="n">
        <v>0</v>
      </c>
      <c r="J638" t="n">
        <v>0</v>
      </c>
      <c r="K638" t="n">
        <v>0</v>
      </c>
      <c r="L638" t="n">
        <v>0</v>
      </c>
      <c r="M638" t="n">
        <v>0</v>
      </c>
      <c r="N638" t="n">
        <v>0</v>
      </c>
      <c r="O638" t="n">
        <v>0</v>
      </c>
      <c r="P638" t="n">
        <v>0</v>
      </c>
      <c r="Q638" t="n">
        <v>0</v>
      </c>
      <c r="R638" s="2" t="inlineStr"/>
    </row>
    <row r="639" ht="15" customHeight="1">
      <c r="A639" t="inlineStr">
        <is>
          <t>A 64237-2023</t>
        </is>
      </c>
      <c r="B639" s="1" t="n">
        <v>45279</v>
      </c>
      <c r="C639" s="1" t="n">
        <v>45566</v>
      </c>
      <c r="D639" t="inlineStr">
        <is>
          <t>NORRBOTTENS LÄN</t>
        </is>
      </c>
      <c r="E639" t="inlineStr">
        <is>
          <t>GÄLLIVARE</t>
        </is>
      </c>
      <c r="G639" t="n">
        <v>3.1</v>
      </c>
      <c r="H639" t="n">
        <v>0</v>
      </c>
      <c r="I639" t="n">
        <v>0</v>
      </c>
      <c r="J639" t="n">
        <v>0</v>
      </c>
      <c r="K639" t="n">
        <v>0</v>
      </c>
      <c r="L639" t="n">
        <v>0</v>
      </c>
      <c r="M639" t="n">
        <v>0</v>
      </c>
      <c r="N639" t="n">
        <v>0</v>
      </c>
      <c r="O639" t="n">
        <v>0</v>
      </c>
      <c r="P639" t="n">
        <v>0</v>
      </c>
      <c r="Q639" t="n">
        <v>0</v>
      </c>
      <c r="R639" s="2" t="inlineStr"/>
    </row>
    <row r="640" ht="15" customHeight="1">
      <c r="A640" t="inlineStr">
        <is>
          <t>A 64239-2023</t>
        </is>
      </c>
      <c r="B640" s="1" t="n">
        <v>45279</v>
      </c>
      <c r="C640" s="1" t="n">
        <v>45566</v>
      </c>
      <c r="D640" t="inlineStr">
        <is>
          <t>NORRBOTTENS LÄN</t>
        </is>
      </c>
      <c r="E640" t="inlineStr">
        <is>
          <t>GÄLLIVARE</t>
        </is>
      </c>
      <c r="G640" t="n">
        <v>11.1</v>
      </c>
      <c r="H640" t="n">
        <v>0</v>
      </c>
      <c r="I640" t="n">
        <v>0</v>
      </c>
      <c r="J640" t="n">
        <v>0</v>
      </c>
      <c r="K640" t="n">
        <v>0</v>
      </c>
      <c r="L640" t="n">
        <v>0</v>
      </c>
      <c r="M640" t="n">
        <v>0</v>
      </c>
      <c r="N640" t="n">
        <v>0</v>
      </c>
      <c r="O640" t="n">
        <v>0</v>
      </c>
      <c r="P640" t="n">
        <v>0</v>
      </c>
      <c r="Q640" t="n">
        <v>0</v>
      </c>
      <c r="R640" s="2" t="inlineStr"/>
    </row>
    <row r="641" ht="15" customHeight="1">
      <c r="A641" t="inlineStr">
        <is>
          <t>A 64261-2023</t>
        </is>
      </c>
      <c r="B641" s="1" t="n">
        <v>45279</v>
      </c>
      <c r="C641" s="1" t="n">
        <v>45566</v>
      </c>
      <c r="D641" t="inlineStr">
        <is>
          <t>NORRBOTTENS LÄN</t>
        </is>
      </c>
      <c r="E641" t="inlineStr">
        <is>
          <t>GÄLLIVARE</t>
        </is>
      </c>
      <c r="G641" t="n">
        <v>1.1</v>
      </c>
      <c r="H641" t="n">
        <v>0</v>
      </c>
      <c r="I641" t="n">
        <v>0</v>
      </c>
      <c r="J641" t="n">
        <v>0</v>
      </c>
      <c r="K641" t="n">
        <v>0</v>
      </c>
      <c r="L641" t="n">
        <v>0</v>
      </c>
      <c r="M641" t="n">
        <v>0</v>
      </c>
      <c r="N641" t="n">
        <v>0</v>
      </c>
      <c r="O641" t="n">
        <v>0</v>
      </c>
      <c r="P641" t="n">
        <v>0</v>
      </c>
      <c r="Q641" t="n">
        <v>0</v>
      </c>
      <c r="R641" s="2" t="inlineStr"/>
    </row>
    <row r="642" ht="15" customHeight="1">
      <c r="A642" t="inlineStr">
        <is>
          <t>A 64232-2023</t>
        </is>
      </c>
      <c r="B642" s="1" t="n">
        <v>45279</v>
      </c>
      <c r="C642" s="1" t="n">
        <v>45566</v>
      </c>
      <c r="D642" t="inlineStr">
        <is>
          <t>NORRBOTTENS LÄN</t>
        </is>
      </c>
      <c r="E642" t="inlineStr">
        <is>
          <t>GÄLLIVARE</t>
        </is>
      </c>
      <c r="G642" t="n">
        <v>1</v>
      </c>
      <c r="H642" t="n">
        <v>0</v>
      </c>
      <c r="I642" t="n">
        <v>0</v>
      </c>
      <c r="J642" t="n">
        <v>0</v>
      </c>
      <c r="K642" t="n">
        <v>0</v>
      </c>
      <c r="L642" t="n">
        <v>0</v>
      </c>
      <c r="M642" t="n">
        <v>0</v>
      </c>
      <c r="N642" t="n">
        <v>0</v>
      </c>
      <c r="O642" t="n">
        <v>0</v>
      </c>
      <c r="P642" t="n">
        <v>0</v>
      </c>
      <c r="Q642" t="n">
        <v>0</v>
      </c>
      <c r="R642" s="2" t="inlineStr"/>
    </row>
    <row r="643" ht="15" customHeight="1">
      <c r="A643" t="inlineStr">
        <is>
          <t>A 64262-2023</t>
        </is>
      </c>
      <c r="B643" s="1" t="n">
        <v>45279</v>
      </c>
      <c r="C643" s="1" t="n">
        <v>45566</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64260-2023</t>
        </is>
      </c>
      <c r="B644" s="1" t="n">
        <v>45279</v>
      </c>
      <c r="C644" s="1" t="n">
        <v>45566</v>
      </c>
      <c r="D644" t="inlineStr">
        <is>
          <t>NORRBOTTENS LÄN</t>
        </is>
      </c>
      <c r="E644" t="inlineStr">
        <is>
          <t>GÄLLIVARE</t>
        </is>
      </c>
      <c r="G644" t="n">
        <v>1.1</v>
      </c>
      <c r="H644" t="n">
        <v>0</v>
      </c>
      <c r="I644" t="n">
        <v>0</v>
      </c>
      <c r="J644" t="n">
        <v>0</v>
      </c>
      <c r="K644" t="n">
        <v>0</v>
      </c>
      <c r="L644" t="n">
        <v>0</v>
      </c>
      <c r="M644" t="n">
        <v>0</v>
      </c>
      <c r="N644" t="n">
        <v>0</v>
      </c>
      <c r="O644" t="n">
        <v>0</v>
      </c>
      <c r="P644" t="n">
        <v>0</v>
      </c>
      <c r="Q644" t="n">
        <v>0</v>
      </c>
      <c r="R644" s="2" t="inlineStr"/>
    </row>
    <row r="645" ht="15" customHeight="1">
      <c r="A645" t="inlineStr">
        <is>
          <t>A 64360-2023</t>
        </is>
      </c>
      <c r="B645" s="1" t="n">
        <v>45280</v>
      </c>
      <c r="C645" s="1" t="n">
        <v>45566</v>
      </c>
      <c r="D645" t="inlineStr">
        <is>
          <t>NORRBOTTENS LÄN</t>
        </is>
      </c>
      <c r="E645" t="inlineStr">
        <is>
          <t>GÄLLIVARE</t>
        </is>
      </c>
      <c r="G645" t="n">
        <v>2.1</v>
      </c>
      <c r="H645" t="n">
        <v>0</v>
      </c>
      <c r="I645" t="n">
        <v>0</v>
      </c>
      <c r="J645" t="n">
        <v>0</v>
      </c>
      <c r="K645" t="n">
        <v>0</v>
      </c>
      <c r="L645" t="n">
        <v>0</v>
      </c>
      <c r="M645" t="n">
        <v>0</v>
      </c>
      <c r="N645" t="n">
        <v>0</v>
      </c>
      <c r="O645" t="n">
        <v>0</v>
      </c>
      <c r="P645" t="n">
        <v>0</v>
      </c>
      <c r="Q645" t="n">
        <v>0</v>
      </c>
      <c r="R645" s="2" t="inlineStr"/>
    </row>
    <row r="646" ht="15" customHeight="1">
      <c r="A646" t="inlineStr">
        <is>
          <t>A 64372-2023</t>
        </is>
      </c>
      <c r="B646" s="1" t="n">
        <v>45280</v>
      </c>
      <c r="C646" s="1" t="n">
        <v>45566</v>
      </c>
      <c r="D646" t="inlineStr">
        <is>
          <t>NORRBOTTENS LÄN</t>
        </is>
      </c>
      <c r="E646" t="inlineStr">
        <is>
          <t>GÄLLIVARE</t>
        </is>
      </c>
      <c r="G646" t="n">
        <v>3.3</v>
      </c>
      <c r="H646" t="n">
        <v>0</v>
      </c>
      <c r="I646" t="n">
        <v>0</v>
      </c>
      <c r="J646" t="n">
        <v>0</v>
      </c>
      <c r="K646" t="n">
        <v>0</v>
      </c>
      <c r="L646" t="n">
        <v>0</v>
      </c>
      <c r="M646" t="n">
        <v>0</v>
      </c>
      <c r="N646" t="n">
        <v>0</v>
      </c>
      <c r="O646" t="n">
        <v>0</v>
      </c>
      <c r="P646" t="n">
        <v>0</v>
      </c>
      <c r="Q646" t="n">
        <v>0</v>
      </c>
      <c r="R646" s="2" t="inlineStr"/>
    </row>
    <row r="647" ht="15" customHeight="1">
      <c r="A647" t="inlineStr">
        <is>
          <t>A 246-2024</t>
        </is>
      </c>
      <c r="B647" s="1" t="n">
        <v>45294</v>
      </c>
      <c r="C647" s="1" t="n">
        <v>45566</v>
      </c>
      <c r="D647" t="inlineStr">
        <is>
          <t>NORRBOTTENS LÄN</t>
        </is>
      </c>
      <c r="E647" t="inlineStr">
        <is>
          <t>GÄLLIVARE</t>
        </is>
      </c>
      <c r="G647" t="n">
        <v>6.6</v>
      </c>
      <c r="H647" t="n">
        <v>0</v>
      </c>
      <c r="I647" t="n">
        <v>0</v>
      </c>
      <c r="J647" t="n">
        <v>0</v>
      </c>
      <c r="K647" t="n">
        <v>0</v>
      </c>
      <c r="L647" t="n">
        <v>0</v>
      </c>
      <c r="M647" t="n">
        <v>0</v>
      </c>
      <c r="N647" t="n">
        <v>0</v>
      </c>
      <c r="O647" t="n">
        <v>0</v>
      </c>
      <c r="P647" t="n">
        <v>0</v>
      </c>
      <c r="Q647" t="n">
        <v>0</v>
      </c>
      <c r="R647" s="2" t="inlineStr"/>
    </row>
    <row r="648" ht="15" customHeight="1">
      <c r="A648" t="inlineStr">
        <is>
          <t>A 243-2024</t>
        </is>
      </c>
      <c r="B648" s="1" t="n">
        <v>45294</v>
      </c>
      <c r="C648" s="1" t="n">
        <v>45566</v>
      </c>
      <c r="D648" t="inlineStr">
        <is>
          <t>NORRBOTTENS LÄN</t>
        </is>
      </c>
      <c r="E648" t="inlineStr">
        <is>
          <t>GÄLLIVARE</t>
        </is>
      </c>
      <c r="G648" t="n">
        <v>9</v>
      </c>
      <c r="H648" t="n">
        <v>0</v>
      </c>
      <c r="I648" t="n">
        <v>0</v>
      </c>
      <c r="J648" t="n">
        <v>0</v>
      </c>
      <c r="K648" t="n">
        <v>0</v>
      </c>
      <c r="L648" t="n">
        <v>0</v>
      </c>
      <c r="M648" t="n">
        <v>0</v>
      </c>
      <c r="N648" t="n">
        <v>0</v>
      </c>
      <c r="O648" t="n">
        <v>0</v>
      </c>
      <c r="P648" t="n">
        <v>0</v>
      </c>
      <c r="Q648" t="n">
        <v>0</v>
      </c>
      <c r="R648" s="2" t="inlineStr"/>
    </row>
    <row r="649" ht="15" customHeight="1">
      <c r="A649" t="inlineStr">
        <is>
          <t>A 1622-2024</t>
        </is>
      </c>
      <c r="B649" s="1" t="n">
        <v>45306</v>
      </c>
      <c r="C649" s="1" t="n">
        <v>45566</v>
      </c>
      <c r="D649" t="inlineStr">
        <is>
          <t>NORRBOTTENS LÄN</t>
        </is>
      </c>
      <c r="E649" t="inlineStr">
        <is>
          <t>GÄLLIVARE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1621-2024</t>
        </is>
      </c>
      <c r="B650" s="1" t="n">
        <v>45306</v>
      </c>
      <c r="C650" s="1" t="n">
        <v>45566</v>
      </c>
      <c r="D650" t="inlineStr">
        <is>
          <t>NORRBOTTENS LÄN</t>
        </is>
      </c>
      <c r="E650" t="inlineStr">
        <is>
          <t>GÄLLIVARE</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1625-2024</t>
        </is>
      </c>
      <c r="B651" s="1" t="n">
        <v>45306</v>
      </c>
      <c r="C651" s="1" t="n">
        <v>45566</v>
      </c>
      <c r="D651" t="inlineStr">
        <is>
          <t>NORRBOTTENS LÄN</t>
        </is>
      </c>
      <c r="E651" t="inlineStr">
        <is>
          <t>GÄLLIVARE</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2135-2024</t>
        </is>
      </c>
      <c r="B652" s="1" t="n">
        <v>45309</v>
      </c>
      <c r="C652" s="1" t="n">
        <v>45566</v>
      </c>
      <c r="D652" t="inlineStr">
        <is>
          <t>NORRBOTTENS LÄN</t>
        </is>
      </c>
      <c r="E652" t="inlineStr">
        <is>
          <t>GÄLLIVARE</t>
        </is>
      </c>
      <c r="G652" t="n">
        <v>2.7</v>
      </c>
      <c r="H652" t="n">
        <v>0</v>
      </c>
      <c r="I652" t="n">
        <v>0</v>
      </c>
      <c r="J652" t="n">
        <v>0</v>
      </c>
      <c r="K652" t="n">
        <v>0</v>
      </c>
      <c r="L652" t="n">
        <v>0</v>
      </c>
      <c r="M652" t="n">
        <v>0</v>
      </c>
      <c r="N652" t="n">
        <v>0</v>
      </c>
      <c r="O652" t="n">
        <v>0</v>
      </c>
      <c r="P652" t="n">
        <v>0</v>
      </c>
      <c r="Q652" t="n">
        <v>0</v>
      </c>
      <c r="R652" s="2" t="inlineStr"/>
    </row>
    <row r="653" ht="15" customHeight="1">
      <c r="A653" t="inlineStr">
        <is>
          <t>A 3025-2024</t>
        </is>
      </c>
      <c r="B653" s="1" t="n">
        <v>45316</v>
      </c>
      <c r="C653" s="1" t="n">
        <v>45566</v>
      </c>
      <c r="D653" t="inlineStr">
        <is>
          <t>NORRBOTTENS LÄN</t>
        </is>
      </c>
      <c r="E653" t="inlineStr">
        <is>
          <t>GÄLLIVARE</t>
        </is>
      </c>
      <c r="F653" t="inlineStr">
        <is>
          <t>Sveaskog</t>
        </is>
      </c>
      <c r="G653" t="n">
        <v>16.9</v>
      </c>
      <c r="H653" t="n">
        <v>0</v>
      </c>
      <c r="I653" t="n">
        <v>0</v>
      </c>
      <c r="J653" t="n">
        <v>0</v>
      </c>
      <c r="K653" t="n">
        <v>0</v>
      </c>
      <c r="L653" t="n">
        <v>0</v>
      </c>
      <c r="M653" t="n">
        <v>0</v>
      </c>
      <c r="N653" t="n">
        <v>0</v>
      </c>
      <c r="O653" t="n">
        <v>0</v>
      </c>
      <c r="P653" t="n">
        <v>0</v>
      </c>
      <c r="Q653" t="n">
        <v>0</v>
      </c>
      <c r="R653" s="2" t="inlineStr"/>
    </row>
    <row r="654" ht="15" customHeight="1">
      <c r="A654" t="inlineStr">
        <is>
          <t>A 3096-2024</t>
        </is>
      </c>
      <c r="B654" s="1" t="n">
        <v>45316</v>
      </c>
      <c r="C654" s="1" t="n">
        <v>45566</v>
      </c>
      <c r="D654" t="inlineStr">
        <is>
          <t>NORRBOTTENS LÄN</t>
        </is>
      </c>
      <c r="E654" t="inlineStr">
        <is>
          <t>GÄLLIVARE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3542-2024</t>
        </is>
      </c>
      <c r="B655" s="1" t="n">
        <v>45320</v>
      </c>
      <c r="C655" s="1" t="n">
        <v>45566</v>
      </c>
      <c r="D655" t="inlineStr">
        <is>
          <t>NORRBOTTENS LÄN</t>
        </is>
      </c>
      <c r="E655" t="inlineStr">
        <is>
          <t>GÄLLIVARE</t>
        </is>
      </c>
      <c r="G655" t="n">
        <v>5.7</v>
      </c>
      <c r="H655" t="n">
        <v>0</v>
      </c>
      <c r="I655" t="n">
        <v>0</v>
      </c>
      <c r="J655" t="n">
        <v>0</v>
      </c>
      <c r="K655" t="n">
        <v>0</v>
      </c>
      <c r="L655" t="n">
        <v>0</v>
      </c>
      <c r="M655" t="n">
        <v>0</v>
      </c>
      <c r="N655" t="n">
        <v>0</v>
      </c>
      <c r="O655" t="n">
        <v>0</v>
      </c>
      <c r="P655" t="n">
        <v>0</v>
      </c>
      <c r="Q655" t="n">
        <v>0</v>
      </c>
      <c r="R655" s="2" t="inlineStr"/>
    </row>
    <row r="656" ht="15" customHeight="1">
      <c r="A656" t="inlineStr">
        <is>
          <t>A 3574-2024</t>
        </is>
      </c>
      <c r="B656" s="1" t="n">
        <v>45320</v>
      </c>
      <c r="C656" s="1" t="n">
        <v>45566</v>
      </c>
      <c r="D656" t="inlineStr">
        <is>
          <t>NORRBOTTENS LÄN</t>
        </is>
      </c>
      <c r="E656" t="inlineStr">
        <is>
          <t>GÄLLIVARE</t>
        </is>
      </c>
      <c r="G656" t="n">
        <v>1.5</v>
      </c>
      <c r="H656" t="n">
        <v>0</v>
      </c>
      <c r="I656" t="n">
        <v>0</v>
      </c>
      <c r="J656" t="n">
        <v>0</v>
      </c>
      <c r="K656" t="n">
        <v>0</v>
      </c>
      <c r="L656" t="n">
        <v>0</v>
      </c>
      <c r="M656" t="n">
        <v>0</v>
      </c>
      <c r="N656" t="n">
        <v>0</v>
      </c>
      <c r="O656" t="n">
        <v>0</v>
      </c>
      <c r="P656" t="n">
        <v>0</v>
      </c>
      <c r="Q656" t="n">
        <v>0</v>
      </c>
      <c r="R656" s="2" t="inlineStr"/>
    </row>
    <row r="657" ht="15" customHeight="1">
      <c r="A657" t="inlineStr">
        <is>
          <t>A 4091-2024</t>
        </is>
      </c>
      <c r="B657" s="1" t="n">
        <v>45323</v>
      </c>
      <c r="C657" s="1" t="n">
        <v>45566</v>
      </c>
      <c r="D657" t="inlineStr">
        <is>
          <t>NORRBOTTENS LÄN</t>
        </is>
      </c>
      <c r="E657" t="inlineStr">
        <is>
          <t>GÄLLIVARE</t>
        </is>
      </c>
      <c r="F657" t="inlineStr">
        <is>
          <t>Sveaskog</t>
        </is>
      </c>
      <c r="G657" t="n">
        <v>10.4</v>
      </c>
      <c r="H657" t="n">
        <v>0</v>
      </c>
      <c r="I657" t="n">
        <v>0</v>
      </c>
      <c r="J657" t="n">
        <v>0</v>
      </c>
      <c r="K657" t="n">
        <v>0</v>
      </c>
      <c r="L657" t="n">
        <v>0</v>
      </c>
      <c r="M657" t="n">
        <v>0</v>
      </c>
      <c r="N657" t="n">
        <v>0</v>
      </c>
      <c r="O657" t="n">
        <v>0</v>
      </c>
      <c r="P657" t="n">
        <v>0</v>
      </c>
      <c r="Q657" t="n">
        <v>0</v>
      </c>
      <c r="R657" s="2" t="inlineStr"/>
    </row>
    <row r="658" ht="15" customHeight="1">
      <c r="A658" t="inlineStr">
        <is>
          <t>A 4109-2024</t>
        </is>
      </c>
      <c r="B658" s="1" t="n">
        <v>45323</v>
      </c>
      <c r="C658" s="1" t="n">
        <v>45566</v>
      </c>
      <c r="D658" t="inlineStr">
        <is>
          <t>NORRBOTTENS LÄN</t>
        </is>
      </c>
      <c r="E658" t="inlineStr">
        <is>
          <t>GÄLLIVARE</t>
        </is>
      </c>
      <c r="F658" t="inlineStr">
        <is>
          <t>Sveaskog</t>
        </is>
      </c>
      <c r="G658" t="n">
        <v>32.7</v>
      </c>
      <c r="H658" t="n">
        <v>0</v>
      </c>
      <c r="I658" t="n">
        <v>0</v>
      </c>
      <c r="J658" t="n">
        <v>0</v>
      </c>
      <c r="K658" t="n">
        <v>0</v>
      </c>
      <c r="L658" t="n">
        <v>0</v>
      </c>
      <c r="M658" t="n">
        <v>0</v>
      </c>
      <c r="N658" t="n">
        <v>0</v>
      </c>
      <c r="O658" t="n">
        <v>0</v>
      </c>
      <c r="P658" t="n">
        <v>0</v>
      </c>
      <c r="Q658" t="n">
        <v>0</v>
      </c>
      <c r="R658" s="2" t="inlineStr"/>
    </row>
    <row r="659" ht="15" customHeight="1">
      <c r="A659" t="inlineStr">
        <is>
          <t>A 4726-2024</t>
        </is>
      </c>
      <c r="B659" s="1" t="n">
        <v>45328</v>
      </c>
      <c r="C659" s="1" t="n">
        <v>45566</v>
      </c>
      <c r="D659" t="inlineStr">
        <is>
          <t>NORRBOTTENS LÄN</t>
        </is>
      </c>
      <c r="E659" t="inlineStr">
        <is>
          <t>GÄLLIVARE</t>
        </is>
      </c>
      <c r="F659" t="inlineStr">
        <is>
          <t>Sveaskog</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4720-2024</t>
        </is>
      </c>
      <c r="B660" s="1" t="n">
        <v>45328</v>
      </c>
      <c r="C660" s="1" t="n">
        <v>45566</v>
      </c>
      <c r="D660" t="inlineStr">
        <is>
          <t>NORRBOTTENS LÄN</t>
        </is>
      </c>
      <c r="E660" t="inlineStr">
        <is>
          <t>GÄLLIVARE</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5624-2024</t>
        </is>
      </c>
      <c r="B661" s="1" t="n">
        <v>45334</v>
      </c>
      <c r="C661" s="1" t="n">
        <v>45566</v>
      </c>
      <c r="D661" t="inlineStr">
        <is>
          <t>NORRBOTTENS LÄN</t>
        </is>
      </c>
      <c r="E661" t="inlineStr">
        <is>
          <t>GÄLLIVARE</t>
        </is>
      </c>
      <c r="G661" t="n">
        <v>13.8</v>
      </c>
      <c r="H661" t="n">
        <v>0</v>
      </c>
      <c r="I661" t="n">
        <v>0</v>
      </c>
      <c r="J661" t="n">
        <v>0</v>
      </c>
      <c r="K661" t="n">
        <v>0</v>
      </c>
      <c r="L661" t="n">
        <v>0</v>
      </c>
      <c r="M661" t="n">
        <v>0</v>
      </c>
      <c r="N661" t="n">
        <v>0</v>
      </c>
      <c r="O661" t="n">
        <v>0</v>
      </c>
      <c r="P661" t="n">
        <v>0</v>
      </c>
      <c r="Q661" t="n">
        <v>0</v>
      </c>
      <c r="R661" s="2" t="inlineStr"/>
    </row>
    <row r="662" ht="15" customHeight="1">
      <c r="A662" t="inlineStr">
        <is>
          <t>A 5632-2024</t>
        </is>
      </c>
      <c r="B662" s="1" t="n">
        <v>45334</v>
      </c>
      <c r="C662" s="1" t="n">
        <v>45566</v>
      </c>
      <c r="D662" t="inlineStr">
        <is>
          <t>NORRBOTTENS LÄN</t>
        </is>
      </c>
      <c r="E662" t="inlineStr">
        <is>
          <t>GÄLLIVARE</t>
        </is>
      </c>
      <c r="G662" t="n">
        <v>7.3</v>
      </c>
      <c r="H662" t="n">
        <v>0</v>
      </c>
      <c r="I662" t="n">
        <v>0</v>
      </c>
      <c r="J662" t="n">
        <v>0</v>
      </c>
      <c r="K662" t="n">
        <v>0</v>
      </c>
      <c r="L662" t="n">
        <v>0</v>
      </c>
      <c r="M662" t="n">
        <v>0</v>
      </c>
      <c r="N662" t="n">
        <v>0</v>
      </c>
      <c r="O662" t="n">
        <v>0</v>
      </c>
      <c r="P662" t="n">
        <v>0</v>
      </c>
      <c r="Q662" t="n">
        <v>0</v>
      </c>
      <c r="R662" s="2" t="inlineStr"/>
    </row>
    <row r="663" ht="15" customHeight="1">
      <c r="A663" t="inlineStr">
        <is>
          <t>A 6268-2024</t>
        </is>
      </c>
      <c r="B663" s="1" t="n">
        <v>45337</v>
      </c>
      <c r="C663" s="1" t="n">
        <v>45566</v>
      </c>
      <c r="D663" t="inlineStr">
        <is>
          <t>NORRBOTTENS LÄN</t>
        </is>
      </c>
      <c r="E663" t="inlineStr">
        <is>
          <t>GÄLLIVARE</t>
        </is>
      </c>
      <c r="G663" t="n">
        <v>10.1</v>
      </c>
      <c r="H663" t="n">
        <v>0</v>
      </c>
      <c r="I663" t="n">
        <v>0</v>
      </c>
      <c r="J663" t="n">
        <v>0</v>
      </c>
      <c r="K663" t="n">
        <v>0</v>
      </c>
      <c r="L663" t="n">
        <v>0</v>
      </c>
      <c r="M663" t="n">
        <v>0</v>
      </c>
      <c r="N663" t="n">
        <v>0</v>
      </c>
      <c r="O663" t="n">
        <v>0</v>
      </c>
      <c r="P663" t="n">
        <v>0</v>
      </c>
      <c r="Q663" t="n">
        <v>0</v>
      </c>
      <c r="R663" s="2" t="inlineStr"/>
    </row>
    <row r="664" ht="15" customHeight="1">
      <c r="A664" t="inlineStr">
        <is>
          <t>A 6272-2024</t>
        </is>
      </c>
      <c r="B664" s="1" t="n">
        <v>45337</v>
      </c>
      <c r="C664" s="1" t="n">
        <v>45566</v>
      </c>
      <c r="D664" t="inlineStr">
        <is>
          <t>NORRBOTTENS LÄN</t>
        </is>
      </c>
      <c r="E664" t="inlineStr">
        <is>
          <t>GÄLLIVARE</t>
        </is>
      </c>
      <c r="G664" t="n">
        <v>5.3</v>
      </c>
      <c r="H664" t="n">
        <v>0</v>
      </c>
      <c r="I664" t="n">
        <v>0</v>
      </c>
      <c r="J664" t="n">
        <v>0</v>
      </c>
      <c r="K664" t="n">
        <v>0</v>
      </c>
      <c r="L664" t="n">
        <v>0</v>
      </c>
      <c r="M664" t="n">
        <v>0</v>
      </c>
      <c r="N664" t="n">
        <v>0</v>
      </c>
      <c r="O664" t="n">
        <v>0</v>
      </c>
      <c r="P664" t="n">
        <v>0</v>
      </c>
      <c r="Q664" t="n">
        <v>0</v>
      </c>
      <c r="R664" s="2" t="inlineStr"/>
    </row>
    <row r="665" ht="15" customHeight="1">
      <c r="A665" t="inlineStr">
        <is>
          <t>A 6271-2024</t>
        </is>
      </c>
      <c r="B665" s="1" t="n">
        <v>45337</v>
      </c>
      <c r="C665" s="1" t="n">
        <v>45566</v>
      </c>
      <c r="D665" t="inlineStr">
        <is>
          <t>NORRBOTTENS LÄN</t>
        </is>
      </c>
      <c r="E665" t="inlineStr">
        <is>
          <t>GÄLLIVARE</t>
        </is>
      </c>
      <c r="G665" t="n">
        <v>14.7</v>
      </c>
      <c r="H665" t="n">
        <v>0</v>
      </c>
      <c r="I665" t="n">
        <v>0</v>
      </c>
      <c r="J665" t="n">
        <v>0</v>
      </c>
      <c r="K665" t="n">
        <v>0</v>
      </c>
      <c r="L665" t="n">
        <v>0</v>
      </c>
      <c r="M665" t="n">
        <v>0</v>
      </c>
      <c r="N665" t="n">
        <v>0</v>
      </c>
      <c r="O665" t="n">
        <v>0</v>
      </c>
      <c r="P665" t="n">
        <v>0</v>
      </c>
      <c r="Q665" t="n">
        <v>0</v>
      </c>
      <c r="R665" s="2" t="inlineStr"/>
    </row>
    <row r="666" ht="15" customHeight="1">
      <c r="A666" t="inlineStr">
        <is>
          <t>A 6621-2024</t>
        </is>
      </c>
      <c r="B666" s="1" t="n">
        <v>45341</v>
      </c>
      <c r="C666" s="1" t="n">
        <v>45566</v>
      </c>
      <c r="D666" t="inlineStr">
        <is>
          <t>NORRBOTTENS LÄN</t>
        </is>
      </c>
      <c r="E666" t="inlineStr">
        <is>
          <t>GÄLLIVARE</t>
        </is>
      </c>
      <c r="G666" t="n">
        <v>0.5</v>
      </c>
      <c r="H666" t="n">
        <v>0</v>
      </c>
      <c r="I666" t="n">
        <v>0</v>
      </c>
      <c r="J666" t="n">
        <v>0</v>
      </c>
      <c r="K666" t="n">
        <v>0</v>
      </c>
      <c r="L666" t="n">
        <v>0</v>
      </c>
      <c r="M666" t="n">
        <v>0</v>
      </c>
      <c r="N666" t="n">
        <v>0</v>
      </c>
      <c r="O666" t="n">
        <v>0</v>
      </c>
      <c r="P666" t="n">
        <v>0</v>
      </c>
      <c r="Q666" t="n">
        <v>0</v>
      </c>
      <c r="R666" s="2" t="inlineStr"/>
    </row>
    <row r="667" ht="15" customHeight="1">
      <c r="A667" t="inlineStr">
        <is>
          <t>A 7197-2024</t>
        </is>
      </c>
      <c r="B667" s="1" t="n">
        <v>45344</v>
      </c>
      <c r="C667" s="1" t="n">
        <v>45566</v>
      </c>
      <c r="D667" t="inlineStr">
        <is>
          <t>NORRBOTTENS LÄN</t>
        </is>
      </c>
      <c r="E667" t="inlineStr">
        <is>
          <t>GÄLLIVARE</t>
        </is>
      </c>
      <c r="G667" t="n">
        <v>4.2</v>
      </c>
      <c r="H667" t="n">
        <v>0</v>
      </c>
      <c r="I667" t="n">
        <v>0</v>
      </c>
      <c r="J667" t="n">
        <v>0</v>
      </c>
      <c r="K667" t="n">
        <v>0</v>
      </c>
      <c r="L667" t="n">
        <v>0</v>
      </c>
      <c r="M667" t="n">
        <v>0</v>
      </c>
      <c r="N667" t="n">
        <v>0</v>
      </c>
      <c r="O667" t="n">
        <v>0</v>
      </c>
      <c r="P667" t="n">
        <v>0</v>
      </c>
      <c r="Q667" t="n">
        <v>0</v>
      </c>
      <c r="R667" s="2" t="inlineStr"/>
    </row>
    <row r="668" ht="15" customHeight="1">
      <c r="A668" t="inlineStr">
        <is>
          <t>A 7242-2024</t>
        </is>
      </c>
      <c r="B668" s="1" t="n">
        <v>45344</v>
      </c>
      <c r="C668" s="1" t="n">
        <v>45566</v>
      </c>
      <c r="D668" t="inlineStr">
        <is>
          <t>NORRBOTTENS LÄN</t>
        </is>
      </c>
      <c r="E668" t="inlineStr">
        <is>
          <t>GÄLLIVARE</t>
        </is>
      </c>
      <c r="G668" t="n">
        <v>11.7</v>
      </c>
      <c r="H668" t="n">
        <v>0</v>
      </c>
      <c r="I668" t="n">
        <v>0</v>
      </c>
      <c r="J668" t="n">
        <v>0</v>
      </c>
      <c r="K668" t="n">
        <v>0</v>
      </c>
      <c r="L668" t="n">
        <v>0</v>
      </c>
      <c r="M668" t="n">
        <v>0</v>
      </c>
      <c r="N668" t="n">
        <v>0</v>
      </c>
      <c r="O668" t="n">
        <v>0</v>
      </c>
      <c r="P668" t="n">
        <v>0</v>
      </c>
      <c r="Q668" t="n">
        <v>0</v>
      </c>
      <c r="R668" s="2" t="inlineStr"/>
    </row>
    <row r="669" ht="15" customHeight="1">
      <c r="A669" t="inlineStr">
        <is>
          <t>A 8352-2024</t>
        </is>
      </c>
      <c r="B669" s="1" t="n">
        <v>45351</v>
      </c>
      <c r="C669" s="1" t="n">
        <v>45566</v>
      </c>
      <c r="D669" t="inlineStr">
        <is>
          <t>NORRBOTTENS LÄN</t>
        </is>
      </c>
      <c r="E669" t="inlineStr">
        <is>
          <t>GÄLLIVARE</t>
        </is>
      </c>
      <c r="G669" t="n">
        <v>5.6</v>
      </c>
      <c r="H669" t="n">
        <v>0</v>
      </c>
      <c r="I669" t="n">
        <v>0</v>
      </c>
      <c r="J669" t="n">
        <v>0</v>
      </c>
      <c r="K669" t="n">
        <v>0</v>
      </c>
      <c r="L669" t="n">
        <v>0</v>
      </c>
      <c r="M669" t="n">
        <v>0</v>
      </c>
      <c r="N669" t="n">
        <v>0</v>
      </c>
      <c r="O669" t="n">
        <v>0</v>
      </c>
      <c r="P669" t="n">
        <v>0</v>
      </c>
      <c r="Q669" t="n">
        <v>0</v>
      </c>
      <c r="R669" s="2" t="inlineStr"/>
    </row>
    <row r="670" ht="15" customHeight="1">
      <c r="A670" t="inlineStr">
        <is>
          <t>A 8359-2024</t>
        </is>
      </c>
      <c r="B670" s="1" t="n">
        <v>45351</v>
      </c>
      <c r="C670" s="1" t="n">
        <v>45566</v>
      </c>
      <c r="D670" t="inlineStr">
        <is>
          <t>NORRBOTTENS LÄN</t>
        </is>
      </c>
      <c r="E670" t="inlineStr">
        <is>
          <t>GÄLLIVARE</t>
        </is>
      </c>
      <c r="G670" t="n">
        <v>7.8</v>
      </c>
      <c r="H670" t="n">
        <v>0</v>
      </c>
      <c r="I670" t="n">
        <v>0</v>
      </c>
      <c r="J670" t="n">
        <v>0</v>
      </c>
      <c r="K670" t="n">
        <v>0</v>
      </c>
      <c r="L670" t="n">
        <v>0</v>
      </c>
      <c r="M670" t="n">
        <v>0</v>
      </c>
      <c r="N670" t="n">
        <v>0</v>
      </c>
      <c r="O670" t="n">
        <v>0</v>
      </c>
      <c r="P670" t="n">
        <v>0</v>
      </c>
      <c r="Q670" t="n">
        <v>0</v>
      </c>
      <c r="R670" s="2" t="inlineStr"/>
    </row>
    <row r="671" ht="15" customHeight="1">
      <c r="A671" t="inlineStr">
        <is>
          <t>A 8348-2024</t>
        </is>
      </c>
      <c r="B671" s="1" t="n">
        <v>45351</v>
      </c>
      <c r="C671" s="1" t="n">
        <v>45566</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8937-2024</t>
        </is>
      </c>
      <c r="B672" s="1" t="n">
        <v>45357</v>
      </c>
      <c r="C672" s="1" t="n">
        <v>45566</v>
      </c>
      <c r="D672" t="inlineStr">
        <is>
          <t>NORRBOTTENS LÄN</t>
        </is>
      </c>
      <c r="E672" t="inlineStr">
        <is>
          <t>GÄLLIVARE</t>
        </is>
      </c>
      <c r="G672" t="n">
        <v>1.9</v>
      </c>
      <c r="H672" t="n">
        <v>0</v>
      </c>
      <c r="I672" t="n">
        <v>0</v>
      </c>
      <c r="J672" t="n">
        <v>0</v>
      </c>
      <c r="K672" t="n">
        <v>0</v>
      </c>
      <c r="L672" t="n">
        <v>0</v>
      </c>
      <c r="M672" t="n">
        <v>0</v>
      </c>
      <c r="N672" t="n">
        <v>0</v>
      </c>
      <c r="O672" t="n">
        <v>0</v>
      </c>
      <c r="P672" t="n">
        <v>0</v>
      </c>
      <c r="Q672" t="n">
        <v>0</v>
      </c>
      <c r="R672" s="2" t="inlineStr"/>
    </row>
    <row r="673" ht="15" customHeight="1">
      <c r="A673" t="inlineStr">
        <is>
          <t>A 9650-2024</t>
        </is>
      </c>
      <c r="B673" s="1" t="n">
        <v>45362</v>
      </c>
      <c r="C673" s="1" t="n">
        <v>45566</v>
      </c>
      <c r="D673" t="inlineStr">
        <is>
          <t>NORRBOTTENS LÄN</t>
        </is>
      </c>
      <c r="E673" t="inlineStr">
        <is>
          <t>GÄLLIVARE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9655-2024</t>
        </is>
      </c>
      <c r="B674" s="1" t="n">
        <v>45362</v>
      </c>
      <c r="C674" s="1" t="n">
        <v>45566</v>
      </c>
      <c r="D674" t="inlineStr">
        <is>
          <t>NORRBOTTENS LÄN</t>
        </is>
      </c>
      <c r="E674" t="inlineStr">
        <is>
          <t>GÄLLIVARE</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10219-2024</t>
        </is>
      </c>
      <c r="B675" s="1" t="n">
        <v>45364</v>
      </c>
      <c r="C675" s="1" t="n">
        <v>45566</v>
      </c>
      <c r="D675" t="inlineStr">
        <is>
          <t>NORRBOTTENS LÄN</t>
        </is>
      </c>
      <c r="E675" t="inlineStr">
        <is>
          <t>GÄLLIVARE</t>
        </is>
      </c>
      <c r="F675" t="inlineStr">
        <is>
          <t>SCA</t>
        </is>
      </c>
      <c r="G675" t="n">
        <v>16.5</v>
      </c>
      <c r="H675" t="n">
        <v>0</v>
      </c>
      <c r="I675" t="n">
        <v>0</v>
      </c>
      <c r="J675" t="n">
        <v>0</v>
      </c>
      <c r="K675" t="n">
        <v>0</v>
      </c>
      <c r="L675" t="n">
        <v>0</v>
      </c>
      <c r="M675" t="n">
        <v>0</v>
      </c>
      <c r="N675" t="n">
        <v>0</v>
      </c>
      <c r="O675" t="n">
        <v>0</v>
      </c>
      <c r="P675" t="n">
        <v>0</v>
      </c>
      <c r="Q675" t="n">
        <v>0</v>
      </c>
      <c r="R675" s="2" t="inlineStr"/>
    </row>
    <row r="676" ht="15" customHeight="1">
      <c r="A676" t="inlineStr">
        <is>
          <t>A 11335-2024</t>
        </is>
      </c>
      <c r="B676" s="1" t="n">
        <v>45372</v>
      </c>
      <c r="C676" s="1" t="n">
        <v>45566</v>
      </c>
      <c r="D676" t="inlineStr">
        <is>
          <t>NORRBOTTENS LÄN</t>
        </is>
      </c>
      <c r="E676" t="inlineStr">
        <is>
          <t>GÄLLIVARE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12202-2024</t>
        </is>
      </c>
      <c r="B677" s="1" t="n">
        <v>45377</v>
      </c>
      <c r="C677" s="1" t="n">
        <v>45566</v>
      </c>
      <c r="D677" t="inlineStr">
        <is>
          <t>NORRBOTTENS LÄN</t>
        </is>
      </c>
      <c r="E677" t="inlineStr">
        <is>
          <t>GÄLLIVARE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12222-2024</t>
        </is>
      </c>
      <c r="B678" s="1" t="n">
        <v>45378</v>
      </c>
      <c r="C678" s="1" t="n">
        <v>45566</v>
      </c>
      <c r="D678" t="inlineStr">
        <is>
          <t>NORRBOTTENS LÄN</t>
        </is>
      </c>
      <c r="E678" t="inlineStr">
        <is>
          <t>GÄLLIVARE</t>
        </is>
      </c>
      <c r="F678" t="inlineStr">
        <is>
          <t>Sveaskog</t>
        </is>
      </c>
      <c r="G678" t="n">
        <v>40.8</v>
      </c>
      <c r="H678" t="n">
        <v>0</v>
      </c>
      <c r="I678" t="n">
        <v>0</v>
      </c>
      <c r="J678" t="n">
        <v>0</v>
      </c>
      <c r="K678" t="n">
        <v>0</v>
      </c>
      <c r="L678" t="n">
        <v>0</v>
      </c>
      <c r="M678" t="n">
        <v>0</v>
      </c>
      <c r="N678" t="n">
        <v>0</v>
      </c>
      <c r="O678" t="n">
        <v>0</v>
      </c>
      <c r="P678" t="n">
        <v>0</v>
      </c>
      <c r="Q678" t="n">
        <v>0</v>
      </c>
      <c r="R678" s="2" t="inlineStr"/>
    </row>
    <row r="679" ht="15" customHeight="1">
      <c r="A679" t="inlineStr">
        <is>
          <t>A 12510-2024</t>
        </is>
      </c>
      <c r="B679" s="1" t="n">
        <v>45379</v>
      </c>
      <c r="C679" s="1" t="n">
        <v>45566</v>
      </c>
      <c r="D679" t="inlineStr">
        <is>
          <t>NORRBOTTENS LÄN</t>
        </is>
      </c>
      <c r="E679" t="inlineStr">
        <is>
          <t>GÄLLIVARE</t>
        </is>
      </c>
      <c r="F679" t="inlineStr">
        <is>
          <t>Sveaskog</t>
        </is>
      </c>
      <c r="G679" t="n">
        <v>15.4</v>
      </c>
      <c r="H679" t="n">
        <v>0</v>
      </c>
      <c r="I679" t="n">
        <v>0</v>
      </c>
      <c r="J679" t="n">
        <v>0</v>
      </c>
      <c r="K679" t="n">
        <v>0</v>
      </c>
      <c r="L679" t="n">
        <v>0</v>
      </c>
      <c r="M679" t="n">
        <v>0</v>
      </c>
      <c r="N679" t="n">
        <v>0</v>
      </c>
      <c r="O679" t="n">
        <v>0</v>
      </c>
      <c r="P679" t="n">
        <v>0</v>
      </c>
      <c r="Q679" t="n">
        <v>0</v>
      </c>
      <c r="R679" s="2" t="inlineStr"/>
    </row>
    <row r="680" ht="15" customHeight="1">
      <c r="A680" t="inlineStr">
        <is>
          <t>A 12517-2024</t>
        </is>
      </c>
      <c r="B680" s="1" t="n">
        <v>45379</v>
      </c>
      <c r="C680" s="1" t="n">
        <v>45566</v>
      </c>
      <c r="D680" t="inlineStr">
        <is>
          <t>NORRBOTTENS LÄN</t>
        </is>
      </c>
      <c r="E680" t="inlineStr">
        <is>
          <t>GÄLLIVARE</t>
        </is>
      </c>
      <c r="F680" t="inlineStr">
        <is>
          <t>Sveaskog</t>
        </is>
      </c>
      <c r="G680" t="n">
        <v>12.5</v>
      </c>
      <c r="H680" t="n">
        <v>0</v>
      </c>
      <c r="I680" t="n">
        <v>0</v>
      </c>
      <c r="J680" t="n">
        <v>0</v>
      </c>
      <c r="K680" t="n">
        <v>0</v>
      </c>
      <c r="L680" t="n">
        <v>0</v>
      </c>
      <c r="M680" t="n">
        <v>0</v>
      </c>
      <c r="N680" t="n">
        <v>0</v>
      </c>
      <c r="O680" t="n">
        <v>0</v>
      </c>
      <c r="P680" t="n">
        <v>0</v>
      </c>
      <c r="Q680" t="n">
        <v>0</v>
      </c>
      <c r="R680" s="2" t="inlineStr"/>
    </row>
    <row r="681" ht="15" customHeight="1">
      <c r="A681" t="inlineStr">
        <is>
          <t>A 12516-2024</t>
        </is>
      </c>
      <c r="B681" s="1" t="n">
        <v>45379</v>
      </c>
      <c r="C681" s="1" t="n">
        <v>45566</v>
      </c>
      <c r="D681" t="inlineStr">
        <is>
          <t>NORRBOTTENS LÄN</t>
        </is>
      </c>
      <c r="E681" t="inlineStr">
        <is>
          <t>GÄLLIVARE</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14999-2024</t>
        </is>
      </c>
      <c r="B682" s="1" t="n">
        <v>45399</v>
      </c>
      <c r="C682" s="1" t="n">
        <v>45566</v>
      </c>
      <c r="D682" t="inlineStr">
        <is>
          <t>NORRBOTTENS LÄN</t>
        </is>
      </c>
      <c r="E682" t="inlineStr">
        <is>
          <t>GÄLLIVARE</t>
        </is>
      </c>
      <c r="G682" t="n">
        <v>12.5</v>
      </c>
      <c r="H682" t="n">
        <v>0</v>
      </c>
      <c r="I682" t="n">
        <v>0</v>
      </c>
      <c r="J682" t="n">
        <v>0</v>
      </c>
      <c r="K682" t="n">
        <v>0</v>
      </c>
      <c r="L682" t="n">
        <v>0</v>
      </c>
      <c r="M682" t="n">
        <v>0</v>
      </c>
      <c r="N682" t="n">
        <v>0</v>
      </c>
      <c r="O682" t="n">
        <v>0</v>
      </c>
      <c r="P682" t="n">
        <v>0</v>
      </c>
      <c r="Q682" t="n">
        <v>0</v>
      </c>
      <c r="R682" s="2" t="inlineStr"/>
    </row>
    <row r="683" ht="15" customHeight="1">
      <c r="A683" t="inlineStr">
        <is>
          <t>A 15373-2024</t>
        </is>
      </c>
      <c r="B683" s="1" t="n">
        <v>45400</v>
      </c>
      <c r="C683" s="1" t="n">
        <v>45566</v>
      </c>
      <c r="D683" t="inlineStr">
        <is>
          <t>NORRBOTTENS LÄN</t>
        </is>
      </c>
      <c r="E683" t="inlineStr">
        <is>
          <t>GÄLLIVARE</t>
        </is>
      </c>
      <c r="G683" t="n">
        <v>4.1</v>
      </c>
      <c r="H683" t="n">
        <v>0</v>
      </c>
      <c r="I683" t="n">
        <v>0</v>
      </c>
      <c r="J683" t="n">
        <v>0</v>
      </c>
      <c r="K683" t="n">
        <v>0</v>
      </c>
      <c r="L683" t="n">
        <v>0</v>
      </c>
      <c r="M683" t="n">
        <v>0</v>
      </c>
      <c r="N683" t="n">
        <v>0</v>
      </c>
      <c r="O683" t="n">
        <v>0</v>
      </c>
      <c r="P683" t="n">
        <v>0</v>
      </c>
      <c r="Q683" t="n">
        <v>0</v>
      </c>
      <c r="R683" s="2" t="inlineStr"/>
    </row>
    <row r="684" ht="15" customHeight="1">
      <c r="A684" t="inlineStr">
        <is>
          <t>A 16127-2024</t>
        </is>
      </c>
      <c r="B684" s="1" t="n">
        <v>45406</v>
      </c>
      <c r="C684" s="1" t="n">
        <v>45566</v>
      </c>
      <c r="D684" t="inlineStr">
        <is>
          <t>NORRBOTTENS LÄN</t>
        </is>
      </c>
      <c r="E684" t="inlineStr">
        <is>
          <t>GÄLLIVARE</t>
        </is>
      </c>
      <c r="G684" t="n">
        <v>4.6</v>
      </c>
      <c r="H684" t="n">
        <v>0</v>
      </c>
      <c r="I684" t="n">
        <v>0</v>
      </c>
      <c r="J684" t="n">
        <v>0</v>
      </c>
      <c r="K684" t="n">
        <v>0</v>
      </c>
      <c r="L684" t="n">
        <v>0</v>
      </c>
      <c r="M684" t="n">
        <v>0</v>
      </c>
      <c r="N684" t="n">
        <v>0</v>
      </c>
      <c r="O684" t="n">
        <v>0</v>
      </c>
      <c r="P684" t="n">
        <v>0</v>
      </c>
      <c r="Q684" t="n">
        <v>0</v>
      </c>
      <c r="R684" s="2" t="inlineStr"/>
    </row>
    <row r="685" ht="15" customHeight="1">
      <c r="A685" t="inlineStr">
        <is>
          <t>A 16461-2024</t>
        </is>
      </c>
      <c r="B685" s="1" t="n">
        <v>45408</v>
      </c>
      <c r="C685" s="1" t="n">
        <v>45566</v>
      </c>
      <c r="D685" t="inlineStr">
        <is>
          <t>NORRBOTTENS LÄN</t>
        </is>
      </c>
      <c r="E685" t="inlineStr">
        <is>
          <t>GÄLLIVARE</t>
        </is>
      </c>
      <c r="F685" t="inlineStr">
        <is>
          <t>SCA</t>
        </is>
      </c>
      <c r="G685" t="n">
        <v>4.5</v>
      </c>
      <c r="H685" t="n">
        <v>0</v>
      </c>
      <c r="I685" t="n">
        <v>0</v>
      </c>
      <c r="J685" t="n">
        <v>0</v>
      </c>
      <c r="K685" t="n">
        <v>0</v>
      </c>
      <c r="L685" t="n">
        <v>0</v>
      </c>
      <c r="M685" t="n">
        <v>0</v>
      </c>
      <c r="N685" t="n">
        <v>0</v>
      </c>
      <c r="O685" t="n">
        <v>0</v>
      </c>
      <c r="P685" t="n">
        <v>0</v>
      </c>
      <c r="Q685" t="n">
        <v>0</v>
      </c>
      <c r="R685" s="2" t="inlineStr"/>
    </row>
    <row r="686" ht="15" customHeight="1">
      <c r="A686" t="inlineStr">
        <is>
          <t>A 16473-2024</t>
        </is>
      </c>
      <c r="B686" s="1" t="n">
        <v>45408</v>
      </c>
      <c r="C686" s="1" t="n">
        <v>45566</v>
      </c>
      <c r="D686" t="inlineStr">
        <is>
          <t>NORRBOTTENS LÄN</t>
        </is>
      </c>
      <c r="E686" t="inlineStr">
        <is>
          <t>GÄLLIVARE</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16851-2024</t>
        </is>
      </c>
      <c r="B687" s="1" t="n">
        <v>45411</v>
      </c>
      <c r="C687" s="1" t="n">
        <v>45566</v>
      </c>
      <c r="D687" t="inlineStr">
        <is>
          <t>NORRBOTTENS LÄN</t>
        </is>
      </c>
      <c r="E687" t="inlineStr">
        <is>
          <t>GÄLLIVARE</t>
        </is>
      </c>
      <c r="G687" t="n">
        <v>11.9</v>
      </c>
      <c r="H687" t="n">
        <v>0</v>
      </c>
      <c r="I687" t="n">
        <v>0</v>
      </c>
      <c r="J687" t="n">
        <v>0</v>
      </c>
      <c r="K687" t="n">
        <v>0</v>
      </c>
      <c r="L687" t="n">
        <v>0</v>
      </c>
      <c r="M687" t="n">
        <v>0</v>
      </c>
      <c r="N687" t="n">
        <v>0</v>
      </c>
      <c r="O687" t="n">
        <v>0</v>
      </c>
      <c r="P687" t="n">
        <v>0</v>
      </c>
      <c r="Q687" t="n">
        <v>0</v>
      </c>
      <c r="R687" s="2" t="inlineStr"/>
    </row>
    <row r="688" ht="15" customHeight="1">
      <c r="A688" t="inlineStr">
        <is>
          <t>A 17205-2024</t>
        </is>
      </c>
      <c r="B688" s="1" t="n">
        <v>45413</v>
      </c>
      <c r="C688" s="1" t="n">
        <v>45566</v>
      </c>
      <c r="D688" t="inlineStr">
        <is>
          <t>NORRBOTTENS LÄN</t>
        </is>
      </c>
      <c r="E688" t="inlineStr">
        <is>
          <t>GÄLLIVARE</t>
        </is>
      </c>
      <c r="G688" t="n">
        <v>1.1</v>
      </c>
      <c r="H688" t="n">
        <v>0</v>
      </c>
      <c r="I688" t="n">
        <v>0</v>
      </c>
      <c r="J688" t="n">
        <v>0</v>
      </c>
      <c r="K688" t="n">
        <v>0</v>
      </c>
      <c r="L688" t="n">
        <v>0</v>
      </c>
      <c r="M688" t="n">
        <v>0</v>
      </c>
      <c r="N688" t="n">
        <v>0</v>
      </c>
      <c r="O688" t="n">
        <v>0</v>
      </c>
      <c r="P688" t="n">
        <v>0</v>
      </c>
      <c r="Q688" t="n">
        <v>0</v>
      </c>
      <c r="R688" s="2" t="inlineStr"/>
    </row>
    <row r="689" ht="15" customHeight="1">
      <c r="A689" t="inlineStr">
        <is>
          <t>A 17201-2024</t>
        </is>
      </c>
      <c r="B689" s="1" t="n">
        <v>45413</v>
      </c>
      <c r="C689" s="1" t="n">
        <v>45566</v>
      </c>
      <c r="D689" t="inlineStr">
        <is>
          <t>NORRBOTTENS LÄN</t>
        </is>
      </c>
      <c r="E689" t="inlineStr">
        <is>
          <t>GÄLLIVARE</t>
        </is>
      </c>
      <c r="G689" t="n">
        <v>3.1</v>
      </c>
      <c r="H689" t="n">
        <v>0</v>
      </c>
      <c r="I689" t="n">
        <v>0</v>
      </c>
      <c r="J689" t="n">
        <v>0</v>
      </c>
      <c r="K689" t="n">
        <v>0</v>
      </c>
      <c r="L689" t="n">
        <v>0</v>
      </c>
      <c r="M689" t="n">
        <v>0</v>
      </c>
      <c r="N689" t="n">
        <v>0</v>
      </c>
      <c r="O689" t="n">
        <v>0</v>
      </c>
      <c r="P689" t="n">
        <v>0</v>
      </c>
      <c r="Q689" t="n">
        <v>0</v>
      </c>
      <c r="R689" s="2" t="inlineStr"/>
    </row>
    <row r="690" ht="15" customHeight="1">
      <c r="A690" t="inlineStr">
        <is>
          <t>A 17204-2024</t>
        </is>
      </c>
      <c r="B690" s="1" t="n">
        <v>45413</v>
      </c>
      <c r="C690" s="1" t="n">
        <v>45566</v>
      </c>
      <c r="D690" t="inlineStr">
        <is>
          <t>NORRBOTTENS LÄN</t>
        </is>
      </c>
      <c r="E690" t="inlineStr">
        <is>
          <t>GÄLLIVARE</t>
        </is>
      </c>
      <c r="G690" t="n">
        <v>2.6</v>
      </c>
      <c r="H690" t="n">
        <v>0</v>
      </c>
      <c r="I690" t="n">
        <v>0</v>
      </c>
      <c r="J690" t="n">
        <v>0</v>
      </c>
      <c r="K690" t="n">
        <v>0</v>
      </c>
      <c r="L690" t="n">
        <v>0</v>
      </c>
      <c r="M690" t="n">
        <v>0</v>
      </c>
      <c r="N690" t="n">
        <v>0</v>
      </c>
      <c r="O690" t="n">
        <v>0</v>
      </c>
      <c r="P690" t="n">
        <v>0</v>
      </c>
      <c r="Q690" t="n">
        <v>0</v>
      </c>
      <c r="R690" s="2" t="inlineStr"/>
    </row>
    <row r="691" ht="15" customHeight="1">
      <c r="A691" t="inlineStr">
        <is>
          <t>A 17203-2024</t>
        </is>
      </c>
      <c r="B691" s="1" t="n">
        <v>45413</v>
      </c>
      <c r="C691" s="1" t="n">
        <v>45566</v>
      </c>
      <c r="D691" t="inlineStr">
        <is>
          <t>NORRBOTTENS LÄN</t>
        </is>
      </c>
      <c r="E691" t="inlineStr">
        <is>
          <t>GÄLLIVARE</t>
        </is>
      </c>
      <c r="G691" t="n">
        <v>1.6</v>
      </c>
      <c r="H691" t="n">
        <v>0</v>
      </c>
      <c r="I691" t="n">
        <v>0</v>
      </c>
      <c r="J691" t="n">
        <v>0</v>
      </c>
      <c r="K691" t="n">
        <v>0</v>
      </c>
      <c r="L691" t="n">
        <v>0</v>
      </c>
      <c r="M691" t="n">
        <v>0</v>
      </c>
      <c r="N691" t="n">
        <v>0</v>
      </c>
      <c r="O691" t="n">
        <v>0</v>
      </c>
      <c r="P691" t="n">
        <v>0</v>
      </c>
      <c r="Q691" t="n">
        <v>0</v>
      </c>
      <c r="R691" s="2" t="inlineStr"/>
    </row>
    <row r="692" ht="15" customHeight="1">
      <c r="A692" t="inlineStr">
        <is>
          <t>A 17202-2024</t>
        </is>
      </c>
      <c r="B692" s="1" t="n">
        <v>45413</v>
      </c>
      <c r="C692" s="1" t="n">
        <v>45566</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17418-2024</t>
        </is>
      </c>
      <c r="B693" s="1" t="n">
        <v>45414</v>
      </c>
      <c r="C693" s="1" t="n">
        <v>45566</v>
      </c>
      <c r="D693" t="inlineStr">
        <is>
          <t>NORRBOTTENS LÄN</t>
        </is>
      </c>
      <c r="E693" t="inlineStr">
        <is>
          <t>GÄLLIVARE</t>
        </is>
      </c>
      <c r="F693" t="inlineStr">
        <is>
          <t>SCA</t>
        </is>
      </c>
      <c r="G693" t="n">
        <v>48.6</v>
      </c>
      <c r="H693" t="n">
        <v>0</v>
      </c>
      <c r="I693" t="n">
        <v>0</v>
      </c>
      <c r="J693" t="n">
        <v>0</v>
      </c>
      <c r="K693" t="n">
        <v>0</v>
      </c>
      <c r="L693" t="n">
        <v>0</v>
      </c>
      <c r="M693" t="n">
        <v>0</v>
      </c>
      <c r="N693" t="n">
        <v>0</v>
      </c>
      <c r="O693" t="n">
        <v>0</v>
      </c>
      <c r="P693" t="n">
        <v>0</v>
      </c>
      <c r="Q693" t="n">
        <v>0</v>
      </c>
      <c r="R693" s="2" t="inlineStr"/>
    </row>
    <row r="694" ht="15" customHeight="1">
      <c r="A694" t="inlineStr">
        <is>
          <t>A 17575-2024</t>
        </is>
      </c>
      <c r="B694" s="1" t="n">
        <v>45415</v>
      </c>
      <c r="C694" s="1" t="n">
        <v>45566</v>
      </c>
      <c r="D694" t="inlineStr">
        <is>
          <t>NORRBOTTENS LÄN</t>
        </is>
      </c>
      <c r="E694" t="inlineStr">
        <is>
          <t>GÄLLIVARE</t>
        </is>
      </c>
      <c r="G694" t="n">
        <v>22.6</v>
      </c>
      <c r="H694" t="n">
        <v>0</v>
      </c>
      <c r="I694" t="n">
        <v>0</v>
      </c>
      <c r="J694" t="n">
        <v>0</v>
      </c>
      <c r="K694" t="n">
        <v>0</v>
      </c>
      <c r="L694" t="n">
        <v>0</v>
      </c>
      <c r="M694" t="n">
        <v>0</v>
      </c>
      <c r="N694" t="n">
        <v>0</v>
      </c>
      <c r="O694" t="n">
        <v>0</v>
      </c>
      <c r="P694" t="n">
        <v>0</v>
      </c>
      <c r="Q694" t="n">
        <v>0</v>
      </c>
      <c r="R694" s="2" t="inlineStr"/>
    </row>
    <row r="695" ht="15" customHeight="1">
      <c r="A695" t="inlineStr">
        <is>
          <t>A 17802-2024</t>
        </is>
      </c>
      <c r="B695" s="1" t="n">
        <v>45418</v>
      </c>
      <c r="C695" s="1" t="n">
        <v>45566</v>
      </c>
      <c r="D695" t="inlineStr">
        <is>
          <t>NORRBOTTENS LÄN</t>
        </is>
      </c>
      <c r="E695" t="inlineStr">
        <is>
          <t>GÄLLIVARE</t>
        </is>
      </c>
      <c r="G695" t="n">
        <v>12.7</v>
      </c>
      <c r="H695" t="n">
        <v>0</v>
      </c>
      <c r="I695" t="n">
        <v>0</v>
      </c>
      <c r="J695" t="n">
        <v>0</v>
      </c>
      <c r="K695" t="n">
        <v>0</v>
      </c>
      <c r="L695" t="n">
        <v>0</v>
      </c>
      <c r="M695" t="n">
        <v>0</v>
      </c>
      <c r="N695" t="n">
        <v>0</v>
      </c>
      <c r="O695" t="n">
        <v>0</v>
      </c>
      <c r="P695" t="n">
        <v>0</v>
      </c>
      <c r="Q695" t="n">
        <v>0</v>
      </c>
      <c r="R695" s="2" t="inlineStr"/>
    </row>
    <row r="696" ht="15" customHeight="1">
      <c r="A696" t="inlineStr">
        <is>
          <t>A 18222-2024</t>
        </is>
      </c>
      <c r="B696" s="1" t="n">
        <v>45420</v>
      </c>
      <c r="C696" s="1" t="n">
        <v>45566</v>
      </c>
      <c r="D696" t="inlineStr">
        <is>
          <t>NORRBOTTENS LÄN</t>
        </is>
      </c>
      <c r="E696" t="inlineStr">
        <is>
          <t>GÄLLIVARE</t>
        </is>
      </c>
      <c r="G696" t="n">
        <v>0.7</v>
      </c>
      <c r="H696" t="n">
        <v>0</v>
      </c>
      <c r="I696" t="n">
        <v>0</v>
      </c>
      <c r="J696" t="n">
        <v>0</v>
      </c>
      <c r="K696" t="n">
        <v>0</v>
      </c>
      <c r="L696" t="n">
        <v>0</v>
      </c>
      <c r="M696" t="n">
        <v>0</v>
      </c>
      <c r="N696" t="n">
        <v>0</v>
      </c>
      <c r="O696" t="n">
        <v>0</v>
      </c>
      <c r="P696" t="n">
        <v>0</v>
      </c>
      <c r="Q696" t="n">
        <v>0</v>
      </c>
      <c r="R696" s="2" t="inlineStr"/>
    </row>
    <row r="697" ht="15" customHeight="1">
      <c r="A697" t="inlineStr">
        <is>
          <t>A 18043-2024</t>
        </is>
      </c>
      <c r="B697" s="1" t="n">
        <v>45420</v>
      </c>
      <c r="C697" s="1" t="n">
        <v>45566</v>
      </c>
      <c r="D697" t="inlineStr">
        <is>
          <t>NORRBOTTENS LÄN</t>
        </is>
      </c>
      <c r="E697" t="inlineStr">
        <is>
          <t>GÄLLIVARE</t>
        </is>
      </c>
      <c r="G697" t="n">
        <v>35.5</v>
      </c>
      <c r="H697" t="n">
        <v>0</v>
      </c>
      <c r="I697" t="n">
        <v>0</v>
      </c>
      <c r="J697" t="n">
        <v>0</v>
      </c>
      <c r="K697" t="n">
        <v>0</v>
      </c>
      <c r="L697" t="n">
        <v>0</v>
      </c>
      <c r="M697" t="n">
        <v>0</v>
      </c>
      <c r="N697" t="n">
        <v>0</v>
      </c>
      <c r="O697" t="n">
        <v>0</v>
      </c>
      <c r="P697" t="n">
        <v>0</v>
      </c>
      <c r="Q697" t="n">
        <v>0</v>
      </c>
      <c r="R697" s="2" t="inlineStr"/>
    </row>
    <row r="698" ht="15" customHeight="1">
      <c r="A698" t="inlineStr">
        <is>
          <t>A 18730-2024</t>
        </is>
      </c>
      <c r="B698" s="1" t="n">
        <v>45426</v>
      </c>
      <c r="C698" s="1" t="n">
        <v>45566</v>
      </c>
      <c r="D698" t="inlineStr">
        <is>
          <t>NORRBOTTENS LÄN</t>
        </is>
      </c>
      <c r="E698" t="inlineStr">
        <is>
          <t>GÄLLIVARE</t>
        </is>
      </c>
      <c r="G698" t="n">
        <v>3.3</v>
      </c>
      <c r="H698" t="n">
        <v>0</v>
      </c>
      <c r="I698" t="n">
        <v>0</v>
      </c>
      <c r="J698" t="n">
        <v>0</v>
      </c>
      <c r="K698" t="n">
        <v>0</v>
      </c>
      <c r="L698" t="n">
        <v>0</v>
      </c>
      <c r="M698" t="n">
        <v>0</v>
      </c>
      <c r="N698" t="n">
        <v>0</v>
      </c>
      <c r="O698" t="n">
        <v>0</v>
      </c>
      <c r="P698" t="n">
        <v>0</v>
      </c>
      <c r="Q698" t="n">
        <v>0</v>
      </c>
      <c r="R698" s="2" t="inlineStr"/>
    </row>
    <row r="699" ht="15" customHeight="1">
      <c r="A699" t="inlineStr">
        <is>
          <t>A 19798-2024</t>
        </is>
      </c>
      <c r="B699" s="1" t="n">
        <v>45432</v>
      </c>
      <c r="C699" s="1" t="n">
        <v>45566</v>
      </c>
      <c r="D699" t="inlineStr">
        <is>
          <t>NORRBOTTENS LÄN</t>
        </is>
      </c>
      <c r="E699" t="inlineStr">
        <is>
          <t>GÄLLIVARE</t>
        </is>
      </c>
      <c r="G699" t="n">
        <v>2</v>
      </c>
      <c r="H699" t="n">
        <v>0</v>
      </c>
      <c r="I699" t="n">
        <v>0</v>
      </c>
      <c r="J699" t="n">
        <v>0</v>
      </c>
      <c r="K699" t="n">
        <v>0</v>
      </c>
      <c r="L699" t="n">
        <v>0</v>
      </c>
      <c r="M699" t="n">
        <v>0</v>
      </c>
      <c r="N699" t="n">
        <v>0</v>
      </c>
      <c r="O699" t="n">
        <v>0</v>
      </c>
      <c r="P699" t="n">
        <v>0</v>
      </c>
      <c r="Q699" t="n">
        <v>0</v>
      </c>
      <c r="R699" s="2" t="inlineStr"/>
    </row>
    <row r="700" ht="15" customHeight="1">
      <c r="A700" t="inlineStr">
        <is>
          <t>A 21033-2024</t>
        </is>
      </c>
      <c r="B700" s="1" t="n">
        <v>45439</v>
      </c>
      <c r="C700" s="1" t="n">
        <v>45566</v>
      </c>
      <c r="D700" t="inlineStr">
        <is>
          <t>NORRBOTTENS LÄN</t>
        </is>
      </c>
      <c r="E700" t="inlineStr">
        <is>
          <t>GÄLLIVARE</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21912-2024</t>
        </is>
      </c>
      <c r="B701" s="1" t="n">
        <v>45443</v>
      </c>
      <c r="C701" s="1" t="n">
        <v>45566</v>
      </c>
      <c r="D701" t="inlineStr">
        <is>
          <t>NORRBOTTENS LÄN</t>
        </is>
      </c>
      <c r="E701" t="inlineStr">
        <is>
          <t>GÄLLIVARE</t>
        </is>
      </c>
      <c r="F701" t="inlineStr">
        <is>
          <t>Sveaskog</t>
        </is>
      </c>
      <c r="G701" t="n">
        <v>25.2</v>
      </c>
      <c r="H701" t="n">
        <v>0</v>
      </c>
      <c r="I701" t="n">
        <v>0</v>
      </c>
      <c r="J701" t="n">
        <v>0</v>
      </c>
      <c r="K701" t="n">
        <v>0</v>
      </c>
      <c r="L701" t="n">
        <v>0</v>
      </c>
      <c r="M701" t="n">
        <v>0</v>
      </c>
      <c r="N701" t="n">
        <v>0</v>
      </c>
      <c r="O701" t="n">
        <v>0</v>
      </c>
      <c r="P701" t="n">
        <v>0</v>
      </c>
      <c r="Q701" t="n">
        <v>0</v>
      </c>
      <c r="R701" s="2" t="inlineStr"/>
    </row>
    <row r="702" ht="15" customHeight="1">
      <c r="A702" t="inlineStr">
        <is>
          <t>A 23110-2024</t>
        </is>
      </c>
      <c r="B702" s="1" t="n">
        <v>45450</v>
      </c>
      <c r="C702" s="1" t="n">
        <v>45566</v>
      </c>
      <c r="D702" t="inlineStr">
        <is>
          <t>NORRBOTTENS LÄN</t>
        </is>
      </c>
      <c r="E702" t="inlineStr">
        <is>
          <t>GÄLLIVARE</t>
        </is>
      </c>
      <c r="F702" t="inlineStr">
        <is>
          <t>Sveaskog</t>
        </is>
      </c>
      <c r="G702" t="n">
        <v>22.6</v>
      </c>
      <c r="H702" t="n">
        <v>0</v>
      </c>
      <c r="I702" t="n">
        <v>0</v>
      </c>
      <c r="J702" t="n">
        <v>0</v>
      </c>
      <c r="K702" t="n">
        <v>0</v>
      </c>
      <c r="L702" t="n">
        <v>0</v>
      </c>
      <c r="M702" t="n">
        <v>0</v>
      </c>
      <c r="N702" t="n">
        <v>0</v>
      </c>
      <c r="O702" t="n">
        <v>0</v>
      </c>
      <c r="P702" t="n">
        <v>0</v>
      </c>
      <c r="Q702" t="n">
        <v>0</v>
      </c>
      <c r="R702" s="2" t="inlineStr"/>
    </row>
    <row r="703" ht="15" customHeight="1">
      <c r="A703" t="inlineStr">
        <is>
          <t>A 23478-2024</t>
        </is>
      </c>
      <c r="B703" s="1" t="n">
        <v>45453</v>
      </c>
      <c r="C703" s="1" t="n">
        <v>45566</v>
      </c>
      <c r="D703" t="inlineStr">
        <is>
          <t>NORRBOTTENS LÄN</t>
        </is>
      </c>
      <c r="E703" t="inlineStr">
        <is>
          <t>GÄLLIVARE</t>
        </is>
      </c>
      <c r="F703" t="inlineStr">
        <is>
          <t>SCA</t>
        </is>
      </c>
      <c r="G703" t="n">
        <v>23.3</v>
      </c>
      <c r="H703" t="n">
        <v>0</v>
      </c>
      <c r="I703" t="n">
        <v>0</v>
      </c>
      <c r="J703" t="n">
        <v>0</v>
      </c>
      <c r="K703" t="n">
        <v>0</v>
      </c>
      <c r="L703" t="n">
        <v>0</v>
      </c>
      <c r="M703" t="n">
        <v>0</v>
      </c>
      <c r="N703" t="n">
        <v>0</v>
      </c>
      <c r="O703" t="n">
        <v>0</v>
      </c>
      <c r="P703" t="n">
        <v>0</v>
      </c>
      <c r="Q703" t="n">
        <v>0</v>
      </c>
      <c r="R703" s="2" t="inlineStr"/>
    </row>
    <row r="704" ht="15" customHeight="1">
      <c r="A704" t="inlineStr">
        <is>
          <t>A 23398-2024</t>
        </is>
      </c>
      <c r="B704" s="1" t="n">
        <v>45453</v>
      </c>
      <c r="C704" s="1" t="n">
        <v>45566</v>
      </c>
      <c r="D704" t="inlineStr">
        <is>
          <t>NORRBOTTENS LÄN</t>
        </is>
      </c>
      <c r="E704" t="inlineStr">
        <is>
          <t>GÄLLIVARE</t>
        </is>
      </c>
      <c r="F704" t="inlineStr">
        <is>
          <t>Allmännings- och besparingsskogar</t>
        </is>
      </c>
      <c r="G704" t="n">
        <v>12.3</v>
      </c>
      <c r="H704" t="n">
        <v>0</v>
      </c>
      <c r="I704" t="n">
        <v>0</v>
      </c>
      <c r="J704" t="n">
        <v>0</v>
      </c>
      <c r="K704" t="n">
        <v>0</v>
      </c>
      <c r="L704" t="n">
        <v>0</v>
      </c>
      <c r="M704" t="n">
        <v>0</v>
      </c>
      <c r="N704" t="n">
        <v>0</v>
      </c>
      <c r="O704" t="n">
        <v>0</v>
      </c>
      <c r="P704" t="n">
        <v>0</v>
      </c>
      <c r="Q704" t="n">
        <v>0</v>
      </c>
      <c r="R704" s="2" t="inlineStr"/>
    </row>
    <row r="705" ht="15" customHeight="1">
      <c r="A705" t="inlineStr">
        <is>
          <t>A 23357-2024</t>
        </is>
      </c>
      <c r="B705" s="1" t="n">
        <v>45453</v>
      </c>
      <c r="C705" s="1" t="n">
        <v>45566</v>
      </c>
      <c r="D705" t="inlineStr">
        <is>
          <t>NORRBOTTENS LÄN</t>
        </is>
      </c>
      <c r="E705" t="inlineStr">
        <is>
          <t>GÄLLIVARE</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23484-2024</t>
        </is>
      </c>
      <c r="B706" s="1" t="n">
        <v>45453</v>
      </c>
      <c r="C706" s="1" t="n">
        <v>45566</v>
      </c>
      <c r="D706" t="inlineStr">
        <is>
          <t>NORRBOTTENS LÄN</t>
        </is>
      </c>
      <c r="E706" t="inlineStr">
        <is>
          <t>GÄLLIVARE</t>
        </is>
      </c>
      <c r="F706" t="inlineStr">
        <is>
          <t>SCA</t>
        </is>
      </c>
      <c r="G706" t="n">
        <v>22.4</v>
      </c>
      <c r="H706" t="n">
        <v>0</v>
      </c>
      <c r="I706" t="n">
        <v>0</v>
      </c>
      <c r="J706" t="n">
        <v>0</v>
      </c>
      <c r="K706" t="n">
        <v>0</v>
      </c>
      <c r="L706" t="n">
        <v>0</v>
      </c>
      <c r="M706" t="n">
        <v>0</v>
      </c>
      <c r="N706" t="n">
        <v>0</v>
      </c>
      <c r="O706" t="n">
        <v>0</v>
      </c>
      <c r="P706" t="n">
        <v>0</v>
      </c>
      <c r="Q706" t="n">
        <v>0</v>
      </c>
      <c r="R706" s="2" t="inlineStr"/>
    </row>
    <row r="707" ht="15" customHeight="1">
      <c r="A707" t="inlineStr">
        <is>
          <t>A 23475-2024</t>
        </is>
      </c>
      <c r="B707" s="1" t="n">
        <v>45453</v>
      </c>
      <c r="C707" s="1" t="n">
        <v>45566</v>
      </c>
      <c r="D707" t="inlineStr">
        <is>
          <t>NORRBOTTENS LÄN</t>
        </is>
      </c>
      <c r="E707" t="inlineStr">
        <is>
          <t>GÄLLIVARE</t>
        </is>
      </c>
      <c r="F707" t="inlineStr">
        <is>
          <t>SCA</t>
        </is>
      </c>
      <c r="G707" t="n">
        <v>32.5</v>
      </c>
      <c r="H707" t="n">
        <v>0</v>
      </c>
      <c r="I707" t="n">
        <v>0</v>
      </c>
      <c r="J707" t="n">
        <v>0</v>
      </c>
      <c r="K707" t="n">
        <v>0</v>
      </c>
      <c r="L707" t="n">
        <v>0</v>
      </c>
      <c r="M707" t="n">
        <v>0</v>
      </c>
      <c r="N707" t="n">
        <v>0</v>
      </c>
      <c r="O707" t="n">
        <v>0</v>
      </c>
      <c r="P707" t="n">
        <v>0</v>
      </c>
      <c r="Q707" t="n">
        <v>0</v>
      </c>
      <c r="R707" s="2" t="inlineStr"/>
    </row>
    <row r="708" ht="15" customHeight="1">
      <c r="A708" t="inlineStr">
        <is>
          <t>A 23487-2024</t>
        </is>
      </c>
      <c r="B708" s="1" t="n">
        <v>45453</v>
      </c>
      <c r="C708" s="1" t="n">
        <v>45566</v>
      </c>
      <c r="D708" t="inlineStr">
        <is>
          <t>NORRBOTTENS LÄN</t>
        </is>
      </c>
      <c r="E708" t="inlineStr">
        <is>
          <t>GÄLLIVARE</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23495-2024</t>
        </is>
      </c>
      <c r="B709" s="1" t="n">
        <v>45453</v>
      </c>
      <c r="C709" s="1" t="n">
        <v>45566</v>
      </c>
      <c r="D709" t="inlineStr">
        <is>
          <t>NORRBOTTENS LÄN</t>
        </is>
      </c>
      <c r="E709" t="inlineStr">
        <is>
          <t>GÄLLIVARE</t>
        </is>
      </c>
      <c r="F709" t="inlineStr">
        <is>
          <t>Allmännings- och besparingsskogar</t>
        </is>
      </c>
      <c r="G709" t="n">
        <v>15.4</v>
      </c>
      <c r="H709" t="n">
        <v>0</v>
      </c>
      <c r="I709" t="n">
        <v>0</v>
      </c>
      <c r="J709" t="n">
        <v>0</v>
      </c>
      <c r="K709" t="n">
        <v>0</v>
      </c>
      <c r="L709" t="n">
        <v>0</v>
      </c>
      <c r="M709" t="n">
        <v>0</v>
      </c>
      <c r="N709" t="n">
        <v>0</v>
      </c>
      <c r="O709" t="n">
        <v>0</v>
      </c>
      <c r="P709" t="n">
        <v>0</v>
      </c>
      <c r="Q709" t="n">
        <v>0</v>
      </c>
      <c r="R709" s="2" t="inlineStr"/>
    </row>
    <row r="710" ht="15" customHeight="1">
      <c r="A710" t="inlineStr">
        <is>
          <t>A 23481-2024</t>
        </is>
      </c>
      <c r="B710" s="1" t="n">
        <v>45453</v>
      </c>
      <c r="C710" s="1" t="n">
        <v>45566</v>
      </c>
      <c r="D710" t="inlineStr">
        <is>
          <t>NORRBOTTENS LÄN</t>
        </is>
      </c>
      <c r="E710" t="inlineStr">
        <is>
          <t>GÄLLIVARE</t>
        </is>
      </c>
      <c r="F710" t="inlineStr">
        <is>
          <t>SCA</t>
        </is>
      </c>
      <c r="G710" t="n">
        <v>40.5</v>
      </c>
      <c r="H710" t="n">
        <v>0</v>
      </c>
      <c r="I710" t="n">
        <v>0</v>
      </c>
      <c r="J710" t="n">
        <v>0</v>
      </c>
      <c r="K710" t="n">
        <v>0</v>
      </c>
      <c r="L710" t="n">
        <v>0</v>
      </c>
      <c r="M710" t="n">
        <v>0</v>
      </c>
      <c r="N710" t="n">
        <v>0</v>
      </c>
      <c r="O710" t="n">
        <v>0</v>
      </c>
      <c r="P710" t="n">
        <v>0</v>
      </c>
      <c r="Q710" t="n">
        <v>0</v>
      </c>
      <c r="R710" s="2" t="inlineStr"/>
    </row>
    <row r="711" ht="15" customHeight="1">
      <c r="A711" t="inlineStr">
        <is>
          <t>A 23237-2024</t>
        </is>
      </c>
      <c r="B711" s="1" t="n">
        <v>45453</v>
      </c>
      <c r="C711" s="1" t="n">
        <v>45566</v>
      </c>
      <c r="D711" t="inlineStr">
        <is>
          <t>NORRBOTTENS LÄN</t>
        </is>
      </c>
      <c r="E711" t="inlineStr">
        <is>
          <t>GÄLLIVARE</t>
        </is>
      </c>
      <c r="F711" t="inlineStr">
        <is>
          <t>Sveaskog</t>
        </is>
      </c>
      <c r="G711" t="n">
        <v>28.7</v>
      </c>
      <c r="H711" t="n">
        <v>0</v>
      </c>
      <c r="I711" t="n">
        <v>0</v>
      </c>
      <c r="J711" t="n">
        <v>0</v>
      </c>
      <c r="K711" t="n">
        <v>0</v>
      </c>
      <c r="L711" t="n">
        <v>0</v>
      </c>
      <c r="M711" t="n">
        <v>0</v>
      </c>
      <c r="N711" t="n">
        <v>0</v>
      </c>
      <c r="O711" t="n">
        <v>0</v>
      </c>
      <c r="P711" t="n">
        <v>0</v>
      </c>
      <c r="Q711" t="n">
        <v>0</v>
      </c>
      <c r="R711" s="2" t="inlineStr"/>
    </row>
    <row r="712" ht="15" customHeight="1">
      <c r="A712" t="inlineStr">
        <is>
          <t>A 23613-2024</t>
        </is>
      </c>
      <c r="B712" s="1" t="n">
        <v>45454</v>
      </c>
      <c r="C712" s="1" t="n">
        <v>45566</v>
      </c>
      <c r="D712" t="inlineStr">
        <is>
          <t>NORRBOTTENS LÄN</t>
        </is>
      </c>
      <c r="E712" t="inlineStr">
        <is>
          <t>GÄLLIVARE</t>
        </is>
      </c>
      <c r="G712" t="n">
        <v>2.9</v>
      </c>
      <c r="H712" t="n">
        <v>0</v>
      </c>
      <c r="I712" t="n">
        <v>0</v>
      </c>
      <c r="J712" t="n">
        <v>0</v>
      </c>
      <c r="K712" t="n">
        <v>0</v>
      </c>
      <c r="L712" t="n">
        <v>0</v>
      </c>
      <c r="M712" t="n">
        <v>0</v>
      </c>
      <c r="N712" t="n">
        <v>0</v>
      </c>
      <c r="O712" t="n">
        <v>0</v>
      </c>
      <c r="P712" t="n">
        <v>0</v>
      </c>
      <c r="Q712" t="n">
        <v>0</v>
      </c>
      <c r="R712" s="2" t="inlineStr"/>
    </row>
    <row r="713" ht="15" customHeight="1">
      <c r="A713" t="inlineStr">
        <is>
          <t>A 23608-2024</t>
        </is>
      </c>
      <c r="B713" s="1" t="n">
        <v>45454</v>
      </c>
      <c r="C713" s="1" t="n">
        <v>45566</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23870-2024</t>
        </is>
      </c>
      <c r="B714" s="1" t="n">
        <v>45455</v>
      </c>
      <c r="C714" s="1" t="n">
        <v>45566</v>
      </c>
      <c r="D714" t="inlineStr">
        <is>
          <t>NORRBOTTENS LÄN</t>
        </is>
      </c>
      <c r="E714" t="inlineStr">
        <is>
          <t>GÄLLIVARE</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23876-2024</t>
        </is>
      </c>
      <c r="B715" s="1" t="n">
        <v>45455</v>
      </c>
      <c r="C715" s="1" t="n">
        <v>45566</v>
      </c>
      <c r="D715" t="inlineStr">
        <is>
          <t>NORRBOTTENS LÄN</t>
        </is>
      </c>
      <c r="E715" t="inlineStr">
        <is>
          <t>GÄLLIVARE</t>
        </is>
      </c>
      <c r="F715" t="inlineStr">
        <is>
          <t>Allmännings- och besparingsskogar</t>
        </is>
      </c>
      <c r="G715" t="n">
        <v>56.1</v>
      </c>
      <c r="H715" t="n">
        <v>0</v>
      </c>
      <c r="I715" t="n">
        <v>0</v>
      </c>
      <c r="J715" t="n">
        <v>0</v>
      </c>
      <c r="K715" t="n">
        <v>0</v>
      </c>
      <c r="L715" t="n">
        <v>0</v>
      </c>
      <c r="M715" t="n">
        <v>0</v>
      </c>
      <c r="N715" t="n">
        <v>0</v>
      </c>
      <c r="O715" t="n">
        <v>0</v>
      </c>
      <c r="P715" t="n">
        <v>0</v>
      </c>
      <c r="Q715" t="n">
        <v>0</v>
      </c>
      <c r="R715" s="2" t="inlineStr"/>
    </row>
    <row r="716" ht="15" customHeight="1">
      <c r="A716" t="inlineStr">
        <is>
          <t>A 24036-2024</t>
        </is>
      </c>
      <c r="B716" s="1" t="n">
        <v>45456</v>
      </c>
      <c r="C716" s="1" t="n">
        <v>45566</v>
      </c>
      <c r="D716" t="inlineStr">
        <is>
          <t>NORRBOTTENS LÄN</t>
        </is>
      </c>
      <c r="E716" t="inlineStr">
        <is>
          <t>GÄLLIVARE</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24153-2024</t>
        </is>
      </c>
      <c r="B717" s="1" t="n">
        <v>45456</v>
      </c>
      <c r="C717" s="1" t="n">
        <v>45566</v>
      </c>
      <c r="D717" t="inlineStr">
        <is>
          <t>NORRBOTTENS LÄN</t>
        </is>
      </c>
      <c r="E717" t="inlineStr">
        <is>
          <t>GÄLLIVARE</t>
        </is>
      </c>
      <c r="F717" t="inlineStr">
        <is>
          <t>Sveaskog</t>
        </is>
      </c>
      <c r="G717" t="n">
        <v>12.8</v>
      </c>
      <c r="H717" t="n">
        <v>0</v>
      </c>
      <c r="I717" t="n">
        <v>0</v>
      </c>
      <c r="J717" t="n">
        <v>0</v>
      </c>
      <c r="K717" t="n">
        <v>0</v>
      </c>
      <c r="L717" t="n">
        <v>0</v>
      </c>
      <c r="M717" t="n">
        <v>0</v>
      </c>
      <c r="N717" t="n">
        <v>0</v>
      </c>
      <c r="O717" t="n">
        <v>0</v>
      </c>
      <c r="P717" t="n">
        <v>0</v>
      </c>
      <c r="Q717" t="n">
        <v>0</v>
      </c>
      <c r="R717" s="2" t="inlineStr"/>
    </row>
    <row r="718" ht="15" customHeight="1">
      <c r="A718" t="inlineStr">
        <is>
          <t>A 24030-2024</t>
        </is>
      </c>
      <c r="B718" s="1" t="n">
        <v>45456</v>
      </c>
      <c r="C718" s="1" t="n">
        <v>45566</v>
      </c>
      <c r="D718" t="inlineStr">
        <is>
          <t>NORRBOTTENS LÄN</t>
        </is>
      </c>
      <c r="E718" t="inlineStr">
        <is>
          <t>GÄLLIVARE</t>
        </is>
      </c>
      <c r="F718" t="inlineStr">
        <is>
          <t>Sveaskog</t>
        </is>
      </c>
      <c r="G718" t="n">
        <v>8.6</v>
      </c>
      <c r="H718" t="n">
        <v>0</v>
      </c>
      <c r="I718" t="n">
        <v>0</v>
      </c>
      <c r="J718" t="n">
        <v>0</v>
      </c>
      <c r="K718" t="n">
        <v>0</v>
      </c>
      <c r="L718" t="n">
        <v>0</v>
      </c>
      <c r="M718" t="n">
        <v>0</v>
      </c>
      <c r="N718" t="n">
        <v>0</v>
      </c>
      <c r="O718" t="n">
        <v>0</v>
      </c>
      <c r="P718" t="n">
        <v>0</v>
      </c>
      <c r="Q718" t="n">
        <v>0</v>
      </c>
      <c r="R718" s="2" t="inlineStr"/>
    </row>
    <row r="719" ht="15" customHeight="1">
      <c r="A719" t="inlineStr">
        <is>
          <t>A 24740-2024</t>
        </is>
      </c>
      <c r="B719" s="1" t="n">
        <v>45460</v>
      </c>
      <c r="C719" s="1" t="n">
        <v>45566</v>
      </c>
      <c r="D719" t="inlineStr">
        <is>
          <t>NORRBOTTENS LÄN</t>
        </is>
      </c>
      <c r="E719" t="inlineStr">
        <is>
          <t>GÄLLIVARE</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24591-2024</t>
        </is>
      </c>
      <c r="B720" s="1" t="n">
        <v>45460</v>
      </c>
      <c r="C720" s="1" t="n">
        <v>45566</v>
      </c>
      <c r="D720" t="inlineStr">
        <is>
          <t>NORRBOTTENS LÄN</t>
        </is>
      </c>
      <c r="E720" t="inlineStr">
        <is>
          <t>GÄLLIVARE</t>
        </is>
      </c>
      <c r="F720" t="inlineStr">
        <is>
          <t>Allmännings- och besparingsskogar</t>
        </is>
      </c>
      <c r="G720" t="n">
        <v>25.5</v>
      </c>
      <c r="H720" t="n">
        <v>0</v>
      </c>
      <c r="I720" t="n">
        <v>0</v>
      </c>
      <c r="J720" t="n">
        <v>0</v>
      </c>
      <c r="K720" t="n">
        <v>0</v>
      </c>
      <c r="L720" t="n">
        <v>0</v>
      </c>
      <c r="M720" t="n">
        <v>0</v>
      </c>
      <c r="N720" t="n">
        <v>0</v>
      </c>
      <c r="O720" t="n">
        <v>0</v>
      </c>
      <c r="P720" t="n">
        <v>0</v>
      </c>
      <c r="Q720" t="n">
        <v>0</v>
      </c>
      <c r="R720" s="2" t="inlineStr"/>
    </row>
    <row r="721" ht="15" customHeight="1">
      <c r="A721" t="inlineStr">
        <is>
          <t>A 24574-2024</t>
        </is>
      </c>
      <c r="B721" s="1" t="n">
        <v>45460</v>
      </c>
      <c r="C721" s="1" t="n">
        <v>45566</v>
      </c>
      <c r="D721" t="inlineStr">
        <is>
          <t>NORRBOTTENS LÄN</t>
        </is>
      </c>
      <c r="E721" t="inlineStr">
        <is>
          <t>GÄLLIVARE</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24633-2024</t>
        </is>
      </c>
      <c r="B722" s="1" t="n">
        <v>45460</v>
      </c>
      <c r="C722" s="1" t="n">
        <v>45566</v>
      </c>
      <c r="D722" t="inlineStr">
        <is>
          <t>NORRBOTTENS LÄN</t>
        </is>
      </c>
      <c r="E722" t="inlineStr">
        <is>
          <t>GÄLLIVARE</t>
        </is>
      </c>
      <c r="F722" t="inlineStr">
        <is>
          <t>Allmännings- och besparingsskogar</t>
        </is>
      </c>
      <c r="G722" t="n">
        <v>7.4</v>
      </c>
      <c r="H722" t="n">
        <v>0</v>
      </c>
      <c r="I722" t="n">
        <v>0</v>
      </c>
      <c r="J722" t="n">
        <v>0</v>
      </c>
      <c r="K722" t="n">
        <v>0</v>
      </c>
      <c r="L722" t="n">
        <v>0</v>
      </c>
      <c r="M722" t="n">
        <v>0</v>
      </c>
      <c r="N722" t="n">
        <v>0</v>
      </c>
      <c r="O722" t="n">
        <v>0</v>
      </c>
      <c r="P722" t="n">
        <v>0</v>
      </c>
      <c r="Q722" t="n">
        <v>0</v>
      </c>
      <c r="R722" s="2" t="inlineStr"/>
    </row>
    <row r="723" ht="15" customHeight="1">
      <c r="A723" t="inlineStr">
        <is>
          <t>A 24734-2024</t>
        </is>
      </c>
      <c r="B723" s="1" t="n">
        <v>45460</v>
      </c>
      <c r="C723" s="1" t="n">
        <v>45566</v>
      </c>
      <c r="D723" t="inlineStr">
        <is>
          <t>NORRBOTTENS LÄN</t>
        </is>
      </c>
      <c r="E723" t="inlineStr">
        <is>
          <t>GÄLLIVARE</t>
        </is>
      </c>
      <c r="F723" t="inlineStr">
        <is>
          <t>Sveaskog</t>
        </is>
      </c>
      <c r="G723" t="n">
        <v>11.7</v>
      </c>
      <c r="H723" t="n">
        <v>0</v>
      </c>
      <c r="I723" t="n">
        <v>0</v>
      </c>
      <c r="J723" t="n">
        <v>0</v>
      </c>
      <c r="K723" t="n">
        <v>0</v>
      </c>
      <c r="L723" t="n">
        <v>0</v>
      </c>
      <c r="M723" t="n">
        <v>0</v>
      </c>
      <c r="N723" t="n">
        <v>0</v>
      </c>
      <c r="O723" t="n">
        <v>0</v>
      </c>
      <c r="P723" t="n">
        <v>0</v>
      </c>
      <c r="Q723" t="n">
        <v>0</v>
      </c>
      <c r="R723" s="2" t="inlineStr"/>
    </row>
    <row r="724" ht="15" customHeight="1">
      <c r="A724" t="inlineStr">
        <is>
          <t>A 24926-2024</t>
        </is>
      </c>
      <c r="B724" s="1" t="n">
        <v>45461</v>
      </c>
      <c r="C724" s="1" t="n">
        <v>45566</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25493-2024</t>
        </is>
      </c>
      <c r="B725" s="1" t="n">
        <v>45463</v>
      </c>
      <c r="C725" s="1" t="n">
        <v>45566</v>
      </c>
      <c r="D725" t="inlineStr">
        <is>
          <t>NORRBOTTENS LÄN</t>
        </is>
      </c>
      <c r="E725" t="inlineStr">
        <is>
          <t>GÄLLIVARE</t>
        </is>
      </c>
      <c r="G725" t="n">
        <v>5.5</v>
      </c>
      <c r="H725" t="n">
        <v>0</v>
      </c>
      <c r="I725" t="n">
        <v>0</v>
      </c>
      <c r="J725" t="n">
        <v>0</v>
      </c>
      <c r="K725" t="n">
        <v>0</v>
      </c>
      <c r="L725" t="n">
        <v>0</v>
      </c>
      <c r="M725" t="n">
        <v>0</v>
      </c>
      <c r="N725" t="n">
        <v>0</v>
      </c>
      <c r="O725" t="n">
        <v>0</v>
      </c>
      <c r="P725" t="n">
        <v>0</v>
      </c>
      <c r="Q725" t="n">
        <v>0</v>
      </c>
      <c r="R725" s="2" t="inlineStr"/>
    </row>
    <row r="726" ht="15" customHeight="1">
      <c r="A726" t="inlineStr">
        <is>
          <t>A 25488-2024</t>
        </is>
      </c>
      <c r="B726" s="1" t="n">
        <v>45463</v>
      </c>
      <c r="C726" s="1" t="n">
        <v>45566</v>
      </c>
      <c r="D726" t="inlineStr">
        <is>
          <t>NORRBOTTENS LÄN</t>
        </is>
      </c>
      <c r="E726" t="inlineStr">
        <is>
          <t>GÄLLIVARE</t>
        </is>
      </c>
      <c r="G726" t="n">
        <v>13.6</v>
      </c>
      <c r="H726" t="n">
        <v>0</v>
      </c>
      <c r="I726" t="n">
        <v>0</v>
      </c>
      <c r="J726" t="n">
        <v>0</v>
      </c>
      <c r="K726" t="n">
        <v>0</v>
      </c>
      <c r="L726" t="n">
        <v>0</v>
      </c>
      <c r="M726" t="n">
        <v>0</v>
      </c>
      <c r="N726" t="n">
        <v>0</v>
      </c>
      <c r="O726" t="n">
        <v>0</v>
      </c>
      <c r="P726" t="n">
        <v>0</v>
      </c>
      <c r="Q726" t="n">
        <v>0</v>
      </c>
      <c r="R726" s="2" t="inlineStr"/>
    </row>
    <row r="727" ht="15" customHeight="1">
      <c r="A727" t="inlineStr">
        <is>
          <t>A 25503-2024</t>
        </is>
      </c>
      <c r="B727" s="1" t="n">
        <v>45463</v>
      </c>
      <c r="C727" s="1" t="n">
        <v>45566</v>
      </c>
      <c r="D727" t="inlineStr">
        <is>
          <t>NORRBOTTENS LÄN</t>
        </is>
      </c>
      <c r="E727" t="inlineStr">
        <is>
          <t>GÄLLIVARE</t>
        </is>
      </c>
      <c r="G727" t="n">
        <v>3.2</v>
      </c>
      <c r="H727" t="n">
        <v>0</v>
      </c>
      <c r="I727" t="n">
        <v>0</v>
      </c>
      <c r="J727" t="n">
        <v>0</v>
      </c>
      <c r="K727" t="n">
        <v>0</v>
      </c>
      <c r="L727" t="n">
        <v>0</v>
      </c>
      <c r="M727" t="n">
        <v>0</v>
      </c>
      <c r="N727" t="n">
        <v>0</v>
      </c>
      <c r="O727" t="n">
        <v>0</v>
      </c>
      <c r="P727" t="n">
        <v>0</v>
      </c>
      <c r="Q727" t="n">
        <v>0</v>
      </c>
      <c r="R727" s="2" t="inlineStr"/>
    </row>
    <row r="728" ht="15" customHeight="1">
      <c r="A728" t="inlineStr">
        <is>
          <t>A 25467-2024</t>
        </is>
      </c>
      <c r="B728" s="1" t="n">
        <v>45463</v>
      </c>
      <c r="C728" s="1" t="n">
        <v>45566</v>
      </c>
      <c r="D728" t="inlineStr">
        <is>
          <t>NORRBOTTENS LÄN</t>
        </is>
      </c>
      <c r="E728" t="inlineStr">
        <is>
          <t>GÄLLIVARE</t>
        </is>
      </c>
      <c r="G728" t="n">
        <v>3</v>
      </c>
      <c r="H728" t="n">
        <v>0</v>
      </c>
      <c r="I728" t="n">
        <v>0</v>
      </c>
      <c r="J728" t="n">
        <v>0</v>
      </c>
      <c r="K728" t="n">
        <v>0</v>
      </c>
      <c r="L728" t="n">
        <v>0</v>
      </c>
      <c r="M728" t="n">
        <v>0</v>
      </c>
      <c r="N728" t="n">
        <v>0</v>
      </c>
      <c r="O728" t="n">
        <v>0</v>
      </c>
      <c r="P728" t="n">
        <v>0</v>
      </c>
      <c r="Q728" t="n">
        <v>0</v>
      </c>
      <c r="R728" s="2" t="inlineStr"/>
    </row>
    <row r="729" ht="15" customHeight="1">
      <c r="A729" t="inlineStr">
        <is>
          <t>A 25905-2024</t>
        </is>
      </c>
      <c r="B729" s="1" t="n">
        <v>45467</v>
      </c>
      <c r="C729" s="1" t="n">
        <v>45566</v>
      </c>
      <c r="D729" t="inlineStr">
        <is>
          <t>NORRBOTTENS LÄN</t>
        </is>
      </c>
      <c r="E729" t="inlineStr">
        <is>
          <t>GÄLLIVARE</t>
        </is>
      </c>
      <c r="G729" t="n">
        <v>8.4</v>
      </c>
      <c r="H729" t="n">
        <v>0</v>
      </c>
      <c r="I729" t="n">
        <v>0</v>
      </c>
      <c r="J729" t="n">
        <v>0</v>
      </c>
      <c r="K729" t="n">
        <v>0</v>
      </c>
      <c r="L729" t="n">
        <v>0</v>
      </c>
      <c r="M729" t="n">
        <v>0</v>
      </c>
      <c r="N729" t="n">
        <v>0</v>
      </c>
      <c r="O729" t="n">
        <v>0</v>
      </c>
      <c r="P729" t="n">
        <v>0</v>
      </c>
      <c r="Q729" t="n">
        <v>0</v>
      </c>
      <c r="R729" s="2" t="inlineStr"/>
    </row>
    <row r="730" ht="15" customHeight="1">
      <c r="A730" t="inlineStr">
        <is>
          <t>A 25940-2024</t>
        </is>
      </c>
      <c r="B730" s="1" t="n">
        <v>45467</v>
      </c>
      <c r="C730" s="1" t="n">
        <v>45566</v>
      </c>
      <c r="D730" t="inlineStr">
        <is>
          <t>NORRBOTTENS LÄN</t>
        </is>
      </c>
      <c r="E730" t="inlineStr">
        <is>
          <t>GÄLLIVARE</t>
        </is>
      </c>
      <c r="G730" t="n">
        <v>11.2</v>
      </c>
      <c r="H730" t="n">
        <v>0</v>
      </c>
      <c r="I730" t="n">
        <v>0</v>
      </c>
      <c r="J730" t="n">
        <v>0</v>
      </c>
      <c r="K730" t="n">
        <v>0</v>
      </c>
      <c r="L730" t="n">
        <v>0</v>
      </c>
      <c r="M730" t="n">
        <v>0</v>
      </c>
      <c r="N730" t="n">
        <v>0</v>
      </c>
      <c r="O730" t="n">
        <v>0</v>
      </c>
      <c r="P730" t="n">
        <v>0</v>
      </c>
      <c r="Q730" t="n">
        <v>0</v>
      </c>
      <c r="R730" s="2" t="inlineStr"/>
    </row>
    <row r="731" ht="15" customHeight="1">
      <c r="A731" t="inlineStr">
        <is>
          <t>A 25941-2024</t>
        </is>
      </c>
      <c r="B731" s="1" t="n">
        <v>45467</v>
      </c>
      <c r="C731" s="1" t="n">
        <v>45566</v>
      </c>
      <c r="D731" t="inlineStr">
        <is>
          <t>NORRBOTTENS LÄN</t>
        </is>
      </c>
      <c r="E731" t="inlineStr">
        <is>
          <t>GÄLLIVARE</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25945-2024</t>
        </is>
      </c>
      <c r="B732" s="1" t="n">
        <v>45467</v>
      </c>
      <c r="C732" s="1" t="n">
        <v>45566</v>
      </c>
      <c r="D732" t="inlineStr">
        <is>
          <t>NORRBOTTENS LÄN</t>
        </is>
      </c>
      <c r="E732" t="inlineStr">
        <is>
          <t>GÄLLIVARE</t>
        </is>
      </c>
      <c r="G732" t="n">
        <v>12.1</v>
      </c>
      <c r="H732" t="n">
        <v>0</v>
      </c>
      <c r="I732" t="n">
        <v>0</v>
      </c>
      <c r="J732" t="n">
        <v>0</v>
      </c>
      <c r="K732" t="n">
        <v>0</v>
      </c>
      <c r="L732" t="n">
        <v>0</v>
      </c>
      <c r="M732" t="n">
        <v>0</v>
      </c>
      <c r="N732" t="n">
        <v>0</v>
      </c>
      <c r="O732" t="n">
        <v>0</v>
      </c>
      <c r="P732" t="n">
        <v>0</v>
      </c>
      <c r="Q732" t="n">
        <v>0</v>
      </c>
      <c r="R732" s="2" t="inlineStr"/>
    </row>
    <row r="733" ht="15" customHeight="1">
      <c r="A733" t="inlineStr">
        <is>
          <t>A 25923-2024</t>
        </is>
      </c>
      <c r="B733" s="1" t="n">
        <v>45467</v>
      </c>
      <c r="C733" s="1" t="n">
        <v>45566</v>
      </c>
      <c r="D733" t="inlineStr">
        <is>
          <t>NORRBOTTENS LÄN</t>
        </is>
      </c>
      <c r="E733" t="inlineStr">
        <is>
          <t>GÄLLIVARE</t>
        </is>
      </c>
      <c r="F733" t="inlineStr">
        <is>
          <t>Allmännings- och besparingsskogar</t>
        </is>
      </c>
      <c r="G733" t="n">
        <v>15.1</v>
      </c>
      <c r="H733" t="n">
        <v>0</v>
      </c>
      <c r="I733" t="n">
        <v>0</v>
      </c>
      <c r="J733" t="n">
        <v>0</v>
      </c>
      <c r="K733" t="n">
        <v>0</v>
      </c>
      <c r="L733" t="n">
        <v>0</v>
      </c>
      <c r="M733" t="n">
        <v>0</v>
      </c>
      <c r="N733" t="n">
        <v>0</v>
      </c>
      <c r="O733" t="n">
        <v>0</v>
      </c>
      <c r="P733" t="n">
        <v>0</v>
      </c>
      <c r="Q733" t="n">
        <v>0</v>
      </c>
      <c r="R733" s="2" t="inlineStr"/>
    </row>
    <row r="734" ht="15" customHeight="1">
      <c r="A734" t="inlineStr">
        <is>
          <t>A 25927-2024</t>
        </is>
      </c>
      <c r="B734" s="1" t="n">
        <v>45467</v>
      </c>
      <c r="C734" s="1" t="n">
        <v>45566</v>
      </c>
      <c r="D734" t="inlineStr">
        <is>
          <t>NORRBOTTENS LÄN</t>
        </is>
      </c>
      <c r="E734" t="inlineStr">
        <is>
          <t>GÄLLIVARE</t>
        </is>
      </c>
      <c r="F734" t="inlineStr">
        <is>
          <t>Allmännings- och besparingsskogar</t>
        </is>
      </c>
      <c r="G734" t="n">
        <v>10.7</v>
      </c>
      <c r="H734" t="n">
        <v>0</v>
      </c>
      <c r="I734" t="n">
        <v>0</v>
      </c>
      <c r="J734" t="n">
        <v>0</v>
      </c>
      <c r="K734" t="n">
        <v>0</v>
      </c>
      <c r="L734" t="n">
        <v>0</v>
      </c>
      <c r="M734" t="n">
        <v>0</v>
      </c>
      <c r="N734" t="n">
        <v>0</v>
      </c>
      <c r="O734" t="n">
        <v>0</v>
      </c>
      <c r="P734" t="n">
        <v>0</v>
      </c>
      <c r="Q734" t="n">
        <v>0</v>
      </c>
      <c r="R734" s="2" t="inlineStr"/>
    </row>
    <row r="735" ht="15" customHeight="1">
      <c r="A735" t="inlineStr">
        <is>
          <t>A 25935-2024</t>
        </is>
      </c>
      <c r="B735" s="1" t="n">
        <v>45467</v>
      </c>
      <c r="C735" s="1" t="n">
        <v>45566</v>
      </c>
      <c r="D735" t="inlineStr">
        <is>
          <t>NORRBOTTENS LÄN</t>
        </is>
      </c>
      <c r="E735" t="inlineStr">
        <is>
          <t>GÄLLIVARE</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26337-2024</t>
        </is>
      </c>
      <c r="B736" s="1" t="n">
        <v>45468</v>
      </c>
      <c r="C736" s="1" t="n">
        <v>45566</v>
      </c>
      <c r="D736" t="inlineStr">
        <is>
          <t>NORRBOTTENS LÄN</t>
        </is>
      </c>
      <c r="E736" t="inlineStr">
        <is>
          <t>GÄLLIVARE</t>
        </is>
      </c>
      <c r="G736" t="n">
        <v>6.8</v>
      </c>
      <c r="H736" t="n">
        <v>0</v>
      </c>
      <c r="I736" t="n">
        <v>0</v>
      </c>
      <c r="J736" t="n">
        <v>0</v>
      </c>
      <c r="K736" t="n">
        <v>0</v>
      </c>
      <c r="L736" t="n">
        <v>0</v>
      </c>
      <c r="M736" t="n">
        <v>0</v>
      </c>
      <c r="N736" t="n">
        <v>0</v>
      </c>
      <c r="O736" t="n">
        <v>0</v>
      </c>
      <c r="P736" t="n">
        <v>0</v>
      </c>
      <c r="Q736" t="n">
        <v>0</v>
      </c>
      <c r="R736" s="2" t="inlineStr"/>
    </row>
    <row r="737" ht="15" customHeight="1">
      <c r="A737" t="inlineStr">
        <is>
          <t>A 26183-2024</t>
        </is>
      </c>
      <c r="B737" s="1" t="n">
        <v>45468</v>
      </c>
      <c r="C737" s="1" t="n">
        <v>45566</v>
      </c>
      <c r="D737" t="inlineStr">
        <is>
          <t>NORRBOTTENS LÄN</t>
        </is>
      </c>
      <c r="E737" t="inlineStr">
        <is>
          <t>GÄLLIVARE</t>
        </is>
      </c>
      <c r="G737" t="n">
        <v>7.6</v>
      </c>
      <c r="H737" t="n">
        <v>0</v>
      </c>
      <c r="I737" t="n">
        <v>0</v>
      </c>
      <c r="J737" t="n">
        <v>0</v>
      </c>
      <c r="K737" t="n">
        <v>0</v>
      </c>
      <c r="L737" t="n">
        <v>0</v>
      </c>
      <c r="M737" t="n">
        <v>0</v>
      </c>
      <c r="N737" t="n">
        <v>0</v>
      </c>
      <c r="O737" t="n">
        <v>0</v>
      </c>
      <c r="P737" t="n">
        <v>0</v>
      </c>
      <c r="Q737" t="n">
        <v>0</v>
      </c>
      <c r="R737" s="2" t="inlineStr"/>
    </row>
    <row r="738" ht="15" customHeight="1">
      <c r="A738" t="inlineStr">
        <is>
          <t>A 26435-2024</t>
        </is>
      </c>
      <c r="B738" s="1" t="n">
        <v>45469</v>
      </c>
      <c r="C738" s="1" t="n">
        <v>45566</v>
      </c>
      <c r="D738" t="inlineStr">
        <is>
          <t>NORRBOTTENS LÄN</t>
        </is>
      </c>
      <c r="E738" t="inlineStr">
        <is>
          <t>GÄLLIVARE</t>
        </is>
      </c>
      <c r="G738" t="n">
        <v>31.9</v>
      </c>
      <c r="H738" t="n">
        <v>0</v>
      </c>
      <c r="I738" t="n">
        <v>0</v>
      </c>
      <c r="J738" t="n">
        <v>0</v>
      </c>
      <c r="K738" t="n">
        <v>0</v>
      </c>
      <c r="L738" t="n">
        <v>0</v>
      </c>
      <c r="M738" t="n">
        <v>0</v>
      </c>
      <c r="N738" t="n">
        <v>0</v>
      </c>
      <c r="O738" t="n">
        <v>0</v>
      </c>
      <c r="P738" t="n">
        <v>0</v>
      </c>
      <c r="Q738" t="n">
        <v>0</v>
      </c>
      <c r="R738" s="2" t="inlineStr"/>
    </row>
    <row r="739" ht="15" customHeight="1">
      <c r="A739" t="inlineStr">
        <is>
          <t>A 26558-2024</t>
        </is>
      </c>
      <c r="B739" s="1" t="n">
        <v>45469</v>
      </c>
      <c r="C739" s="1" t="n">
        <v>45566</v>
      </c>
      <c r="D739" t="inlineStr">
        <is>
          <t>NORRBOTTENS LÄN</t>
        </is>
      </c>
      <c r="E739" t="inlineStr">
        <is>
          <t>GÄLLIVARE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26543-2024</t>
        </is>
      </c>
      <c r="B740" s="1" t="n">
        <v>45469</v>
      </c>
      <c r="C740" s="1" t="n">
        <v>45566</v>
      </c>
      <c r="D740" t="inlineStr">
        <is>
          <t>NORRBOTTENS LÄN</t>
        </is>
      </c>
      <c r="E740" t="inlineStr">
        <is>
          <t>GÄLLIVARE</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26560-2024</t>
        </is>
      </c>
      <c r="B741" s="1" t="n">
        <v>45469</v>
      </c>
      <c r="C741" s="1" t="n">
        <v>45566</v>
      </c>
      <c r="D741" t="inlineStr">
        <is>
          <t>NORRBOTTENS LÄN</t>
        </is>
      </c>
      <c r="E741" t="inlineStr">
        <is>
          <t>GÄLLIVARE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26564-2024</t>
        </is>
      </c>
      <c r="B742" s="1" t="n">
        <v>45469</v>
      </c>
      <c r="C742" s="1" t="n">
        <v>45566</v>
      </c>
      <c r="D742" t="inlineStr">
        <is>
          <t>NORRBOTTENS LÄN</t>
        </is>
      </c>
      <c r="E742" t="inlineStr">
        <is>
          <t>GÄLLIVARE</t>
        </is>
      </c>
      <c r="F742" t="inlineStr">
        <is>
          <t>Sveaskog</t>
        </is>
      </c>
      <c r="G742" t="n">
        <v>6.4</v>
      </c>
      <c r="H742" t="n">
        <v>0</v>
      </c>
      <c r="I742" t="n">
        <v>0</v>
      </c>
      <c r="J742" t="n">
        <v>0</v>
      </c>
      <c r="K742" t="n">
        <v>0</v>
      </c>
      <c r="L742" t="n">
        <v>0</v>
      </c>
      <c r="M742" t="n">
        <v>0</v>
      </c>
      <c r="N742" t="n">
        <v>0</v>
      </c>
      <c r="O742" t="n">
        <v>0</v>
      </c>
      <c r="P742" t="n">
        <v>0</v>
      </c>
      <c r="Q742" t="n">
        <v>0</v>
      </c>
      <c r="R742" s="2" t="inlineStr"/>
    </row>
    <row r="743" ht="15" customHeight="1">
      <c r="A743" t="inlineStr">
        <is>
          <t>A 26823-2024</t>
        </is>
      </c>
      <c r="B743" s="1" t="n">
        <v>45470</v>
      </c>
      <c r="C743" s="1" t="n">
        <v>45566</v>
      </c>
      <c r="D743" t="inlineStr">
        <is>
          <t>NORRBOTTENS LÄN</t>
        </is>
      </c>
      <c r="E743" t="inlineStr">
        <is>
          <t>GÄLLIVARE</t>
        </is>
      </c>
      <c r="F743" t="inlineStr">
        <is>
          <t>Sveaskog</t>
        </is>
      </c>
      <c r="G743" t="n">
        <v>16.7</v>
      </c>
      <c r="H743" t="n">
        <v>0</v>
      </c>
      <c r="I743" t="n">
        <v>0</v>
      </c>
      <c r="J743" t="n">
        <v>0</v>
      </c>
      <c r="K743" t="n">
        <v>0</v>
      </c>
      <c r="L743" t="n">
        <v>0</v>
      </c>
      <c r="M743" t="n">
        <v>0</v>
      </c>
      <c r="N743" t="n">
        <v>0</v>
      </c>
      <c r="O743" t="n">
        <v>0</v>
      </c>
      <c r="P743" t="n">
        <v>0</v>
      </c>
      <c r="Q743" t="n">
        <v>0</v>
      </c>
      <c r="R743" s="2" t="inlineStr"/>
    </row>
    <row r="744" ht="15" customHeight="1">
      <c r="A744" t="inlineStr">
        <is>
          <t>A 27312-2024</t>
        </is>
      </c>
      <c r="B744" s="1" t="n">
        <v>45472</v>
      </c>
      <c r="C744" s="1" t="n">
        <v>45566</v>
      </c>
      <c r="D744" t="inlineStr">
        <is>
          <t>NORRBOTTENS LÄN</t>
        </is>
      </c>
      <c r="E744" t="inlineStr">
        <is>
          <t>GÄLLIVARE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27311-2024</t>
        </is>
      </c>
      <c r="B745" s="1" t="n">
        <v>45472</v>
      </c>
      <c r="C745" s="1" t="n">
        <v>45566</v>
      </c>
      <c r="D745" t="inlineStr">
        <is>
          <t>NORRBOTTENS LÄN</t>
        </is>
      </c>
      <c r="E745" t="inlineStr">
        <is>
          <t>GÄLLIVARE</t>
        </is>
      </c>
      <c r="F745" t="inlineStr">
        <is>
          <t>SCA</t>
        </is>
      </c>
      <c r="G745" t="n">
        <v>14.5</v>
      </c>
      <c r="H745" t="n">
        <v>0</v>
      </c>
      <c r="I745" t="n">
        <v>0</v>
      </c>
      <c r="J745" t="n">
        <v>0</v>
      </c>
      <c r="K745" t="n">
        <v>0</v>
      </c>
      <c r="L745" t="n">
        <v>0</v>
      </c>
      <c r="M745" t="n">
        <v>0</v>
      </c>
      <c r="N745" t="n">
        <v>0</v>
      </c>
      <c r="O745" t="n">
        <v>0</v>
      </c>
      <c r="P745" t="n">
        <v>0</v>
      </c>
      <c r="Q745" t="n">
        <v>0</v>
      </c>
      <c r="R745" s="2" t="inlineStr"/>
    </row>
    <row r="746" ht="15" customHeight="1">
      <c r="A746" t="inlineStr">
        <is>
          <t>A 27515-2024</t>
        </is>
      </c>
      <c r="B746" s="1" t="n">
        <v>45474</v>
      </c>
      <c r="C746" s="1" t="n">
        <v>45566</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27666-2024</t>
        </is>
      </c>
      <c r="B747" s="1" t="n">
        <v>45475</v>
      </c>
      <c r="C747" s="1" t="n">
        <v>45566</v>
      </c>
      <c r="D747" t="inlineStr">
        <is>
          <t>NORRBOTTENS LÄN</t>
        </is>
      </c>
      <c r="E747" t="inlineStr">
        <is>
          <t>GÄLLIVARE</t>
        </is>
      </c>
      <c r="G747" t="n">
        <v>2.1</v>
      </c>
      <c r="H747" t="n">
        <v>0</v>
      </c>
      <c r="I747" t="n">
        <v>0</v>
      </c>
      <c r="J747" t="n">
        <v>0</v>
      </c>
      <c r="K747" t="n">
        <v>0</v>
      </c>
      <c r="L747" t="n">
        <v>0</v>
      </c>
      <c r="M747" t="n">
        <v>0</v>
      </c>
      <c r="N747" t="n">
        <v>0</v>
      </c>
      <c r="O747" t="n">
        <v>0</v>
      </c>
      <c r="P747" t="n">
        <v>0</v>
      </c>
      <c r="Q747" t="n">
        <v>0</v>
      </c>
      <c r="R747" s="2" t="inlineStr"/>
    </row>
    <row r="748" ht="15" customHeight="1">
      <c r="A748" t="inlineStr">
        <is>
          <t>A 27883-2024</t>
        </is>
      </c>
      <c r="B748" s="1" t="n">
        <v>45475</v>
      </c>
      <c r="C748" s="1" t="n">
        <v>45566</v>
      </c>
      <c r="D748" t="inlineStr">
        <is>
          <t>NORRBOTTENS LÄN</t>
        </is>
      </c>
      <c r="E748" t="inlineStr">
        <is>
          <t>GÄLLIVARE</t>
        </is>
      </c>
      <c r="F748" t="inlineStr">
        <is>
          <t>Sveaskog</t>
        </is>
      </c>
      <c r="G748" t="n">
        <v>8.9</v>
      </c>
      <c r="H748" t="n">
        <v>0</v>
      </c>
      <c r="I748" t="n">
        <v>0</v>
      </c>
      <c r="J748" t="n">
        <v>0</v>
      </c>
      <c r="K748" t="n">
        <v>0</v>
      </c>
      <c r="L748" t="n">
        <v>0</v>
      </c>
      <c r="M748" t="n">
        <v>0</v>
      </c>
      <c r="N748" t="n">
        <v>0</v>
      </c>
      <c r="O748" t="n">
        <v>0</v>
      </c>
      <c r="P748" t="n">
        <v>0</v>
      </c>
      <c r="Q748" t="n">
        <v>0</v>
      </c>
      <c r="R748" s="2" t="inlineStr"/>
    </row>
    <row r="749" ht="15" customHeight="1">
      <c r="A749" t="inlineStr">
        <is>
          <t>A 27882-2024</t>
        </is>
      </c>
      <c r="B749" s="1" t="n">
        <v>45475</v>
      </c>
      <c r="C749" s="1" t="n">
        <v>45566</v>
      </c>
      <c r="D749" t="inlineStr">
        <is>
          <t>NORRBOTTENS LÄN</t>
        </is>
      </c>
      <c r="E749" t="inlineStr">
        <is>
          <t>GÄLLIVARE</t>
        </is>
      </c>
      <c r="F749" t="inlineStr">
        <is>
          <t>Sveaskog</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27683-2024</t>
        </is>
      </c>
      <c r="B750" s="1" t="n">
        <v>45475</v>
      </c>
      <c r="C750" s="1" t="n">
        <v>45566</v>
      </c>
      <c r="D750" t="inlineStr">
        <is>
          <t>NORRBOTTENS LÄN</t>
        </is>
      </c>
      <c r="E750" t="inlineStr">
        <is>
          <t>GÄLLIVARE</t>
        </is>
      </c>
      <c r="F750" t="inlineStr">
        <is>
          <t>Sveaskog</t>
        </is>
      </c>
      <c r="G750" t="n">
        <v>12.9</v>
      </c>
      <c r="H750" t="n">
        <v>0</v>
      </c>
      <c r="I750" t="n">
        <v>0</v>
      </c>
      <c r="J750" t="n">
        <v>0</v>
      </c>
      <c r="K750" t="n">
        <v>0</v>
      </c>
      <c r="L750" t="n">
        <v>0</v>
      </c>
      <c r="M750" t="n">
        <v>0</v>
      </c>
      <c r="N750" t="n">
        <v>0</v>
      </c>
      <c r="O750" t="n">
        <v>0</v>
      </c>
      <c r="P750" t="n">
        <v>0</v>
      </c>
      <c r="Q750" t="n">
        <v>0</v>
      </c>
      <c r="R750" s="2" t="inlineStr"/>
    </row>
    <row r="751" ht="15" customHeight="1">
      <c r="A751" t="inlineStr">
        <is>
          <t>A 27725-2024</t>
        </is>
      </c>
      <c r="B751" s="1" t="n">
        <v>45475</v>
      </c>
      <c r="C751" s="1" t="n">
        <v>45566</v>
      </c>
      <c r="D751" t="inlineStr">
        <is>
          <t>NORRBOTTENS LÄN</t>
        </is>
      </c>
      <c r="E751" t="inlineStr">
        <is>
          <t>GÄLLIVARE</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28046-2024</t>
        </is>
      </c>
      <c r="B752" s="1" t="n">
        <v>45476</v>
      </c>
      <c r="C752" s="1" t="n">
        <v>45566</v>
      </c>
      <c r="D752" t="inlineStr">
        <is>
          <t>NORRBOTTENS LÄN</t>
        </is>
      </c>
      <c r="E752" t="inlineStr">
        <is>
          <t>GÄLLIVARE</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28115-2024</t>
        </is>
      </c>
      <c r="B753" s="1" t="n">
        <v>45476</v>
      </c>
      <c r="C753" s="1" t="n">
        <v>45566</v>
      </c>
      <c r="D753" t="inlineStr">
        <is>
          <t>NORRBOTTENS LÄN</t>
        </is>
      </c>
      <c r="E753" t="inlineStr">
        <is>
          <t>GÄLLIVARE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28111-2024</t>
        </is>
      </c>
      <c r="B754" s="1" t="n">
        <v>45476</v>
      </c>
      <c r="C754" s="1" t="n">
        <v>45566</v>
      </c>
      <c r="D754" t="inlineStr">
        <is>
          <t>NORRBOTTENS LÄN</t>
        </is>
      </c>
      <c r="E754" t="inlineStr">
        <is>
          <t>GÄLLIVARE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28193-2024</t>
        </is>
      </c>
      <c r="B755" s="1" t="n">
        <v>45476</v>
      </c>
      <c r="C755" s="1" t="n">
        <v>45566</v>
      </c>
      <c r="D755" t="inlineStr">
        <is>
          <t>NORRBOTTENS LÄN</t>
        </is>
      </c>
      <c r="E755" t="inlineStr">
        <is>
          <t>GÄLLIVARE</t>
        </is>
      </c>
      <c r="G755" t="n">
        <v>2.9</v>
      </c>
      <c r="H755" t="n">
        <v>0</v>
      </c>
      <c r="I755" t="n">
        <v>0</v>
      </c>
      <c r="J755" t="n">
        <v>0</v>
      </c>
      <c r="K755" t="n">
        <v>0</v>
      </c>
      <c r="L755" t="n">
        <v>0</v>
      </c>
      <c r="M755" t="n">
        <v>0</v>
      </c>
      <c r="N755" t="n">
        <v>0</v>
      </c>
      <c r="O755" t="n">
        <v>0</v>
      </c>
      <c r="P755" t="n">
        <v>0</v>
      </c>
      <c r="Q755" t="n">
        <v>0</v>
      </c>
      <c r="R755" s="2" t="inlineStr"/>
    </row>
    <row r="756" ht="15" customHeight="1">
      <c r="A756" t="inlineStr">
        <is>
          <t>A 28010-2024</t>
        </is>
      </c>
      <c r="B756" s="1" t="n">
        <v>45476</v>
      </c>
      <c r="C756" s="1" t="n">
        <v>45566</v>
      </c>
      <c r="D756" t="inlineStr">
        <is>
          <t>NORRBOTTENS LÄN</t>
        </is>
      </c>
      <c r="E756" t="inlineStr">
        <is>
          <t>GÄLLIVARE</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28104-2024</t>
        </is>
      </c>
      <c r="B757" s="1" t="n">
        <v>45476</v>
      </c>
      <c r="C757" s="1" t="n">
        <v>45566</v>
      </c>
      <c r="D757" t="inlineStr">
        <is>
          <t>NORRBOTTENS LÄN</t>
        </is>
      </c>
      <c r="E757" t="inlineStr">
        <is>
          <t>GÄLLIVARE</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28700-2024</t>
        </is>
      </c>
      <c r="B758" s="1" t="n">
        <v>45478</v>
      </c>
      <c r="C758" s="1" t="n">
        <v>45566</v>
      </c>
      <c r="D758" t="inlineStr">
        <is>
          <t>NORRBOTTENS LÄN</t>
        </is>
      </c>
      <c r="E758" t="inlineStr">
        <is>
          <t>GÄLLIVARE</t>
        </is>
      </c>
      <c r="F758" t="inlineStr">
        <is>
          <t>Sveaskog</t>
        </is>
      </c>
      <c r="G758" t="n">
        <v>4</v>
      </c>
      <c r="H758" t="n">
        <v>0</v>
      </c>
      <c r="I758" t="n">
        <v>0</v>
      </c>
      <c r="J758" t="n">
        <v>0</v>
      </c>
      <c r="K758" t="n">
        <v>0</v>
      </c>
      <c r="L758" t="n">
        <v>0</v>
      </c>
      <c r="M758" t="n">
        <v>0</v>
      </c>
      <c r="N758" t="n">
        <v>0</v>
      </c>
      <c r="O758" t="n">
        <v>0</v>
      </c>
      <c r="P758" t="n">
        <v>0</v>
      </c>
      <c r="Q758" t="n">
        <v>0</v>
      </c>
      <c r="R758" s="2" t="inlineStr"/>
    </row>
    <row r="759" ht="15" customHeight="1">
      <c r="A759" t="inlineStr">
        <is>
          <t>A 29010-2024</t>
        </is>
      </c>
      <c r="B759" s="1" t="n">
        <v>45481</v>
      </c>
      <c r="C759" s="1" t="n">
        <v>45566</v>
      </c>
      <c r="D759" t="inlineStr">
        <is>
          <t>NORRBOTTENS LÄN</t>
        </is>
      </c>
      <c r="E759" t="inlineStr">
        <is>
          <t>GÄLLIVARE</t>
        </is>
      </c>
      <c r="G759" t="n">
        <v>5.5</v>
      </c>
      <c r="H759" t="n">
        <v>0</v>
      </c>
      <c r="I759" t="n">
        <v>0</v>
      </c>
      <c r="J759" t="n">
        <v>0</v>
      </c>
      <c r="K759" t="n">
        <v>0</v>
      </c>
      <c r="L759" t="n">
        <v>0</v>
      </c>
      <c r="M759" t="n">
        <v>0</v>
      </c>
      <c r="N759" t="n">
        <v>0</v>
      </c>
      <c r="O759" t="n">
        <v>0</v>
      </c>
      <c r="P759" t="n">
        <v>0</v>
      </c>
      <c r="Q759" t="n">
        <v>0</v>
      </c>
      <c r="R759" s="2" t="inlineStr"/>
    </row>
    <row r="760" ht="15" customHeight="1">
      <c r="A760" t="inlineStr">
        <is>
          <t>A 29011-2024</t>
        </is>
      </c>
      <c r="B760" s="1" t="n">
        <v>45481</v>
      </c>
      <c r="C760" s="1" t="n">
        <v>45566</v>
      </c>
      <c r="D760" t="inlineStr">
        <is>
          <t>NORRBOTTENS LÄN</t>
        </is>
      </c>
      <c r="E760" t="inlineStr">
        <is>
          <t>GÄLLIVARE</t>
        </is>
      </c>
      <c r="G760" t="n">
        <v>0.7</v>
      </c>
      <c r="H760" t="n">
        <v>0</v>
      </c>
      <c r="I760" t="n">
        <v>0</v>
      </c>
      <c r="J760" t="n">
        <v>0</v>
      </c>
      <c r="K760" t="n">
        <v>0</v>
      </c>
      <c r="L760" t="n">
        <v>0</v>
      </c>
      <c r="M760" t="n">
        <v>0</v>
      </c>
      <c r="N760" t="n">
        <v>0</v>
      </c>
      <c r="O760" t="n">
        <v>0</v>
      </c>
      <c r="P760" t="n">
        <v>0</v>
      </c>
      <c r="Q760" t="n">
        <v>0</v>
      </c>
      <c r="R760" s="2" t="inlineStr"/>
    </row>
    <row r="761" ht="15" customHeight="1">
      <c r="A761" t="inlineStr">
        <is>
          <t>A 29254-2024</t>
        </is>
      </c>
      <c r="B761" s="1" t="n">
        <v>45482</v>
      </c>
      <c r="C761" s="1" t="n">
        <v>45566</v>
      </c>
      <c r="D761" t="inlineStr">
        <is>
          <t>NORRBOTTENS LÄN</t>
        </is>
      </c>
      <c r="E761" t="inlineStr">
        <is>
          <t>GÄLLIVARE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29253-2024</t>
        </is>
      </c>
      <c r="B762" s="1" t="n">
        <v>45482</v>
      </c>
      <c r="C762" s="1" t="n">
        <v>45566</v>
      </c>
      <c r="D762" t="inlineStr">
        <is>
          <t>NORRBOTTENS LÄN</t>
        </is>
      </c>
      <c r="E762" t="inlineStr">
        <is>
          <t>GÄLLIVARE</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29381-2024</t>
        </is>
      </c>
      <c r="B763" s="1" t="n">
        <v>45483</v>
      </c>
      <c r="C763" s="1" t="n">
        <v>45566</v>
      </c>
      <c r="D763" t="inlineStr">
        <is>
          <t>NORRBOTTENS LÄN</t>
        </is>
      </c>
      <c r="E763" t="inlineStr">
        <is>
          <t>GÄLLIVARE</t>
        </is>
      </c>
      <c r="F763" t="inlineStr">
        <is>
          <t>Sveaskog</t>
        </is>
      </c>
      <c r="G763" t="n">
        <v>7.4</v>
      </c>
      <c r="H763" t="n">
        <v>0</v>
      </c>
      <c r="I763" t="n">
        <v>0</v>
      </c>
      <c r="J763" t="n">
        <v>0</v>
      </c>
      <c r="K763" t="n">
        <v>0</v>
      </c>
      <c r="L763" t="n">
        <v>0</v>
      </c>
      <c r="M763" t="n">
        <v>0</v>
      </c>
      <c r="N763" t="n">
        <v>0</v>
      </c>
      <c r="O763" t="n">
        <v>0</v>
      </c>
      <c r="P763" t="n">
        <v>0</v>
      </c>
      <c r="Q763" t="n">
        <v>0</v>
      </c>
      <c r="R763" s="2" t="inlineStr"/>
    </row>
    <row r="764" ht="15" customHeight="1">
      <c r="A764" t="inlineStr">
        <is>
          <t>A 29385-2024</t>
        </is>
      </c>
      <c r="B764" s="1" t="n">
        <v>45483</v>
      </c>
      <c r="C764" s="1" t="n">
        <v>45566</v>
      </c>
      <c r="D764" t="inlineStr">
        <is>
          <t>NORRBOTTENS LÄN</t>
        </is>
      </c>
      <c r="E764" t="inlineStr">
        <is>
          <t>GÄLLIVARE</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29750-2024</t>
        </is>
      </c>
      <c r="B765" s="1" t="n">
        <v>45485</v>
      </c>
      <c r="C765" s="1" t="n">
        <v>45566</v>
      </c>
      <c r="D765" t="inlineStr">
        <is>
          <t>NORRBOTTENS LÄN</t>
        </is>
      </c>
      <c r="E765" t="inlineStr">
        <is>
          <t>GÄLLIVARE</t>
        </is>
      </c>
      <c r="F765" t="inlineStr">
        <is>
          <t>Sveaskog</t>
        </is>
      </c>
      <c r="G765" t="n">
        <v>7.9</v>
      </c>
      <c r="H765" t="n">
        <v>0</v>
      </c>
      <c r="I765" t="n">
        <v>0</v>
      </c>
      <c r="J765" t="n">
        <v>0</v>
      </c>
      <c r="K765" t="n">
        <v>0</v>
      </c>
      <c r="L765" t="n">
        <v>0</v>
      </c>
      <c r="M765" t="n">
        <v>0</v>
      </c>
      <c r="N765" t="n">
        <v>0</v>
      </c>
      <c r="O765" t="n">
        <v>0</v>
      </c>
      <c r="P765" t="n">
        <v>0</v>
      </c>
      <c r="Q765" t="n">
        <v>0</v>
      </c>
      <c r="R765" s="2" t="inlineStr"/>
    </row>
    <row r="766" ht="15" customHeight="1">
      <c r="A766" t="inlineStr">
        <is>
          <t>A 29782-2024</t>
        </is>
      </c>
      <c r="B766" s="1" t="n">
        <v>45485</v>
      </c>
      <c r="C766" s="1" t="n">
        <v>45566</v>
      </c>
      <c r="D766" t="inlineStr">
        <is>
          <t>NORRBOTTENS LÄN</t>
        </is>
      </c>
      <c r="E766" t="inlineStr">
        <is>
          <t>GÄLLIVARE</t>
        </is>
      </c>
      <c r="F766" t="inlineStr">
        <is>
          <t>Sveaskog</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29751-2024</t>
        </is>
      </c>
      <c r="B767" s="1" t="n">
        <v>45485</v>
      </c>
      <c r="C767" s="1" t="n">
        <v>45566</v>
      </c>
      <c r="D767" t="inlineStr">
        <is>
          <t>NORRBOTTENS LÄN</t>
        </is>
      </c>
      <c r="E767" t="inlineStr">
        <is>
          <t>GÄLLIVARE</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29760-2024</t>
        </is>
      </c>
      <c r="B768" s="1" t="n">
        <v>45485</v>
      </c>
      <c r="C768" s="1" t="n">
        <v>45566</v>
      </c>
      <c r="D768" t="inlineStr">
        <is>
          <t>NORRBOTTENS LÄN</t>
        </is>
      </c>
      <c r="E768" t="inlineStr">
        <is>
          <t>GÄLLIVARE</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29753-2024</t>
        </is>
      </c>
      <c r="B769" s="1" t="n">
        <v>45485</v>
      </c>
      <c r="C769" s="1" t="n">
        <v>45566</v>
      </c>
      <c r="D769" t="inlineStr">
        <is>
          <t>NORRBOTTENS LÄN</t>
        </is>
      </c>
      <c r="E769" t="inlineStr">
        <is>
          <t>GÄLLIVARE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29781-2024</t>
        </is>
      </c>
      <c r="B770" s="1" t="n">
        <v>45485</v>
      </c>
      <c r="C770" s="1" t="n">
        <v>45566</v>
      </c>
      <c r="D770" t="inlineStr">
        <is>
          <t>NORRBOTTENS LÄN</t>
        </is>
      </c>
      <c r="E770" t="inlineStr">
        <is>
          <t>GÄLLIVARE</t>
        </is>
      </c>
      <c r="F770" t="inlineStr">
        <is>
          <t>Sveaskog</t>
        </is>
      </c>
      <c r="G770" t="n">
        <v>23.4</v>
      </c>
      <c r="H770" t="n">
        <v>0</v>
      </c>
      <c r="I770" t="n">
        <v>0</v>
      </c>
      <c r="J770" t="n">
        <v>0</v>
      </c>
      <c r="K770" t="n">
        <v>0</v>
      </c>
      <c r="L770" t="n">
        <v>0</v>
      </c>
      <c r="M770" t="n">
        <v>0</v>
      </c>
      <c r="N770" t="n">
        <v>0</v>
      </c>
      <c r="O770" t="n">
        <v>0</v>
      </c>
      <c r="P770" t="n">
        <v>0</v>
      </c>
      <c r="Q770" t="n">
        <v>0</v>
      </c>
      <c r="R770" s="2" t="inlineStr"/>
    </row>
    <row r="771" ht="15" customHeight="1">
      <c r="A771" t="inlineStr">
        <is>
          <t>A 30075-2024</t>
        </is>
      </c>
      <c r="B771" s="1" t="n">
        <v>45489</v>
      </c>
      <c r="C771" s="1" t="n">
        <v>45566</v>
      </c>
      <c r="D771" t="inlineStr">
        <is>
          <t>NORRBOTTENS LÄN</t>
        </is>
      </c>
      <c r="E771" t="inlineStr">
        <is>
          <t>GÄLLIVARE</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30073-2024</t>
        </is>
      </c>
      <c r="B772" s="1" t="n">
        <v>45489</v>
      </c>
      <c r="C772" s="1" t="n">
        <v>45566</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30367-2024</t>
        </is>
      </c>
      <c r="B773" s="1" t="n">
        <v>45491</v>
      </c>
      <c r="C773" s="1" t="n">
        <v>45566</v>
      </c>
      <c r="D773" t="inlineStr">
        <is>
          <t>NORRBOTTENS LÄN</t>
        </is>
      </c>
      <c r="E773" t="inlineStr">
        <is>
          <t>GÄLLIVARE</t>
        </is>
      </c>
      <c r="G773" t="n">
        <v>8</v>
      </c>
      <c r="H773" t="n">
        <v>0</v>
      </c>
      <c r="I773" t="n">
        <v>0</v>
      </c>
      <c r="J773" t="n">
        <v>0</v>
      </c>
      <c r="K773" t="n">
        <v>0</v>
      </c>
      <c r="L773" t="n">
        <v>0</v>
      </c>
      <c r="M773" t="n">
        <v>0</v>
      </c>
      <c r="N773" t="n">
        <v>0</v>
      </c>
      <c r="O773" t="n">
        <v>0</v>
      </c>
      <c r="P773" t="n">
        <v>0</v>
      </c>
      <c r="Q773" t="n">
        <v>0</v>
      </c>
      <c r="R773" s="2" t="inlineStr"/>
    </row>
    <row r="774" ht="15" customHeight="1">
      <c r="A774" t="inlineStr">
        <is>
          <t>A 30397-2024</t>
        </is>
      </c>
      <c r="B774" s="1" t="n">
        <v>45491</v>
      </c>
      <c r="C774" s="1" t="n">
        <v>45566</v>
      </c>
      <c r="D774" t="inlineStr">
        <is>
          <t>NORRBOTTENS LÄN</t>
        </is>
      </c>
      <c r="E774" t="inlineStr">
        <is>
          <t>GÄLLIVARE</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30364-2024</t>
        </is>
      </c>
      <c r="B775" s="1" t="n">
        <v>45491</v>
      </c>
      <c r="C775" s="1" t="n">
        <v>45566</v>
      </c>
      <c r="D775" t="inlineStr">
        <is>
          <t>NORRBOTTENS LÄN</t>
        </is>
      </c>
      <c r="E775" t="inlineStr">
        <is>
          <t>GÄLLIVARE</t>
        </is>
      </c>
      <c r="G775" t="n">
        <v>3.3</v>
      </c>
      <c r="H775" t="n">
        <v>0</v>
      </c>
      <c r="I775" t="n">
        <v>0</v>
      </c>
      <c r="J775" t="n">
        <v>0</v>
      </c>
      <c r="K775" t="n">
        <v>0</v>
      </c>
      <c r="L775" t="n">
        <v>0</v>
      </c>
      <c r="M775" t="n">
        <v>0</v>
      </c>
      <c r="N775" t="n">
        <v>0</v>
      </c>
      <c r="O775" t="n">
        <v>0</v>
      </c>
      <c r="P775" t="n">
        <v>0</v>
      </c>
      <c r="Q775" t="n">
        <v>0</v>
      </c>
      <c r="R775" s="2" t="inlineStr"/>
    </row>
    <row r="776" ht="15" customHeight="1">
      <c r="A776" t="inlineStr">
        <is>
          <t>A 30431-2024</t>
        </is>
      </c>
      <c r="B776" s="1" t="n">
        <v>45491</v>
      </c>
      <c r="C776" s="1" t="n">
        <v>45566</v>
      </c>
      <c r="D776" t="inlineStr">
        <is>
          <t>NORRBOTTENS LÄN</t>
        </is>
      </c>
      <c r="E776" t="inlineStr">
        <is>
          <t>GÄLLIVARE</t>
        </is>
      </c>
      <c r="G776" t="n">
        <v>7.1</v>
      </c>
      <c r="H776" t="n">
        <v>0</v>
      </c>
      <c r="I776" t="n">
        <v>0</v>
      </c>
      <c r="J776" t="n">
        <v>0</v>
      </c>
      <c r="K776" t="n">
        <v>0</v>
      </c>
      <c r="L776" t="n">
        <v>0</v>
      </c>
      <c r="M776" t="n">
        <v>0</v>
      </c>
      <c r="N776" t="n">
        <v>0</v>
      </c>
      <c r="O776" t="n">
        <v>0</v>
      </c>
      <c r="P776" t="n">
        <v>0</v>
      </c>
      <c r="Q776" t="n">
        <v>0</v>
      </c>
      <c r="R776" s="2" t="inlineStr"/>
    </row>
    <row r="777" ht="15" customHeight="1">
      <c r="A777" t="inlineStr">
        <is>
          <t>A 30847-2024</t>
        </is>
      </c>
      <c r="B777" s="1" t="n">
        <v>45497</v>
      </c>
      <c r="C777" s="1" t="n">
        <v>45566</v>
      </c>
      <c r="D777" t="inlineStr">
        <is>
          <t>NORRBOTTENS LÄN</t>
        </is>
      </c>
      <c r="E777" t="inlineStr">
        <is>
          <t>GÄLLIVARE</t>
        </is>
      </c>
      <c r="F777" t="inlineStr">
        <is>
          <t>Sveaskog</t>
        </is>
      </c>
      <c r="G777" t="n">
        <v>28.3</v>
      </c>
      <c r="H777" t="n">
        <v>0</v>
      </c>
      <c r="I777" t="n">
        <v>0</v>
      </c>
      <c r="J777" t="n">
        <v>0</v>
      </c>
      <c r="K777" t="n">
        <v>0</v>
      </c>
      <c r="L777" t="n">
        <v>0</v>
      </c>
      <c r="M777" t="n">
        <v>0</v>
      </c>
      <c r="N777" t="n">
        <v>0</v>
      </c>
      <c r="O777" t="n">
        <v>0</v>
      </c>
      <c r="P777" t="n">
        <v>0</v>
      </c>
      <c r="Q777" t="n">
        <v>0</v>
      </c>
      <c r="R777" s="2" t="inlineStr"/>
    </row>
    <row r="778" ht="15" customHeight="1">
      <c r="A778" t="inlineStr">
        <is>
          <t>A 31290-2024</t>
        </is>
      </c>
      <c r="B778" s="1" t="n">
        <v>45504</v>
      </c>
      <c r="C778" s="1" t="n">
        <v>45566</v>
      </c>
      <c r="D778" t="inlineStr">
        <is>
          <t>NORRBOTTENS LÄN</t>
        </is>
      </c>
      <c r="E778" t="inlineStr">
        <is>
          <t>GÄLLIVARE</t>
        </is>
      </c>
      <c r="F778" t="inlineStr">
        <is>
          <t>Sveaskog</t>
        </is>
      </c>
      <c r="G778" t="n">
        <v>5.8</v>
      </c>
      <c r="H778" t="n">
        <v>0</v>
      </c>
      <c r="I778" t="n">
        <v>0</v>
      </c>
      <c r="J778" t="n">
        <v>0</v>
      </c>
      <c r="K778" t="n">
        <v>0</v>
      </c>
      <c r="L778" t="n">
        <v>0</v>
      </c>
      <c r="M778" t="n">
        <v>0</v>
      </c>
      <c r="N778" t="n">
        <v>0</v>
      </c>
      <c r="O778" t="n">
        <v>0</v>
      </c>
      <c r="P778" t="n">
        <v>0</v>
      </c>
      <c r="Q778" t="n">
        <v>0</v>
      </c>
      <c r="R778" s="2" t="inlineStr"/>
    </row>
    <row r="779" ht="15" customHeight="1">
      <c r="A779" t="inlineStr">
        <is>
          <t>A 31450-2024</t>
        </is>
      </c>
      <c r="B779" s="1" t="n">
        <v>45505</v>
      </c>
      <c r="C779" s="1" t="n">
        <v>45566</v>
      </c>
      <c r="D779" t="inlineStr">
        <is>
          <t>NORRBOTTENS LÄN</t>
        </is>
      </c>
      <c r="E779" t="inlineStr">
        <is>
          <t>GÄLLIVARE</t>
        </is>
      </c>
      <c r="G779" t="n">
        <v>5.5</v>
      </c>
      <c r="H779" t="n">
        <v>0</v>
      </c>
      <c r="I779" t="n">
        <v>0</v>
      </c>
      <c r="J779" t="n">
        <v>0</v>
      </c>
      <c r="K779" t="n">
        <v>0</v>
      </c>
      <c r="L779" t="n">
        <v>0</v>
      </c>
      <c r="M779" t="n">
        <v>0</v>
      </c>
      <c r="N779" t="n">
        <v>0</v>
      </c>
      <c r="O779" t="n">
        <v>0</v>
      </c>
      <c r="P779" t="n">
        <v>0</v>
      </c>
      <c r="Q779" t="n">
        <v>0</v>
      </c>
      <c r="R779" s="2" t="inlineStr"/>
    </row>
    <row r="780" ht="15" customHeight="1">
      <c r="A780" t="inlineStr">
        <is>
          <t>A 32801-2024</t>
        </is>
      </c>
      <c r="B780" s="1" t="n">
        <v>45516</v>
      </c>
      <c r="C780" s="1" t="n">
        <v>45566</v>
      </c>
      <c r="D780" t="inlineStr">
        <is>
          <t>NORRBOTTENS LÄN</t>
        </is>
      </c>
      <c r="E780" t="inlineStr">
        <is>
          <t>GÄLLIVARE</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34741-2024</t>
        </is>
      </c>
      <c r="B781" s="1" t="n">
        <v>45526</v>
      </c>
      <c r="C781" s="1" t="n">
        <v>45566</v>
      </c>
      <c r="D781" t="inlineStr">
        <is>
          <t>NORRBOTTENS LÄN</t>
        </is>
      </c>
      <c r="E781" t="inlineStr">
        <is>
          <t>GÄLLIVARE</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34745-2024</t>
        </is>
      </c>
      <c r="B782" s="1" t="n">
        <v>45526</v>
      </c>
      <c r="C782" s="1" t="n">
        <v>45566</v>
      </c>
      <c r="D782" t="inlineStr">
        <is>
          <t>NORRBOTTENS LÄN</t>
        </is>
      </c>
      <c r="E782" t="inlineStr">
        <is>
          <t>GÄLLIVARE</t>
        </is>
      </c>
      <c r="F782" t="inlineStr">
        <is>
          <t>Sveaskog</t>
        </is>
      </c>
      <c r="G782" t="n">
        <v>8.4</v>
      </c>
      <c r="H782" t="n">
        <v>0</v>
      </c>
      <c r="I782" t="n">
        <v>0</v>
      </c>
      <c r="J782" t="n">
        <v>0</v>
      </c>
      <c r="K782" t="n">
        <v>0</v>
      </c>
      <c r="L782" t="n">
        <v>0</v>
      </c>
      <c r="M782" t="n">
        <v>0</v>
      </c>
      <c r="N782" t="n">
        <v>0</v>
      </c>
      <c r="O782" t="n">
        <v>0</v>
      </c>
      <c r="P782" t="n">
        <v>0</v>
      </c>
      <c r="Q782" t="n">
        <v>0</v>
      </c>
      <c r="R782" s="2" t="inlineStr"/>
    </row>
    <row r="783" ht="15" customHeight="1">
      <c r="A783" t="inlineStr">
        <is>
          <t>A 35307-2024</t>
        </is>
      </c>
      <c r="B783" s="1" t="n">
        <v>45530</v>
      </c>
      <c r="C783" s="1" t="n">
        <v>45566</v>
      </c>
      <c r="D783" t="inlineStr">
        <is>
          <t>NORRBOTTENS LÄN</t>
        </is>
      </c>
      <c r="E783" t="inlineStr">
        <is>
          <t>GÄLLIVARE</t>
        </is>
      </c>
      <c r="F783" t="inlineStr">
        <is>
          <t>Sveaskog</t>
        </is>
      </c>
      <c r="G783" t="n">
        <v>15.8</v>
      </c>
      <c r="H783" t="n">
        <v>0</v>
      </c>
      <c r="I783" t="n">
        <v>0</v>
      </c>
      <c r="J783" t="n">
        <v>0</v>
      </c>
      <c r="K783" t="n">
        <v>0</v>
      </c>
      <c r="L783" t="n">
        <v>0</v>
      </c>
      <c r="M783" t="n">
        <v>0</v>
      </c>
      <c r="N783" t="n">
        <v>0</v>
      </c>
      <c r="O783" t="n">
        <v>0</v>
      </c>
      <c r="P783" t="n">
        <v>0</v>
      </c>
      <c r="Q783" t="n">
        <v>0</v>
      </c>
      <c r="R783" s="2" t="inlineStr"/>
    </row>
    <row r="784" ht="15" customHeight="1">
      <c r="A784" t="inlineStr">
        <is>
          <t>A 35323-2024</t>
        </is>
      </c>
      <c r="B784" s="1" t="n">
        <v>45530</v>
      </c>
      <c r="C784" s="1" t="n">
        <v>45566</v>
      </c>
      <c r="D784" t="inlineStr">
        <is>
          <t>NORRBOTTENS LÄN</t>
        </is>
      </c>
      <c r="E784" t="inlineStr">
        <is>
          <t>GÄLLIVARE</t>
        </is>
      </c>
      <c r="F784" t="inlineStr">
        <is>
          <t>Sveaskog</t>
        </is>
      </c>
      <c r="G784" t="n">
        <v>8.6</v>
      </c>
      <c r="H784" t="n">
        <v>0</v>
      </c>
      <c r="I784" t="n">
        <v>0</v>
      </c>
      <c r="J784" t="n">
        <v>0</v>
      </c>
      <c r="K784" t="n">
        <v>0</v>
      </c>
      <c r="L784" t="n">
        <v>0</v>
      </c>
      <c r="M784" t="n">
        <v>0</v>
      </c>
      <c r="N784" t="n">
        <v>0</v>
      </c>
      <c r="O784" t="n">
        <v>0</v>
      </c>
      <c r="P784" t="n">
        <v>0</v>
      </c>
      <c r="Q784" t="n">
        <v>0</v>
      </c>
      <c r="R784" s="2" t="inlineStr"/>
    </row>
    <row r="785" ht="15" customHeight="1">
      <c r="A785" t="inlineStr">
        <is>
          <t>A 36511-2024</t>
        </is>
      </c>
      <c r="B785" s="1" t="n">
        <v>45537</v>
      </c>
      <c r="C785" s="1" t="n">
        <v>45566</v>
      </c>
      <c r="D785" t="inlineStr">
        <is>
          <t>NORRBOTTENS LÄN</t>
        </is>
      </c>
      <c r="E785" t="inlineStr">
        <is>
          <t>GÄLLIVARE</t>
        </is>
      </c>
      <c r="F785" t="inlineStr">
        <is>
          <t>Sveaskog</t>
        </is>
      </c>
      <c r="G785" t="n">
        <v>9.4</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45566</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37149-2024</t>
        </is>
      </c>
      <c r="B787" s="1" t="n">
        <v>45539</v>
      </c>
      <c r="C787" s="1" t="n">
        <v>45566</v>
      </c>
      <c r="D787" t="inlineStr">
        <is>
          <t>NORRBOTTENS LÄN</t>
        </is>
      </c>
      <c r="E787" t="inlineStr">
        <is>
          <t>GÄLLIVARE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38720-2024</t>
        </is>
      </c>
      <c r="B788" s="1" t="n">
        <v>45547</v>
      </c>
      <c r="C788" s="1" t="n">
        <v>45566</v>
      </c>
      <c r="D788" t="inlineStr">
        <is>
          <t>NORRBOTTENS LÄN</t>
        </is>
      </c>
      <c r="E788" t="inlineStr">
        <is>
          <t>GÄLLIVARE</t>
        </is>
      </c>
      <c r="F788" t="inlineStr">
        <is>
          <t>Sveaskog</t>
        </is>
      </c>
      <c r="G788" t="n">
        <v>4.2</v>
      </c>
      <c r="H788" t="n">
        <v>0</v>
      </c>
      <c r="I788" t="n">
        <v>0</v>
      </c>
      <c r="J788" t="n">
        <v>0</v>
      </c>
      <c r="K788" t="n">
        <v>0</v>
      </c>
      <c r="L788" t="n">
        <v>0</v>
      </c>
      <c r="M788" t="n">
        <v>0</v>
      </c>
      <c r="N788" t="n">
        <v>0</v>
      </c>
      <c r="O788" t="n">
        <v>0</v>
      </c>
      <c r="P788" t="n">
        <v>0</v>
      </c>
      <c r="Q788" t="n">
        <v>0</v>
      </c>
      <c r="R788" s="2" t="inlineStr"/>
    </row>
    <row r="789" ht="15" customHeight="1">
      <c r="A789" t="inlineStr">
        <is>
          <t>A 38847-2024</t>
        </is>
      </c>
      <c r="B789" s="1" t="n">
        <v>45547</v>
      </c>
      <c r="C789" s="1" t="n">
        <v>45566</v>
      </c>
      <c r="D789" t="inlineStr">
        <is>
          <t>NORRBOTTENS LÄN</t>
        </is>
      </c>
      <c r="E789" t="inlineStr">
        <is>
          <t>GÄLLIVARE</t>
        </is>
      </c>
      <c r="G789" t="n">
        <v>20.9</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45566</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39060-2024</t>
        </is>
      </c>
      <c r="B791" s="1" t="n">
        <v>45548</v>
      </c>
      <c r="C791" s="1" t="n">
        <v>45566</v>
      </c>
      <c r="D791" t="inlineStr">
        <is>
          <t>NORRBOTTENS LÄN</t>
        </is>
      </c>
      <c r="E791" t="inlineStr">
        <is>
          <t>GÄLLIVARE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39757-2024</t>
        </is>
      </c>
      <c r="B792" s="1" t="n">
        <v>45552</v>
      </c>
      <c r="C792" s="1" t="n">
        <v>45566</v>
      </c>
      <c r="D792" t="inlineStr">
        <is>
          <t>NORRBOTTENS LÄN</t>
        </is>
      </c>
      <c r="E792" t="inlineStr">
        <is>
          <t>GÄLLIVARE</t>
        </is>
      </c>
      <c r="F792" t="inlineStr">
        <is>
          <t>Allmännings- och besparingsskogar</t>
        </is>
      </c>
      <c r="G792" t="n">
        <v>36.2</v>
      </c>
      <c r="H792" t="n">
        <v>0</v>
      </c>
      <c r="I792" t="n">
        <v>0</v>
      </c>
      <c r="J792" t="n">
        <v>0</v>
      </c>
      <c r="K792" t="n">
        <v>0</v>
      </c>
      <c r="L792" t="n">
        <v>0</v>
      </c>
      <c r="M792" t="n">
        <v>0</v>
      </c>
      <c r="N792" t="n">
        <v>0</v>
      </c>
      <c r="O792" t="n">
        <v>0</v>
      </c>
      <c r="P792" t="n">
        <v>0</v>
      </c>
      <c r="Q792" t="n">
        <v>0</v>
      </c>
      <c r="R792" s="2" t="inlineStr"/>
    </row>
    <row r="793" ht="15" customHeight="1">
      <c r="A793" t="inlineStr">
        <is>
          <t>A 39756-2024</t>
        </is>
      </c>
      <c r="B793" s="1" t="n">
        <v>45552</v>
      </c>
      <c r="C793" s="1" t="n">
        <v>45566</v>
      </c>
      <c r="D793" t="inlineStr">
        <is>
          <t>NORRBOTTENS LÄN</t>
        </is>
      </c>
      <c r="E793" t="inlineStr">
        <is>
          <t>GÄLLIVARE</t>
        </is>
      </c>
      <c r="F793" t="inlineStr">
        <is>
          <t>Allmännings- och besparingsskogar</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39820-2024</t>
        </is>
      </c>
      <c r="B794" s="1" t="n">
        <v>45553</v>
      </c>
      <c r="C794" s="1" t="n">
        <v>45566</v>
      </c>
      <c r="D794" t="inlineStr">
        <is>
          <t>NORRBOTTENS LÄN</t>
        </is>
      </c>
      <c r="E794" t="inlineStr">
        <is>
          <t>GÄLLIVARE</t>
        </is>
      </c>
      <c r="F794" t="inlineStr">
        <is>
          <t>Sveaskog</t>
        </is>
      </c>
      <c r="G794" t="n">
        <v>10.9</v>
      </c>
      <c r="H794" t="n">
        <v>0</v>
      </c>
      <c r="I794" t="n">
        <v>0</v>
      </c>
      <c r="J794" t="n">
        <v>0</v>
      </c>
      <c r="K794" t="n">
        <v>0</v>
      </c>
      <c r="L794" t="n">
        <v>0</v>
      </c>
      <c r="M794" t="n">
        <v>0</v>
      </c>
      <c r="N794" t="n">
        <v>0</v>
      </c>
      <c r="O794" t="n">
        <v>0</v>
      </c>
      <c r="P794" t="n">
        <v>0</v>
      </c>
      <c r="Q794" t="n">
        <v>0</v>
      </c>
      <c r="R794" s="2" t="inlineStr"/>
    </row>
    <row r="795" ht="15" customHeight="1">
      <c r="A795" t="inlineStr">
        <is>
          <t>A 39824-2024</t>
        </is>
      </c>
      <c r="B795" s="1" t="n">
        <v>45553</v>
      </c>
      <c r="C795" s="1" t="n">
        <v>45566</v>
      </c>
      <c r="D795" t="inlineStr">
        <is>
          <t>NORRBOTTENS LÄN</t>
        </is>
      </c>
      <c r="E795" t="inlineStr">
        <is>
          <t>GÄLLIVARE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40019-2024</t>
        </is>
      </c>
      <c r="B796" s="1" t="n">
        <v>45553</v>
      </c>
      <c r="C796" s="1" t="n">
        <v>45566</v>
      </c>
      <c r="D796" t="inlineStr">
        <is>
          <t>NORRBOTTENS LÄN</t>
        </is>
      </c>
      <c r="E796" t="inlineStr">
        <is>
          <t>GÄLLIVARE</t>
        </is>
      </c>
      <c r="F796" t="inlineStr">
        <is>
          <t>Sveaskog</t>
        </is>
      </c>
      <c r="G796" t="n">
        <v>7.7</v>
      </c>
      <c r="H796" t="n">
        <v>0</v>
      </c>
      <c r="I796" t="n">
        <v>0</v>
      </c>
      <c r="J796" t="n">
        <v>0</v>
      </c>
      <c r="K796" t="n">
        <v>0</v>
      </c>
      <c r="L796" t="n">
        <v>0</v>
      </c>
      <c r="M796" t="n">
        <v>0</v>
      </c>
      <c r="N796" t="n">
        <v>0</v>
      </c>
      <c r="O796" t="n">
        <v>0</v>
      </c>
      <c r="P796" t="n">
        <v>0</v>
      </c>
      <c r="Q796" t="n">
        <v>0</v>
      </c>
      <c r="R796" s="2" t="inlineStr"/>
    </row>
    <row r="797" ht="15" customHeight="1">
      <c r="A797" t="inlineStr">
        <is>
          <t>A 40197-2024</t>
        </is>
      </c>
      <c r="B797" s="1" t="n">
        <v>45554</v>
      </c>
      <c r="C797" s="1" t="n">
        <v>45566</v>
      </c>
      <c r="D797" t="inlineStr">
        <is>
          <t>NORRBOTTENS LÄN</t>
        </is>
      </c>
      <c r="E797" t="inlineStr">
        <is>
          <t>GÄLLIVARE</t>
        </is>
      </c>
      <c r="F797" t="inlineStr">
        <is>
          <t>Sveaskog</t>
        </is>
      </c>
      <c r="G797" t="n">
        <v>16.3</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45566</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40379-2024</t>
        </is>
      </c>
      <c r="B799" s="1" t="n">
        <v>45555</v>
      </c>
      <c r="C799" s="1" t="n">
        <v>45566</v>
      </c>
      <c r="D799" t="inlineStr">
        <is>
          <t>NORRBOTTENS LÄN</t>
        </is>
      </c>
      <c r="E799" t="inlineStr">
        <is>
          <t>GÄLLIVARE</t>
        </is>
      </c>
      <c r="F799" t="inlineStr">
        <is>
          <t>Sveaskog</t>
        </is>
      </c>
      <c r="G799" t="n">
        <v>10.5</v>
      </c>
      <c r="H799" t="n">
        <v>0</v>
      </c>
      <c r="I799" t="n">
        <v>0</v>
      </c>
      <c r="J799" t="n">
        <v>0</v>
      </c>
      <c r="K799" t="n">
        <v>0</v>
      </c>
      <c r="L799" t="n">
        <v>0</v>
      </c>
      <c r="M799" t="n">
        <v>0</v>
      </c>
      <c r="N799" t="n">
        <v>0</v>
      </c>
      <c r="O799" t="n">
        <v>0</v>
      </c>
      <c r="P799" t="n">
        <v>0</v>
      </c>
      <c r="Q799" t="n">
        <v>0</v>
      </c>
      <c r="R799" s="2" t="inlineStr"/>
    </row>
    <row r="800" ht="15" customHeight="1">
      <c r="A800" t="inlineStr">
        <is>
          <t>A 40416-2024</t>
        </is>
      </c>
      <c r="B800" s="1" t="n">
        <v>45555</v>
      </c>
      <c r="C800" s="1" t="n">
        <v>45566</v>
      </c>
      <c r="D800" t="inlineStr">
        <is>
          <t>NORRBOTTENS LÄN</t>
        </is>
      </c>
      <c r="E800" t="inlineStr">
        <is>
          <t>GÄLLIVARE</t>
        </is>
      </c>
      <c r="G800" t="n">
        <v>3.1</v>
      </c>
      <c r="H800" t="n">
        <v>0</v>
      </c>
      <c r="I800" t="n">
        <v>0</v>
      </c>
      <c r="J800" t="n">
        <v>0</v>
      </c>
      <c r="K800" t="n">
        <v>0</v>
      </c>
      <c r="L800" t="n">
        <v>0</v>
      </c>
      <c r="M800" t="n">
        <v>0</v>
      </c>
      <c r="N800" t="n">
        <v>0</v>
      </c>
      <c r="O800" t="n">
        <v>0</v>
      </c>
      <c r="P800" t="n">
        <v>0</v>
      </c>
      <c r="Q800" t="n">
        <v>0</v>
      </c>
      <c r="R800" s="2" t="inlineStr"/>
    </row>
    <row r="801" ht="15" customHeight="1">
      <c r="A801" t="inlineStr">
        <is>
          <t>A 40380-2024</t>
        </is>
      </c>
      <c r="B801" s="1" t="n">
        <v>45555</v>
      </c>
      <c r="C801" s="1" t="n">
        <v>45566</v>
      </c>
      <c r="D801" t="inlineStr">
        <is>
          <t>NORRBOTTENS LÄN</t>
        </is>
      </c>
      <c r="E801" t="inlineStr">
        <is>
          <t>GÄLLIVARE</t>
        </is>
      </c>
      <c r="F801" t="inlineStr">
        <is>
          <t>Sveaskog</t>
        </is>
      </c>
      <c r="G801" t="n">
        <v>6.4</v>
      </c>
      <c r="H801" t="n">
        <v>0</v>
      </c>
      <c r="I801" t="n">
        <v>0</v>
      </c>
      <c r="J801" t="n">
        <v>0</v>
      </c>
      <c r="K801" t="n">
        <v>0</v>
      </c>
      <c r="L801" t="n">
        <v>0</v>
      </c>
      <c r="M801" t="n">
        <v>0</v>
      </c>
      <c r="N801" t="n">
        <v>0</v>
      </c>
      <c r="O801" t="n">
        <v>0</v>
      </c>
      <c r="P801" t="n">
        <v>0</v>
      </c>
      <c r="Q801" t="n">
        <v>0</v>
      </c>
      <c r="R801" s="2" t="inlineStr"/>
    </row>
    <row r="802" ht="15" customHeight="1">
      <c r="A802" t="inlineStr">
        <is>
          <t>A 40421-2024</t>
        </is>
      </c>
      <c r="B802" s="1" t="n">
        <v>45555</v>
      </c>
      <c r="C802" s="1" t="n">
        <v>45566</v>
      </c>
      <c r="D802" t="inlineStr">
        <is>
          <t>NORRBOTTENS LÄN</t>
        </is>
      </c>
      <c r="E802" t="inlineStr">
        <is>
          <t>GÄLLIVARE</t>
        </is>
      </c>
      <c r="G802" t="n">
        <v>11.7</v>
      </c>
      <c r="H802" t="n">
        <v>0</v>
      </c>
      <c r="I802" t="n">
        <v>0</v>
      </c>
      <c r="J802" t="n">
        <v>0</v>
      </c>
      <c r="K802" t="n">
        <v>0</v>
      </c>
      <c r="L802" t="n">
        <v>0</v>
      </c>
      <c r="M802" t="n">
        <v>0</v>
      </c>
      <c r="N802" t="n">
        <v>0</v>
      </c>
      <c r="O802" t="n">
        <v>0</v>
      </c>
      <c r="P802" t="n">
        <v>0</v>
      </c>
      <c r="Q802" t="n">
        <v>0</v>
      </c>
      <c r="R802" s="2" t="inlineStr"/>
    </row>
    <row r="803" ht="15" customHeight="1">
      <c r="A803" t="inlineStr">
        <is>
          <t>A 40411-2024</t>
        </is>
      </c>
      <c r="B803" s="1" t="n">
        <v>45555</v>
      </c>
      <c r="C803" s="1" t="n">
        <v>45566</v>
      </c>
      <c r="D803" t="inlineStr">
        <is>
          <t>NORRBOTTENS LÄN</t>
        </is>
      </c>
      <c r="E803" t="inlineStr">
        <is>
          <t>GÄLLIVARE</t>
        </is>
      </c>
      <c r="F803" t="inlineStr">
        <is>
          <t>Sveaskog</t>
        </is>
      </c>
      <c r="G803" t="n">
        <v>9.5</v>
      </c>
      <c r="H803" t="n">
        <v>0</v>
      </c>
      <c r="I803" t="n">
        <v>0</v>
      </c>
      <c r="J803" t="n">
        <v>0</v>
      </c>
      <c r="K803" t="n">
        <v>0</v>
      </c>
      <c r="L803" t="n">
        <v>0</v>
      </c>
      <c r="M803" t="n">
        <v>0</v>
      </c>
      <c r="N803" t="n">
        <v>0</v>
      </c>
      <c r="O803" t="n">
        <v>0</v>
      </c>
      <c r="P803" t="n">
        <v>0</v>
      </c>
      <c r="Q803" t="n">
        <v>0</v>
      </c>
      <c r="R803" s="2" t="inlineStr"/>
    </row>
    <row r="804" ht="15" customHeight="1">
      <c r="A804" t="inlineStr">
        <is>
          <t>A 41151-2024</t>
        </is>
      </c>
      <c r="B804" s="1" t="n">
        <v>45559</v>
      </c>
      <c r="C804" s="1" t="n">
        <v>45566</v>
      </c>
      <c r="D804" t="inlineStr">
        <is>
          <t>NORRBOTTENS LÄN</t>
        </is>
      </c>
      <c r="E804" t="inlineStr">
        <is>
          <t>GÄLLIVARE</t>
        </is>
      </c>
      <c r="F804" t="inlineStr">
        <is>
          <t>Sveaskog</t>
        </is>
      </c>
      <c r="G804" t="n">
        <v>12.5</v>
      </c>
      <c r="H804" t="n">
        <v>0</v>
      </c>
      <c r="I804" t="n">
        <v>0</v>
      </c>
      <c r="J804" t="n">
        <v>0</v>
      </c>
      <c r="K804" t="n">
        <v>0</v>
      </c>
      <c r="L804" t="n">
        <v>0</v>
      </c>
      <c r="M804" t="n">
        <v>0</v>
      </c>
      <c r="N804" t="n">
        <v>0</v>
      </c>
      <c r="O804" t="n">
        <v>0</v>
      </c>
      <c r="P804" t="n">
        <v>0</v>
      </c>
      <c r="Q804" t="n">
        <v>0</v>
      </c>
      <c r="R804" s="2" t="inlineStr"/>
    </row>
    <row r="805" ht="15" customHeight="1">
      <c r="A805" t="inlineStr">
        <is>
          <t>A 41108-2024</t>
        </is>
      </c>
      <c r="B805" s="1" t="n">
        <v>45559</v>
      </c>
      <c r="C805" s="1" t="n">
        <v>45566</v>
      </c>
      <c r="D805" t="inlineStr">
        <is>
          <t>NORRBOTTENS LÄN</t>
        </is>
      </c>
      <c r="E805" t="inlineStr">
        <is>
          <t>GÄLLIVARE</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41128-2024</t>
        </is>
      </c>
      <c r="B806" s="1" t="n">
        <v>45559</v>
      </c>
      <c r="C806" s="1" t="n">
        <v>45566</v>
      </c>
      <c r="D806" t="inlineStr">
        <is>
          <t>NORRBOTTENS LÄN</t>
        </is>
      </c>
      <c r="E806" t="inlineStr">
        <is>
          <t>GÄLLIVARE</t>
        </is>
      </c>
      <c r="F806" t="inlineStr">
        <is>
          <t>Sveaskog</t>
        </is>
      </c>
      <c r="G806" t="n">
        <v>3.3</v>
      </c>
      <c r="H806" t="n">
        <v>0</v>
      </c>
      <c r="I806" t="n">
        <v>0</v>
      </c>
      <c r="J806" t="n">
        <v>0</v>
      </c>
      <c r="K806" t="n">
        <v>0</v>
      </c>
      <c r="L806" t="n">
        <v>0</v>
      </c>
      <c r="M806" t="n">
        <v>0</v>
      </c>
      <c r="N806" t="n">
        <v>0</v>
      </c>
      <c r="O806" t="n">
        <v>0</v>
      </c>
      <c r="P806" t="n">
        <v>0</v>
      </c>
      <c r="Q806" t="n">
        <v>0</v>
      </c>
      <c r="R806" s="2" t="inlineStr"/>
    </row>
    <row r="807" ht="15" customHeight="1">
      <c r="A807" t="inlineStr">
        <is>
          <t>A 41044-2024</t>
        </is>
      </c>
      <c r="B807" s="1" t="n">
        <v>45559</v>
      </c>
      <c r="C807" s="1" t="n">
        <v>45566</v>
      </c>
      <c r="D807" t="inlineStr">
        <is>
          <t>NORRBOTTENS LÄN</t>
        </is>
      </c>
      <c r="E807" t="inlineStr">
        <is>
          <t>GÄLLIVARE</t>
        </is>
      </c>
      <c r="G807" t="n">
        <v>4</v>
      </c>
      <c r="H807" t="n">
        <v>0</v>
      </c>
      <c r="I807" t="n">
        <v>0</v>
      </c>
      <c r="J807" t="n">
        <v>0</v>
      </c>
      <c r="K807" t="n">
        <v>0</v>
      </c>
      <c r="L807" t="n">
        <v>0</v>
      </c>
      <c r="M807" t="n">
        <v>0</v>
      </c>
      <c r="N807" t="n">
        <v>0</v>
      </c>
      <c r="O807" t="n">
        <v>0</v>
      </c>
      <c r="P807" t="n">
        <v>0</v>
      </c>
      <c r="Q807" t="n">
        <v>0</v>
      </c>
      <c r="R807" s="2" t="inlineStr"/>
    </row>
    <row r="808" ht="15" customHeight="1">
      <c r="A808" t="inlineStr">
        <is>
          <t>A 41224-2024</t>
        </is>
      </c>
      <c r="B808" s="1" t="n">
        <v>45559</v>
      </c>
      <c r="C808" s="1" t="n">
        <v>45566</v>
      </c>
      <c r="D808" t="inlineStr">
        <is>
          <t>NORRBOTTENS LÄN</t>
        </is>
      </c>
      <c r="E808" t="inlineStr">
        <is>
          <t>GÄLLIVARE</t>
        </is>
      </c>
      <c r="F808" t="inlineStr">
        <is>
          <t>Allmännings- och besparingsskogar</t>
        </is>
      </c>
      <c r="G808" t="n">
        <v>12.5</v>
      </c>
      <c r="H808" t="n">
        <v>0</v>
      </c>
      <c r="I808" t="n">
        <v>0</v>
      </c>
      <c r="J808" t="n">
        <v>0</v>
      </c>
      <c r="K808" t="n">
        <v>0</v>
      </c>
      <c r="L808" t="n">
        <v>0</v>
      </c>
      <c r="M808" t="n">
        <v>0</v>
      </c>
      <c r="N808" t="n">
        <v>0</v>
      </c>
      <c r="O808" t="n">
        <v>0</v>
      </c>
      <c r="P808" t="n">
        <v>0</v>
      </c>
      <c r="Q808" t="n">
        <v>0</v>
      </c>
      <c r="R808" s="2" t="inlineStr"/>
    </row>
    <row r="809" ht="15" customHeight="1">
      <c r="A809" t="inlineStr">
        <is>
          <t>A 41307-2024</t>
        </is>
      </c>
      <c r="B809" s="1" t="n">
        <v>45559</v>
      </c>
      <c r="C809" s="1" t="n">
        <v>45566</v>
      </c>
      <c r="D809" t="inlineStr">
        <is>
          <t>NORRBOTTENS LÄN</t>
        </is>
      </c>
      <c r="E809" t="inlineStr">
        <is>
          <t>GÄLLIVARE</t>
        </is>
      </c>
      <c r="F809" t="inlineStr">
        <is>
          <t>Sveaskog</t>
        </is>
      </c>
      <c r="G809" t="n">
        <v>25.3</v>
      </c>
      <c r="H809" t="n">
        <v>0</v>
      </c>
      <c r="I809" t="n">
        <v>0</v>
      </c>
      <c r="J809" t="n">
        <v>0</v>
      </c>
      <c r="K809" t="n">
        <v>0</v>
      </c>
      <c r="L809" t="n">
        <v>0</v>
      </c>
      <c r="M809" t="n">
        <v>0</v>
      </c>
      <c r="N809" t="n">
        <v>0</v>
      </c>
      <c r="O809" t="n">
        <v>0</v>
      </c>
      <c r="P809" t="n">
        <v>0</v>
      </c>
      <c r="Q809" t="n">
        <v>0</v>
      </c>
      <c r="R809" s="2" t="inlineStr"/>
    </row>
    <row r="810" ht="15" customHeight="1">
      <c r="A810" t="inlineStr">
        <is>
          <t>A 41713-2024</t>
        </is>
      </c>
      <c r="B810" s="1" t="n">
        <v>45560</v>
      </c>
      <c r="C810" s="1" t="n">
        <v>45566</v>
      </c>
      <c r="D810" t="inlineStr">
        <is>
          <t>NORRBOTTENS LÄN</t>
        </is>
      </c>
      <c r="E810" t="inlineStr">
        <is>
          <t>GÄLLIVARE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41917-2024</t>
        </is>
      </c>
      <c r="B811" s="1" t="n">
        <v>45561</v>
      </c>
      <c r="C811" s="1" t="n">
        <v>45566</v>
      </c>
      <c r="D811" t="inlineStr">
        <is>
          <t>NORRBOTTENS LÄN</t>
        </is>
      </c>
      <c r="E811" t="inlineStr">
        <is>
          <t>GÄLLIVARE</t>
        </is>
      </c>
      <c r="G811" t="n">
        <v>2.4</v>
      </c>
      <c r="H811" t="n">
        <v>0</v>
      </c>
      <c r="I811" t="n">
        <v>0</v>
      </c>
      <c r="J811" t="n">
        <v>0</v>
      </c>
      <c r="K811" t="n">
        <v>0</v>
      </c>
      <c r="L811" t="n">
        <v>0</v>
      </c>
      <c r="M811" t="n">
        <v>0</v>
      </c>
      <c r="N811" t="n">
        <v>0</v>
      </c>
      <c r="O811" t="n">
        <v>0</v>
      </c>
      <c r="P811" t="n">
        <v>0</v>
      </c>
      <c r="Q811" t="n">
        <v>0</v>
      </c>
      <c r="R811" s="2" t="inlineStr"/>
    </row>
    <row r="812" ht="15" customHeight="1">
      <c r="A812" t="inlineStr">
        <is>
          <t>A 41927-2024</t>
        </is>
      </c>
      <c r="B812" s="1" t="n">
        <v>45561</v>
      </c>
      <c r="C812" s="1" t="n">
        <v>45566</v>
      </c>
      <c r="D812" t="inlineStr">
        <is>
          <t>NORRBOTTENS LÄN</t>
        </is>
      </c>
      <c r="E812" t="inlineStr">
        <is>
          <t>GÄLLIVARE</t>
        </is>
      </c>
      <c r="G812" t="n">
        <v>11.2</v>
      </c>
      <c r="H812" t="n">
        <v>0</v>
      </c>
      <c r="I812" t="n">
        <v>0</v>
      </c>
      <c r="J812" t="n">
        <v>0</v>
      </c>
      <c r="K812" t="n">
        <v>0</v>
      </c>
      <c r="L812" t="n">
        <v>0</v>
      </c>
      <c r="M812" t="n">
        <v>0</v>
      </c>
      <c r="N812" t="n">
        <v>0</v>
      </c>
      <c r="O812" t="n">
        <v>0</v>
      </c>
      <c r="P812" t="n">
        <v>0</v>
      </c>
      <c r="Q812" t="n">
        <v>0</v>
      </c>
      <c r="R812" s="2" t="inlineStr"/>
    </row>
    <row r="813" ht="15" customHeight="1">
      <c r="A813" t="inlineStr">
        <is>
          <t>A 41843-2024</t>
        </is>
      </c>
      <c r="B813" s="1" t="n">
        <v>45561</v>
      </c>
      <c r="C813" s="1" t="n">
        <v>45566</v>
      </c>
      <c r="D813" t="inlineStr">
        <is>
          <t>NORRBOTTENS LÄN</t>
        </is>
      </c>
      <c r="E813" t="inlineStr">
        <is>
          <t>GÄLLIVARE</t>
        </is>
      </c>
      <c r="G813" t="n">
        <v>3.1</v>
      </c>
      <c r="H813" t="n">
        <v>0</v>
      </c>
      <c r="I813" t="n">
        <v>0</v>
      </c>
      <c r="J813" t="n">
        <v>0</v>
      </c>
      <c r="K813" t="n">
        <v>0</v>
      </c>
      <c r="L813" t="n">
        <v>0</v>
      </c>
      <c r="M813" t="n">
        <v>0</v>
      </c>
      <c r="N813" t="n">
        <v>0</v>
      </c>
      <c r="O813" t="n">
        <v>0</v>
      </c>
      <c r="P813" t="n">
        <v>0</v>
      </c>
      <c r="Q813" t="n">
        <v>0</v>
      </c>
      <c r="R813" s="2" t="inlineStr"/>
    </row>
    <row r="814" ht="15" customHeight="1">
      <c r="A814" t="inlineStr">
        <is>
          <t>A 41821-2024</t>
        </is>
      </c>
      <c r="B814" s="1" t="n">
        <v>45561</v>
      </c>
      <c r="C814" s="1" t="n">
        <v>45566</v>
      </c>
      <c r="D814" t="inlineStr">
        <is>
          <t>NORRBOTTENS LÄN</t>
        </is>
      </c>
      <c r="E814" t="inlineStr">
        <is>
          <t>GÄLLIVARE</t>
        </is>
      </c>
      <c r="G814" t="n">
        <v>1.1</v>
      </c>
      <c r="H814" t="n">
        <v>0</v>
      </c>
      <c r="I814" t="n">
        <v>0</v>
      </c>
      <c r="J814" t="n">
        <v>0</v>
      </c>
      <c r="K814" t="n">
        <v>0</v>
      </c>
      <c r="L814" t="n">
        <v>0</v>
      </c>
      <c r="M814" t="n">
        <v>0</v>
      </c>
      <c r="N814" t="n">
        <v>0</v>
      </c>
      <c r="O814" t="n">
        <v>0</v>
      </c>
      <c r="P814" t="n">
        <v>0</v>
      </c>
      <c r="Q814" t="n">
        <v>0</v>
      </c>
      <c r="R814" s="2" t="inlineStr"/>
    </row>
    <row r="815" ht="15" customHeight="1">
      <c r="A815" t="inlineStr">
        <is>
          <t>A 41870-2024</t>
        </is>
      </c>
      <c r="B815" s="1" t="n">
        <v>45561</v>
      </c>
      <c r="C815" s="1" t="n">
        <v>45566</v>
      </c>
      <c r="D815" t="inlineStr">
        <is>
          <t>NORRBOTTENS LÄN</t>
        </is>
      </c>
      <c r="E815" t="inlineStr">
        <is>
          <t>GÄLLIVARE</t>
        </is>
      </c>
      <c r="G815" t="n">
        <v>1.8</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45566</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41944-2024</t>
        </is>
      </c>
      <c r="B817" s="1" t="n">
        <v>45561</v>
      </c>
      <c r="C817" s="1" t="n">
        <v>45566</v>
      </c>
      <c r="D817" t="inlineStr">
        <is>
          <t>NORRBOTTENS LÄN</t>
        </is>
      </c>
      <c r="E817" t="inlineStr">
        <is>
          <t>GÄLLIVARE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42258-2024</t>
        </is>
      </c>
      <c r="B818" s="1" t="n">
        <v>45562</v>
      </c>
      <c r="C818" s="1" t="n">
        <v>45566</v>
      </c>
      <c r="D818" t="inlineStr">
        <is>
          <t>NORRBOTTENS LÄN</t>
        </is>
      </c>
      <c r="E818" t="inlineStr">
        <is>
          <t>GÄLLIVARE</t>
        </is>
      </c>
      <c r="G818" t="n">
        <v>34</v>
      </c>
      <c r="H818" t="n">
        <v>0</v>
      </c>
      <c r="I818" t="n">
        <v>0</v>
      </c>
      <c r="J818" t="n">
        <v>0</v>
      </c>
      <c r="K818" t="n">
        <v>0</v>
      </c>
      <c r="L818" t="n">
        <v>0</v>
      </c>
      <c r="M818" t="n">
        <v>0</v>
      </c>
      <c r="N818" t="n">
        <v>0</v>
      </c>
      <c r="O818" t="n">
        <v>0</v>
      </c>
      <c r="P818" t="n">
        <v>0</v>
      </c>
      <c r="Q818" t="n">
        <v>0</v>
      </c>
      <c r="R818" s="2" t="inlineStr"/>
    </row>
    <row r="819">
      <c r="A819" t="inlineStr">
        <is>
          <t>A 42476-2024</t>
        </is>
      </c>
      <c r="B819" s="1" t="n">
        <v>45565</v>
      </c>
      <c r="C819" s="1" t="n">
        <v>45566</v>
      </c>
      <c r="D819" t="inlineStr">
        <is>
          <t>NORRBOTTENS LÄN</t>
        </is>
      </c>
      <c r="E819" t="inlineStr">
        <is>
          <t>GÄLLIVARE</t>
        </is>
      </c>
      <c r="F819" t="inlineStr">
        <is>
          <t>SCA</t>
        </is>
      </c>
      <c r="G819" t="n">
        <v>3.1</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2024-10-01T12:16:33Z</dcterms:created>
  <dcterms:modified xmlns:dcterms="http://purl.org/dc/terms/" xmlns:xsi="http://www.w3.org/2001/XMLSchema-instance" xsi:type="dcterms:W3CDTF">2024-10-01T12:16:33Z</dcterms:modified>
</cp:coreProperties>
</file>