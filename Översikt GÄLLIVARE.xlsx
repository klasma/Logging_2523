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45901</v>
      </c>
      <c r="D2" t="inlineStr">
        <is>
          <t>NORRBOTTENS LÄN</t>
        </is>
      </c>
      <c r="E2" t="inlineStr">
        <is>
          <t>GÄLLIVARE</t>
        </is>
      </c>
      <c r="F2" t="inlineStr">
        <is>
          <t>Allmännings- och besparingsskogar</t>
        </is>
      </c>
      <c r="G2" t="n">
        <v>18.2</v>
      </c>
      <c r="H2" t="n">
        <v>7</v>
      </c>
      <c r="I2" t="n">
        <v>5</v>
      </c>
      <c r="J2" t="n">
        <v>19</v>
      </c>
      <c r="K2" t="n">
        <v>3</v>
      </c>
      <c r="L2" t="n">
        <v>0</v>
      </c>
      <c r="M2" t="n">
        <v>0</v>
      </c>
      <c r="N2" t="n">
        <v>0</v>
      </c>
      <c r="O2" t="n">
        <v>22</v>
      </c>
      <c r="P2" t="n">
        <v>3</v>
      </c>
      <c r="Q2" t="n">
        <v>31</v>
      </c>
      <c r="R2" s="2" t="inlineStr">
        <is>
          <t>Fläckporing
Gräddporing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45901</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45901</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45901</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45901</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45901</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45901</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45901</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45901</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45901</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41085-2025</t>
        </is>
      </c>
      <c r="B12" s="1" t="n">
        <v>45898.43320601852</v>
      </c>
      <c r="C12" s="1" t="n">
        <v>45901</v>
      </c>
      <c r="D12" t="inlineStr">
        <is>
          <t>NORRBOTTENS LÄN</t>
        </is>
      </c>
      <c r="E12" t="inlineStr">
        <is>
          <t>GÄLLIVARE</t>
        </is>
      </c>
      <c r="F12" t="inlineStr">
        <is>
          <t>Sveaskog</t>
        </is>
      </c>
      <c r="G12" t="n">
        <v>13.8</v>
      </c>
      <c r="H12" t="n">
        <v>6</v>
      </c>
      <c r="I12" t="n">
        <v>2</v>
      </c>
      <c r="J12" t="n">
        <v>4</v>
      </c>
      <c r="K12" t="n">
        <v>0</v>
      </c>
      <c r="L12" t="n">
        <v>1</v>
      </c>
      <c r="M12" t="n">
        <v>0</v>
      </c>
      <c r="N12" t="n">
        <v>0</v>
      </c>
      <c r="O12" t="n">
        <v>5</v>
      </c>
      <c r="P12" t="n">
        <v>1</v>
      </c>
      <c r="Q12" t="n">
        <v>9</v>
      </c>
      <c r="R12" s="2" t="inlineStr">
        <is>
          <t>Grönfink
Blå taggsvamp
Järpe
Rödvingetrast
Vedskivlav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36134-2025</t>
        </is>
      </c>
      <c r="B13" s="1" t="n">
        <v>45866.63324074074</v>
      </c>
      <c r="C13" s="1" t="n">
        <v>45901</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45901</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45901</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45901</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45901</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45901</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45901</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45901</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29762-2024</t>
        </is>
      </c>
      <c r="B21" s="1" t="n">
        <v>45485</v>
      </c>
      <c r="C21" s="1" t="n">
        <v>45901</v>
      </c>
      <c r="D21" t="inlineStr">
        <is>
          <t>NORRBOTTENS LÄN</t>
        </is>
      </c>
      <c r="E21" t="inlineStr">
        <is>
          <t>GÄLLIVARE</t>
        </is>
      </c>
      <c r="F21" t="inlineStr">
        <is>
          <t>Sveaskog</t>
        </is>
      </c>
      <c r="G21" t="n">
        <v>27</v>
      </c>
      <c r="H21" t="n">
        <v>0</v>
      </c>
      <c r="I21" t="n">
        <v>1</v>
      </c>
      <c r="J21" t="n">
        <v>2</v>
      </c>
      <c r="K21" t="n">
        <v>0</v>
      </c>
      <c r="L21" t="n">
        <v>0</v>
      </c>
      <c r="M21" t="n">
        <v>0</v>
      </c>
      <c r="N21" t="n">
        <v>0</v>
      </c>
      <c r="O21" t="n">
        <v>2</v>
      </c>
      <c r="P21" t="n">
        <v>0</v>
      </c>
      <c r="Q21" t="n">
        <v>3</v>
      </c>
      <c r="R21" s="2" t="inlineStr">
        <is>
          <t>Blå taggsvamp
Svart taggsvamp
Skarp dropptaggsvamp</t>
        </is>
      </c>
      <c r="S21">
        <f>HYPERLINK("https://klasma.github.io/Logging_2523/artfynd/A 29762-2024 artfynd.xlsx", "A 29762-2024")</f>
        <v/>
      </c>
      <c r="T21">
        <f>HYPERLINK("https://klasma.github.io/Logging_2523/kartor/A 29762-2024 karta.png", "A 29762-2024")</f>
        <v/>
      </c>
      <c r="V21">
        <f>HYPERLINK("https://klasma.github.io/Logging_2523/klagomål/A 29762-2024 FSC-klagomål.docx", "A 29762-2024")</f>
        <v/>
      </c>
      <c r="W21">
        <f>HYPERLINK("https://klasma.github.io/Logging_2523/klagomålsmail/A 29762-2024 FSC-klagomål mail.docx", "A 29762-2024")</f>
        <v/>
      </c>
      <c r="X21">
        <f>HYPERLINK("https://klasma.github.io/Logging_2523/tillsyn/A 29762-2024 tillsynsbegäran.docx", "A 29762-2024")</f>
        <v/>
      </c>
      <c r="Y21">
        <f>HYPERLINK("https://klasma.github.io/Logging_2523/tillsynsmail/A 29762-2024 tillsynsbegäran mail.docx", "A 29762-2024")</f>
        <v/>
      </c>
    </row>
    <row r="22" ht="15" customHeight="1">
      <c r="A22" t="inlineStr">
        <is>
          <t>A 14482-2023</t>
        </is>
      </c>
      <c r="B22" s="1" t="n">
        <v>45012</v>
      </c>
      <c r="C22" s="1" t="n">
        <v>45901</v>
      </c>
      <c r="D22" t="inlineStr">
        <is>
          <t>NORRBOTTENS LÄN</t>
        </is>
      </c>
      <c r="E22" t="inlineStr">
        <is>
          <t>GÄLLIVARE</t>
        </is>
      </c>
      <c r="G22" t="n">
        <v>7.4</v>
      </c>
      <c r="H22" t="n">
        <v>0</v>
      </c>
      <c r="I22" t="n">
        <v>0</v>
      </c>
      <c r="J22" t="n">
        <v>1</v>
      </c>
      <c r="K22" t="n">
        <v>2</v>
      </c>
      <c r="L22" t="n">
        <v>0</v>
      </c>
      <c r="M22" t="n">
        <v>0</v>
      </c>
      <c r="N22" t="n">
        <v>0</v>
      </c>
      <c r="O22" t="n">
        <v>3</v>
      </c>
      <c r="P22" t="n">
        <v>2</v>
      </c>
      <c r="Q22" t="n">
        <v>3</v>
      </c>
      <c r="R22" s="2" t="inlineStr">
        <is>
          <t>Goliatmusseron
Tallgråticka
Blå taggsvamp</t>
        </is>
      </c>
      <c r="S22">
        <f>HYPERLINK("https://klasma.github.io/Logging_2523/artfynd/A 14482-2023 artfynd.xlsx", "A 14482-2023")</f>
        <v/>
      </c>
      <c r="T22">
        <f>HYPERLINK("https://klasma.github.io/Logging_2523/kartor/A 14482-2023 karta.png", "A 14482-2023")</f>
        <v/>
      </c>
      <c r="V22">
        <f>HYPERLINK("https://klasma.github.io/Logging_2523/klagomål/A 14482-2023 FSC-klagomål.docx", "A 14482-2023")</f>
        <v/>
      </c>
      <c r="W22">
        <f>HYPERLINK("https://klasma.github.io/Logging_2523/klagomålsmail/A 14482-2023 FSC-klagomål mail.docx", "A 14482-2023")</f>
        <v/>
      </c>
      <c r="X22">
        <f>HYPERLINK("https://klasma.github.io/Logging_2523/tillsyn/A 14482-2023 tillsynsbegäran.docx", "A 14482-2023")</f>
        <v/>
      </c>
      <c r="Y22">
        <f>HYPERLINK("https://klasma.github.io/Logging_2523/tillsynsmail/A 14482-2023 tillsynsbegäran mail.docx", "A 14482-2023")</f>
        <v/>
      </c>
    </row>
    <row r="23" ht="15" customHeight="1">
      <c r="A23" t="inlineStr">
        <is>
          <t>A 42691-2024</t>
        </is>
      </c>
      <c r="B23" s="1" t="n">
        <v>45566</v>
      </c>
      <c r="C23" s="1" t="n">
        <v>45901</v>
      </c>
      <c r="D23" t="inlineStr">
        <is>
          <t>NORRBOTTENS LÄN</t>
        </is>
      </c>
      <c r="E23" t="inlineStr">
        <is>
          <t>GÄLLIVARE</t>
        </is>
      </c>
      <c r="F23" t="inlineStr">
        <is>
          <t>Sveaskog</t>
        </is>
      </c>
      <c r="G23" t="n">
        <v>16.8</v>
      </c>
      <c r="H23" t="n">
        <v>0</v>
      </c>
      <c r="I23" t="n">
        <v>0</v>
      </c>
      <c r="J23" t="n">
        <v>2</v>
      </c>
      <c r="K23" t="n">
        <v>1</v>
      </c>
      <c r="L23" t="n">
        <v>0</v>
      </c>
      <c r="M23" t="n">
        <v>0</v>
      </c>
      <c r="N23" t="n">
        <v>0</v>
      </c>
      <c r="O23" t="n">
        <v>3</v>
      </c>
      <c r="P23" t="n">
        <v>1</v>
      </c>
      <c r="Q23" t="n">
        <v>3</v>
      </c>
      <c r="R23" s="2" t="inlineStr">
        <is>
          <t>Fläckporing
Blå taggsvamp
Vaddporing</t>
        </is>
      </c>
      <c r="S23">
        <f>HYPERLINK("https://klasma.github.io/Logging_2523/artfynd/A 42691-2024 artfynd.xlsx", "A 42691-2024")</f>
        <v/>
      </c>
      <c r="T23">
        <f>HYPERLINK("https://klasma.github.io/Logging_2523/kartor/A 42691-2024 karta.png", "A 42691-2024")</f>
        <v/>
      </c>
      <c r="V23">
        <f>HYPERLINK("https://klasma.github.io/Logging_2523/klagomål/A 42691-2024 FSC-klagomål.docx", "A 42691-2024")</f>
        <v/>
      </c>
      <c r="W23">
        <f>HYPERLINK("https://klasma.github.io/Logging_2523/klagomålsmail/A 42691-2024 FSC-klagomål mail.docx", "A 42691-2024")</f>
        <v/>
      </c>
      <c r="X23">
        <f>HYPERLINK("https://klasma.github.io/Logging_2523/tillsyn/A 42691-2024 tillsynsbegäran.docx", "A 42691-2024")</f>
        <v/>
      </c>
      <c r="Y23">
        <f>HYPERLINK("https://klasma.github.io/Logging_2523/tillsynsmail/A 42691-2024 tillsynsbegäran mail.docx", "A 42691-2024")</f>
        <v/>
      </c>
    </row>
    <row r="24" ht="15" customHeight="1">
      <c r="A24" t="inlineStr">
        <is>
          <t>A 48274-2020</t>
        </is>
      </c>
      <c r="B24" s="1" t="n">
        <v>44102</v>
      </c>
      <c r="C24" s="1" t="n">
        <v>45901</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45901</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45901</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36248-2023</t>
        </is>
      </c>
      <c r="B27" s="1" t="n">
        <v>45150</v>
      </c>
      <c r="C27" s="1" t="n">
        <v>45901</v>
      </c>
      <c r="D27" t="inlineStr">
        <is>
          <t>NORRBOTTENS LÄN</t>
        </is>
      </c>
      <c r="E27" t="inlineStr">
        <is>
          <t>GÄLLIVARE</t>
        </is>
      </c>
      <c r="F27" t="inlineStr">
        <is>
          <t>SCA</t>
        </is>
      </c>
      <c r="G27" t="n">
        <v>6.4</v>
      </c>
      <c r="H27" t="n">
        <v>0</v>
      </c>
      <c r="I27" t="n">
        <v>0</v>
      </c>
      <c r="J27" t="n">
        <v>1</v>
      </c>
      <c r="K27" t="n">
        <v>1</v>
      </c>
      <c r="L27" t="n">
        <v>0</v>
      </c>
      <c r="M27" t="n">
        <v>0</v>
      </c>
      <c r="N27" t="n">
        <v>0</v>
      </c>
      <c r="O27" t="n">
        <v>2</v>
      </c>
      <c r="P27" t="n">
        <v>1</v>
      </c>
      <c r="Q27" t="n">
        <v>2</v>
      </c>
      <c r="R27" s="2" t="inlineStr">
        <is>
          <t>Gräddporing
Nordtagging</t>
        </is>
      </c>
      <c r="S27">
        <f>HYPERLINK("https://klasma.github.io/Logging_2523/artfynd/A 36248-2023 artfynd.xlsx", "A 36248-2023")</f>
        <v/>
      </c>
      <c r="T27">
        <f>HYPERLINK("https://klasma.github.io/Logging_2523/kartor/A 36248-2023 karta.png", "A 36248-2023")</f>
        <v/>
      </c>
      <c r="V27">
        <f>HYPERLINK("https://klasma.github.io/Logging_2523/klagomål/A 36248-2023 FSC-klagomål.docx", "A 36248-2023")</f>
        <v/>
      </c>
      <c r="W27">
        <f>HYPERLINK("https://klasma.github.io/Logging_2523/klagomålsmail/A 36248-2023 FSC-klagomål mail.docx", "A 36248-2023")</f>
        <v/>
      </c>
      <c r="X27">
        <f>HYPERLINK("https://klasma.github.io/Logging_2523/tillsyn/A 36248-2023 tillsynsbegäran.docx", "A 36248-2023")</f>
        <v/>
      </c>
      <c r="Y27">
        <f>HYPERLINK("https://klasma.github.io/Logging_2523/tillsynsmail/A 36248-2023 tillsynsbegäran mail.docx", "A 36248-2023")</f>
        <v/>
      </c>
    </row>
    <row r="28" ht="15" customHeight="1">
      <c r="A28" t="inlineStr">
        <is>
          <t>A 36981-2023</t>
        </is>
      </c>
      <c r="B28" s="1" t="n">
        <v>45154</v>
      </c>
      <c r="C28" s="1" t="n">
        <v>45901</v>
      </c>
      <c r="D28" t="inlineStr">
        <is>
          <t>NORRBOTTENS LÄN</t>
        </is>
      </c>
      <c r="E28" t="inlineStr">
        <is>
          <t>GÄLLIVARE</t>
        </is>
      </c>
      <c r="F28" t="inlineStr">
        <is>
          <t>SCA</t>
        </is>
      </c>
      <c r="G28" t="n">
        <v>18.9</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36981-2023 artfynd.xlsx", "A 36981-2023")</f>
        <v/>
      </c>
      <c r="T28">
        <f>HYPERLINK("https://klasma.github.io/Logging_2523/kartor/A 36981-2023 karta.png", "A 36981-2023")</f>
        <v/>
      </c>
      <c r="V28">
        <f>HYPERLINK("https://klasma.github.io/Logging_2523/klagomål/A 36981-2023 FSC-klagomål.docx", "A 36981-2023")</f>
        <v/>
      </c>
      <c r="W28">
        <f>HYPERLINK("https://klasma.github.io/Logging_2523/klagomålsmail/A 36981-2023 FSC-klagomål mail.docx", "A 36981-2023")</f>
        <v/>
      </c>
      <c r="X28">
        <f>HYPERLINK("https://klasma.github.io/Logging_2523/tillsyn/A 36981-2023 tillsynsbegäran.docx", "A 36981-2023")</f>
        <v/>
      </c>
      <c r="Y28">
        <f>HYPERLINK("https://klasma.github.io/Logging_2523/tillsynsmail/A 36981-2023 tillsynsbegäran mail.docx", "A 36981-2023")</f>
        <v/>
      </c>
    </row>
    <row r="29" ht="15" customHeight="1">
      <c r="A29" t="inlineStr">
        <is>
          <t>A 27115-2025</t>
        </is>
      </c>
      <c r="B29" s="1" t="n">
        <v>45811.74119212963</v>
      </c>
      <c r="C29" s="1" t="n">
        <v>45901</v>
      </c>
      <c r="D29" t="inlineStr">
        <is>
          <t>NORRBOTTENS LÄN</t>
        </is>
      </c>
      <c r="E29" t="inlineStr">
        <is>
          <t>GÄLLIVARE</t>
        </is>
      </c>
      <c r="F29" t="inlineStr">
        <is>
          <t>Sveaskog</t>
        </is>
      </c>
      <c r="G29" t="n">
        <v>15</v>
      </c>
      <c r="H29" t="n">
        <v>0</v>
      </c>
      <c r="I29" t="n">
        <v>1</v>
      </c>
      <c r="J29" t="n">
        <v>1</v>
      </c>
      <c r="K29" t="n">
        <v>0</v>
      </c>
      <c r="L29" t="n">
        <v>0</v>
      </c>
      <c r="M29" t="n">
        <v>0</v>
      </c>
      <c r="N29" t="n">
        <v>0</v>
      </c>
      <c r="O29" t="n">
        <v>1</v>
      </c>
      <c r="P29" t="n">
        <v>0</v>
      </c>
      <c r="Q29" t="n">
        <v>2</v>
      </c>
      <c r="R29" s="2" t="inlineStr">
        <is>
          <t>Kolflarnlav
Dropptaggsvamp</t>
        </is>
      </c>
      <c r="S29">
        <f>HYPERLINK("https://klasma.github.io/Logging_2523/artfynd/A 27115-2025 artfynd.xlsx", "A 27115-2025")</f>
        <v/>
      </c>
      <c r="T29">
        <f>HYPERLINK("https://klasma.github.io/Logging_2523/kartor/A 27115-2025 karta.png", "A 27115-2025")</f>
        <v/>
      </c>
      <c r="V29">
        <f>HYPERLINK("https://klasma.github.io/Logging_2523/klagomål/A 27115-2025 FSC-klagomål.docx", "A 27115-2025")</f>
        <v/>
      </c>
      <c r="W29">
        <f>HYPERLINK("https://klasma.github.io/Logging_2523/klagomålsmail/A 27115-2025 FSC-klagomål mail.docx", "A 27115-2025")</f>
        <v/>
      </c>
      <c r="X29">
        <f>HYPERLINK("https://klasma.github.io/Logging_2523/tillsyn/A 27115-2025 tillsynsbegäran.docx", "A 27115-2025")</f>
        <v/>
      </c>
      <c r="Y29">
        <f>HYPERLINK("https://klasma.github.io/Logging_2523/tillsynsmail/A 27115-2025 tillsynsbegäran mail.docx", "A 27115-2025")</f>
        <v/>
      </c>
    </row>
    <row r="30" ht="15" customHeight="1">
      <c r="A30" t="inlineStr">
        <is>
          <t>A 5793-2025</t>
        </is>
      </c>
      <c r="B30" s="1" t="n">
        <v>45694</v>
      </c>
      <c r="C30" s="1" t="n">
        <v>45901</v>
      </c>
      <c r="D30" t="inlineStr">
        <is>
          <t>NORRBOTTENS LÄN</t>
        </is>
      </c>
      <c r="E30" t="inlineStr">
        <is>
          <t>GÄLLIVARE</t>
        </is>
      </c>
      <c r="F30" t="inlineStr">
        <is>
          <t>SCA</t>
        </is>
      </c>
      <c r="G30" t="n">
        <v>2.4</v>
      </c>
      <c r="H30" t="n">
        <v>0</v>
      </c>
      <c r="I30" t="n">
        <v>0</v>
      </c>
      <c r="J30" t="n">
        <v>2</v>
      </c>
      <c r="K30" t="n">
        <v>0</v>
      </c>
      <c r="L30" t="n">
        <v>0</v>
      </c>
      <c r="M30" t="n">
        <v>0</v>
      </c>
      <c r="N30" t="n">
        <v>0</v>
      </c>
      <c r="O30" t="n">
        <v>2</v>
      </c>
      <c r="P30" t="n">
        <v>0</v>
      </c>
      <c r="Q30" t="n">
        <v>2</v>
      </c>
      <c r="R30" s="2" t="inlineStr">
        <is>
          <t>Gammelgransskål
Garnlav</t>
        </is>
      </c>
      <c r="S30">
        <f>HYPERLINK("https://klasma.github.io/Logging_2523/artfynd/A 5793-2025 artfynd.xlsx", "A 5793-2025")</f>
        <v/>
      </c>
      <c r="T30">
        <f>HYPERLINK("https://klasma.github.io/Logging_2523/kartor/A 5793-2025 karta.png", "A 5793-2025")</f>
        <v/>
      </c>
      <c r="V30">
        <f>HYPERLINK("https://klasma.github.io/Logging_2523/klagomål/A 5793-2025 FSC-klagomål.docx", "A 5793-2025")</f>
        <v/>
      </c>
      <c r="W30">
        <f>HYPERLINK("https://klasma.github.io/Logging_2523/klagomålsmail/A 5793-2025 FSC-klagomål mail.docx", "A 5793-2025")</f>
        <v/>
      </c>
      <c r="X30">
        <f>HYPERLINK("https://klasma.github.io/Logging_2523/tillsyn/A 5793-2025 tillsynsbegäran.docx", "A 5793-2025")</f>
        <v/>
      </c>
      <c r="Y30">
        <f>HYPERLINK("https://klasma.github.io/Logging_2523/tillsynsmail/A 5793-2025 tillsynsbegäran mail.docx", "A 5793-2025")</f>
        <v/>
      </c>
    </row>
    <row r="31" ht="15" customHeight="1">
      <c r="A31" t="inlineStr">
        <is>
          <t>A 30326-2025</t>
        </is>
      </c>
      <c r="B31" s="1" t="n">
        <v>45827.50583333334</v>
      </c>
      <c r="C31" s="1" t="n">
        <v>45901</v>
      </c>
      <c r="D31" t="inlineStr">
        <is>
          <t>NORRBOTTENS LÄN</t>
        </is>
      </c>
      <c r="E31" t="inlineStr">
        <is>
          <t>GÄLLIVARE</t>
        </is>
      </c>
      <c r="F31" t="inlineStr">
        <is>
          <t>Sveaskog</t>
        </is>
      </c>
      <c r="G31" t="n">
        <v>14.5</v>
      </c>
      <c r="H31" t="n">
        <v>1</v>
      </c>
      <c r="I31" t="n">
        <v>1</v>
      </c>
      <c r="J31" t="n">
        <v>1</v>
      </c>
      <c r="K31" t="n">
        <v>0</v>
      </c>
      <c r="L31" t="n">
        <v>0</v>
      </c>
      <c r="M31" t="n">
        <v>0</v>
      </c>
      <c r="N31" t="n">
        <v>0</v>
      </c>
      <c r="O31" t="n">
        <v>1</v>
      </c>
      <c r="P31" t="n">
        <v>0</v>
      </c>
      <c r="Q31" t="n">
        <v>2</v>
      </c>
      <c r="R31" s="2" t="inlineStr">
        <is>
          <t>Garnlav
Plattlummer</t>
        </is>
      </c>
      <c r="S31">
        <f>HYPERLINK("https://klasma.github.io/Logging_2523/artfynd/A 30326-2025 artfynd.xlsx", "A 30326-2025")</f>
        <v/>
      </c>
      <c r="T31">
        <f>HYPERLINK("https://klasma.github.io/Logging_2523/kartor/A 30326-2025 karta.png", "A 30326-2025")</f>
        <v/>
      </c>
      <c r="V31">
        <f>HYPERLINK("https://klasma.github.io/Logging_2523/klagomål/A 30326-2025 FSC-klagomål.docx", "A 30326-2025")</f>
        <v/>
      </c>
      <c r="W31">
        <f>HYPERLINK("https://klasma.github.io/Logging_2523/klagomålsmail/A 30326-2025 FSC-klagomål mail.docx", "A 30326-2025")</f>
        <v/>
      </c>
      <c r="X31">
        <f>HYPERLINK("https://klasma.github.io/Logging_2523/tillsyn/A 30326-2025 tillsynsbegäran.docx", "A 30326-2025")</f>
        <v/>
      </c>
      <c r="Y31">
        <f>HYPERLINK("https://klasma.github.io/Logging_2523/tillsynsmail/A 30326-2025 tillsynsbegäran mail.docx", "A 30326-2025")</f>
        <v/>
      </c>
    </row>
    <row r="32" ht="15" customHeight="1">
      <c r="A32" t="inlineStr">
        <is>
          <t>A 41651-2023</t>
        </is>
      </c>
      <c r="B32" s="1" t="n">
        <v>45175</v>
      </c>
      <c r="C32" s="1" t="n">
        <v>45901</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36252-2023</t>
        </is>
      </c>
      <c r="B33" s="1" t="n">
        <v>45150</v>
      </c>
      <c r="C33" s="1" t="n">
        <v>45901</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41650-2023</t>
        </is>
      </c>
      <c r="B34" s="1" t="n">
        <v>45175</v>
      </c>
      <c r="C34" s="1" t="n">
        <v>45901</v>
      </c>
      <c r="D34" t="inlineStr">
        <is>
          <t>NORRBOTTENS LÄN</t>
        </is>
      </c>
      <c r="E34" t="inlineStr">
        <is>
          <t>GÄLLIVARE</t>
        </is>
      </c>
      <c r="F34" t="inlineStr">
        <is>
          <t>SCA</t>
        </is>
      </c>
      <c r="G34" t="n">
        <v>16.1</v>
      </c>
      <c r="H34" t="n">
        <v>0</v>
      </c>
      <c r="I34" t="n">
        <v>0</v>
      </c>
      <c r="J34" t="n">
        <v>1</v>
      </c>
      <c r="K34" t="n">
        <v>1</v>
      </c>
      <c r="L34" t="n">
        <v>0</v>
      </c>
      <c r="M34" t="n">
        <v>0</v>
      </c>
      <c r="N34" t="n">
        <v>0</v>
      </c>
      <c r="O34" t="n">
        <v>2</v>
      </c>
      <c r="P34" t="n">
        <v>1</v>
      </c>
      <c r="Q34" t="n">
        <v>2</v>
      </c>
      <c r="R34" s="2" t="inlineStr">
        <is>
          <t>Gräddporing
Vaddporing</t>
        </is>
      </c>
      <c r="S34">
        <f>HYPERLINK("https://klasma.github.io/Logging_2523/artfynd/A 41650-2023 artfynd.xlsx", "A 41650-2023")</f>
        <v/>
      </c>
      <c r="T34">
        <f>HYPERLINK("https://klasma.github.io/Logging_2523/kartor/A 41650-2023 karta.png", "A 41650-2023")</f>
        <v/>
      </c>
      <c r="V34">
        <f>HYPERLINK("https://klasma.github.io/Logging_2523/klagomål/A 41650-2023 FSC-klagomål.docx", "A 41650-2023")</f>
        <v/>
      </c>
      <c r="W34">
        <f>HYPERLINK("https://klasma.github.io/Logging_2523/klagomålsmail/A 41650-2023 FSC-klagomål mail.docx", "A 41650-2023")</f>
        <v/>
      </c>
      <c r="X34">
        <f>HYPERLINK("https://klasma.github.io/Logging_2523/tillsyn/A 41650-2023 tillsynsbegäran.docx", "A 41650-2023")</f>
        <v/>
      </c>
      <c r="Y34">
        <f>HYPERLINK("https://klasma.github.io/Logging_2523/tillsynsmail/A 41650-2023 tillsynsbegäran mail.docx", "A 41650-2023")</f>
        <v/>
      </c>
    </row>
    <row r="35" ht="15" customHeight="1">
      <c r="A35" t="inlineStr">
        <is>
          <t>A 44309-2024</t>
        </is>
      </c>
      <c r="B35" s="1" t="n">
        <v>45573</v>
      </c>
      <c r="C35" s="1" t="n">
        <v>45901</v>
      </c>
      <c r="D35" t="inlineStr">
        <is>
          <t>NORRBOTTENS LÄN</t>
        </is>
      </c>
      <c r="E35" t="inlineStr">
        <is>
          <t>GÄLLIVARE</t>
        </is>
      </c>
      <c r="F35" t="inlineStr">
        <is>
          <t>Sveaskog</t>
        </is>
      </c>
      <c r="G35" t="n">
        <v>11.4</v>
      </c>
      <c r="H35" t="n">
        <v>0</v>
      </c>
      <c r="I35" t="n">
        <v>1</v>
      </c>
      <c r="J35" t="n">
        <v>1</v>
      </c>
      <c r="K35" t="n">
        <v>0</v>
      </c>
      <c r="L35" t="n">
        <v>0</v>
      </c>
      <c r="M35" t="n">
        <v>0</v>
      </c>
      <c r="N35" t="n">
        <v>0</v>
      </c>
      <c r="O35" t="n">
        <v>1</v>
      </c>
      <c r="P35" t="n">
        <v>0</v>
      </c>
      <c r="Q35" t="n">
        <v>2</v>
      </c>
      <c r="R35" s="2" t="inlineStr">
        <is>
          <t>Blå taggsvamp
Dropptaggsvamp</t>
        </is>
      </c>
      <c r="S35">
        <f>HYPERLINK("https://klasma.github.io/Logging_2523/artfynd/A 44309-2024 artfynd.xlsx", "A 44309-2024")</f>
        <v/>
      </c>
      <c r="T35">
        <f>HYPERLINK("https://klasma.github.io/Logging_2523/kartor/A 44309-2024 karta.png", "A 44309-2024")</f>
        <v/>
      </c>
      <c r="V35">
        <f>HYPERLINK("https://klasma.github.io/Logging_2523/klagomål/A 44309-2024 FSC-klagomål.docx", "A 44309-2024")</f>
        <v/>
      </c>
      <c r="W35">
        <f>HYPERLINK("https://klasma.github.io/Logging_2523/klagomålsmail/A 44309-2024 FSC-klagomål mail.docx", "A 44309-2024")</f>
        <v/>
      </c>
      <c r="X35">
        <f>HYPERLINK("https://klasma.github.io/Logging_2523/tillsyn/A 44309-2024 tillsynsbegäran.docx", "A 44309-2024")</f>
        <v/>
      </c>
      <c r="Y35">
        <f>HYPERLINK("https://klasma.github.io/Logging_2523/tillsynsmail/A 44309-2024 tillsynsbegäran mail.docx", "A 44309-2024")</f>
        <v/>
      </c>
    </row>
    <row r="36" ht="15" customHeight="1">
      <c r="A36" t="inlineStr">
        <is>
          <t>A 41134-2025</t>
        </is>
      </c>
      <c r="B36" s="1" t="n">
        <v>45898.48373842592</v>
      </c>
      <c r="C36" s="1" t="n">
        <v>45901</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5728-2025</t>
        </is>
      </c>
      <c r="B37" s="1" t="n">
        <v>45694</v>
      </c>
      <c r="C37" s="1" t="n">
        <v>45901</v>
      </c>
      <c r="D37" t="inlineStr">
        <is>
          <t>NORRBOTTENS LÄN</t>
        </is>
      </c>
      <c r="E37" t="inlineStr">
        <is>
          <t>GÄLLIVARE</t>
        </is>
      </c>
      <c r="F37" t="inlineStr">
        <is>
          <t>SCA</t>
        </is>
      </c>
      <c r="G37" t="n">
        <v>13.1</v>
      </c>
      <c r="H37" t="n">
        <v>0</v>
      </c>
      <c r="I37" t="n">
        <v>0</v>
      </c>
      <c r="J37" t="n">
        <v>2</v>
      </c>
      <c r="K37" t="n">
        <v>0</v>
      </c>
      <c r="L37" t="n">
        <v>0</v>
      </c>
      <c r="M37" t="n">
        <v>0</v>
      </c>
      <c r="N37" t="n">
        <v>0</v>
      </c>
      <c r="O37" t="n">
        <v>2</v>
      </c>
      <c r="P37" t="n">
        <v>0</v>
      </c>
      <c r="Q37" t="n">
        <v>2</v>
      </c>
      <c r="R37" s="2" t="inlineStr">
        <is>
          <t>Garnlav
Rosenticka</t>
        </is>
      </c>
      <c r="S37">
        <f>HYPERLINK("https://klasma.github.io/Logging_2523/artfynd/A 5728-2025 artfynd.xlsx", "A 5728-2025")</f>
        <v/>
      </c>
      <c r="T37">
        <f>HYPERLINK("https://klasma.github.io/Logging_2523/kartor/A 5728-2025 karta.png", "A 5728-2025")</f>
        <v/>
      </c>
      <c r="V37">
        <f>HYPERLINK("https://klasma.github.io/Logging_2523/klagomål/A 5728-2025 FSC-klagomål.docx", "A 5728-2025")</f>
        <v/>
      </c>
      <c r="W37">
        <f>HYPERLINK("https://klasma.github.io/Logging_2523/klagomålsmail/A 5728-2025 FSC-klagomål mail.docx", "A 5728-2025")</f>
        <v/>
      </c>
      <c r="X37">
        <f>HYPERLINK("https://klasma.github.io/Logging_2523/tillsyn/A 5728-2025 tillsynsbegäran.docx", "A 5728-2025")</f>
        <v/>
      </c>
      <c r="Y37">
        <f>HYPERLINK("https://klasma.github.io/Logging_2523/tillsynsmail/A 5728-2025 tillsynsbegäran mail.docx", "A 5728-2025")</f>
        <v/>
      </c>
    </row>
    <row r="38" ht="15" customHeight="1">
      <c r="A38" t="inlineStr">
        <is>
          <t>A 46856-2023</t>
        </is>
      </c>
      <c r="B38" s="1" t="n">
        <v>45199</v>
      </c>
      <c r="C38" s="1" t="n">
        <v>45901</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15155-2025</t>
        </is>
      </c>
      <c r="B39" s="1" t="n">
        <v>45744</v>
      </c>
      <c r="C39" s="1" t="n">
        <v>45901</v>
      </c>
      <c r="D39" t="inlineStr">
        <is>
          <t>NORRBOTTENS LÄN</t>
        </is>
      </c>
      <c r="E39" t="inlineStr">
        <is>
          <t>GÄLLIVARE</t>
        </is>
      </c>
      <c r="F39" t="inlineStr">
        <is>
          <t>Sveaskog</t>
        </is>
      </c>
      <c r="G39" t="n">
        <v>1.9</v>
      </c>
      <c r="H39" t="n">
        <v>1</v>
      </c>
      <c r="I39" t="n">
        <v>0</v>
      </c>
      <c r="J39" t="n">
        <v>2</v>
      </c>
      <c r="K39" t="n">
        <v>0</v>
      </c>
      <c r="L39" t="n">
        <v>0</v>
      </c>
      <c r="M39" t="n">
        <v>0</v>
      </c>
      <c r="N39" t="n">
        <v>0</v>
      </c>
      <c r="O39" t="n">
        <v>2</v>
      </c>
      <c r="P39" t="n">
        <v>0</v>
      </c>
      <c r="Q39" t="n">
        <v>2</v>
      </c>
      <c r="R39" s="2" t="inlineStr">
        <is>
          <t>Mospindling
Talltita</t>
        </is>
      </c>
      <c r="S39">
        <f>HYPERLINK("https://klasma.github.io/Logging_2523/artfynd/A 15155-2025 artfynd.xlsx", "A 15155-2025")</f>
        <v/>
      </c>
      <c r="T39">
        <f>HYPERLINK("https://klasma.github.io/Logging_2523/kartor/A 15155-2025 karta.png", "A 15155-2025")</f>
        <v/>
      </c>
      <c r="V39">
        <f>HYPERLINK("https://klasma.github.io/Logging_2523/klagomål/A 15155-2025 FSC-klagomål.docx", "A 15155-2025")</f>
        <v/>
      </c>
      <c r="W39">
        <f>HYPERLINK("https://klasma.github.io/Logging_2523/klagomålsmail/A 15155-2025 FSC-klagomål mail.docx", "A 15155-2025")</f>
        <v/>
      </c>
      <c r="X39">
        <f>HYPERLINK("https://klasma.github.io/Logging_2523/tillsyn/A 15155-2025 tillsynsbegäran.docx", "A 15155-2025")</f>
        <v/>
      </c>
      <c r="Y39">
        <f>HYPERLINK("https://klasma.github.io/Logging_2523/tillsynsmail/A 15155-2025 tillsynsbegäran mail.docx", "A 15155-2025")</f>
        <v/>
      </c>
      <c r="Z39">
        <f>HYPERLINK("https://klasma.github.io/Logging_2523/fåglar/A 15155-2025 prioriterade fågelarter.docx", "A 15155-2025")</f>
        <v/>
      </c>
    </row>
    <row r="40" ht="15" customHeight="1">
      <c r="A40" t="inlineStr">
        <is>
          <t>A 43092-2021</t>
        </is>
      </c>
      <c r="B40" s="1" t="n">
        <v>44431</v>
      </c>
      <c r="C40" s="1" t="n">
        <v>45901</v>
      </c>
      <c r="D40" t="inlineStr">
        <is>
          <t>NORRBOTTENS LÄN</t>
        </is>
      </c>
      <c r="E40" t="inlineStr">
        <is>
          <t>GÄLLIVARE</t>
        </is>
      </c>
      <c r="G40" t="n">
        <v>0.9</v>
      </c>
      <c r="H40" t="n">
        <v>1</v>
      </c>
      <c r="I40" t="n">
        <v>0</v>
      </c>
      <c r="J40" t="n">
        <v>1</v>
      </c>
      <c r="K40" t="n">
        <v>0</v>
      </c>
      <c r="L40" t="n">
        <v>0</v>
      </c>
      <c r="M40" t="n">
        <v>0</v>
      </c>
      <c r="N40" t="n">
        <v>0</v>
      </c>
      <c r="O40" t="n">
        <v>1</v>
      </c>
      <c r="P40" t="n">
        <v>0</v>
      </c>
      <c r="Q40" t="n">
        <v>1</v>
      </c>
      <c r="R40" s="2" t="inlineStr">
        <is>
          <t>Utter</t>
        </is>
      </c>
      <c r="S40">
        <f>HYPERLINK("https://klasma.github.io/Logging_2523/artfynd/A 43092-2021 artfynd.xlsx", "A 43092-2021")</f>
        <v/>
      </c>
      <c r="T40">
        <f>HYPERLINK("https://klasma.github.io/Logging_2523/kartor/A 43092-2021 karta.png", "A 43092-2021")</f>
        <v/>
      </c>
      <c r="V40">
        <f>HYPERLINK("https://klasma.github.io/Logging_2523/klagomål/A 43092-2021 FSC-klagomål.docx", "A 43092-2021")</f>
        <v/>
      </c>
      <c r="W40">
        <f>HYPERLINK("https://klasma.github.io/Logging_2523/klagomålsmail/A 43092-2021 FSC-klagomål mail.docx", "A 43092-2021")</f>
        <v/>
      </c>
      <c r="X40">
        <f>HYPERLINK("https://klasma.github.io/Logging_2523/tillsyn/A 43092-2021 tillsynsbegäran.docx", "A 43092-2021")</f>
        <v/>
      </c>
      <c r="Y40">
        <f>HYPERLINK("https://klasma.github.io/Logging_2523/tillsynsmail/A 43092-2021 tillsynsbegäran mail.docx", "A 43092-2021")</f>
        <v/>
      </c>
    </row>
    <row r="41" ht="15" customHeight="1">
      <c r="A41" t="inlineStr">
        <is>
          <t>A 45017-2021</t>
        </is>
      </c>
      <c r="B41" s="1" t="n">
        <v>44438</v>
      </c>
      <c r="C41" s="1" t="n">
        <v>45901</v>
      </c>
      <c r="D41" t="inlineStr">
        <is>
          <t>NORRBOTTENS LÄN</t>
        </is>
      </c>
      <c r="E41" t="inlineStr">
        <is>
          <t>GÄLLIVARE</t>
        </is>
      </c>
      <c r="F41" t="inlineStr">
        <is>
          <t>SCA</t>
        </is>
      </c>
      <c r="G41" t="n">
        <v>4.8</v>
      </c>
      <c r="H41" t="n">
        <v>0</v>
      </c>
      <c r="I41" t="n">
        <v>0</v>
      </c>
      <c r="J41" t="n">
        <v>1</v>
      </c>
      <c r="K41" t="n">
        <v>0</v>
      </c>
      <c r="L41" t="n">
        <v>0</v>
      </c>
      <c r="M41" t="n">
        <v>0</v>
      </c>
      <c r="N41" t="n">
        <v>0</v>
      </c>
      <c r="O41" t="n">
        <v>1</v>
      </c>
      <c r="P41" t="n">
        <v>0</v>
      </c>
      <c r="Q41" t="n">
        <v>1</v>
      </c>
      <c r="R41" s="2" t="inlineStr">
        <is>
          <t>Garnlav</t>
        </is>
      </c>
      <c r="S41">
        <f>HYPERLINK("https://klasma.github.io/Logging_2523/artfynd/A 45017-2021 artfynd.xlsx", "A 45017-2021")</f>
        <v/>
      </c>
      <c r="T41">
        <f>HYPERLINK("https://klasma.github.io/Logging_2523/kartor/A 45017-2021 karta.png", "A 45017-2021")</f>
        <v/>
      </c>
      <c r="V41">
        <f>HYPERLINK("https://klasma.github.io/Logging_2523/klagomål/A 45017-2021 FSC-klagomål.docx", "A 45017-2021")</f>
        <v/>
      </c>
      <c r="W41">
        <f>HYPERLINK("https://klasma.github.io/Logging_2523/klagomålsmail/A 45017-2021 FSC-klagomål mail.docx", "A 45017-2021")</f>
        <v/>
      </c>
      <c r="X41">
        <f>HYPERLINK("https://klasma.github.io/Logging_2523/tillsyn/A 45017-2021 tillsynsbegäran.docx", "A 45017-2021")</f>
        <v/>
      </c>
      <c r="Y41">
        <f>HYPERLINK("https://klasma.github.io/Logging_2523/tillsynsmail/A 45017-2021 tillsynsbegäran mail.docx", "A 45017-2021")</f>
        <v/>
      </c>
    </row>
    <row r="42" ht="15" customHeight="1">
      <c r="A42" t="inlineStr">
        <is>
          <t>A 18043-2024</t>
        </is>
      </c>
      <c r="B42" s="1" t="n">
        <v>45420</v>
      </c>
      <c r="C42" s="1" t="n">
        <v>45901</v>
      </c>
      <c r="D42" t="inlineStr">
        <is>
          <t>NORRBOTTENS LÄN</t>
        </is>
      </c>
      <c r="E42" t="inlineStr">
        <is>
          <t>GÄLLIVARE</t>
        </is>
      </c>
      <c r="G42" t="n">
        <v>35.5</v>
      </c>
      <c r="H42" t="n">
        <v>0</v>
      </c>
      <c r="I42" t="n">
        <v>0</v>
      </c>
      <c r="J42" t="n">
        <v>1</v>
      </c>
      <c r="K42" t="n">
        <v>0</v>
      </c>
      <c r="L42" t="n">
        <v>0</v>
      </c>
      <c r="M42" t="n">
        <v>0</v>
      </c>
      <c r="N42" t="n">
        <v>0</v>
      </c>
      <c r="O42" t="n">
        <v>1</v>
      </c>
      <c r="P42" t="n">
        <v>0</v>
      </c>
      <c r="Q42" t="n">
        <v>1</v>
      </c>
      <c r="R42" s="2" t="inlineStr">
        <is>
          <t>Garnlav</t>
        </is>
      </c>
      <c r="S42">
        <f>HYPERLINK("https://klasma.github.io/Logging_2523/artfynd/A 18043-2024 artfynd.xlsx", "A 18043-2024")</f>
        <v/>
      </c>
      <c r="T42">
        <f>HYPERLINK("https://klasma.github.io/Logging_2523/kartor/A 18043-2024 karta.png", "A 18043-2024")</f>
        <v/>
      </c>
      <c r="V42">
        <f>HYPERLINK("https://klasma.github.io/Logging_2523/klagomål/A 18043-2024 FSC-klagomål.docx", "A 18043-2024")</f>
        <v/>
      </c>
      <c r="W42">
        <f>HYPERLINK("https://klasma.github.io/Logging_2523/klagomålsmail/A 18043-2024 FSC-klagomål mail.docx", "A 18043-2024")</f>
        <v/>
      </c>
      <c r="X42">
        <f>HYPERLINK("https://klasma.github.io/Logging_2523/tillsyn/A 18043-2024 tillsynsbegäran.docx", "A 18043-2024")</f>
        <v/>
      </c>
      <c r="Y42">
        <f>HYPERLINK("https://klasma.github.io/Logging_2523/tillsynsmail/A 18043-2024 tillsynsbegäran mail.docx", "A 18043-2024")</f>
        <v/>
      </c>
    </row>
    <row r="43" ht="15" customHeight="1">
      <c r="A43" t="inlineStr">
        <is>
          <t>A 23578-2025</t>
        </is>
      </c>
      <c r="B43" s="1" t="n">
        <v>45792</v>
      </c>
      <c r="C43" s="1" t="n">
        <v>45901</v>
      </c>
      <c r="D43" t="inlineStr">
        <is>
          <t>NORRBOTTENS LÄN</t>
        </is>
      </c>
      <c r="E43" t="inlineStr">
        <is>
          <t>GÄLLIVARE</t>
        </is>
      </c>
      <c r="F43" t="inlineStr">
        <is>
          <t>Allmännings- och besparingsskogar</t>
        </is>
      </c>
      <c r="G43" t="n">
        <v>51.6</v>
      </c>
      <c r="H43" t="n">
        <v>0</v>
      </c>
      <c r="I43" t="n">
        <v>0</v>
      </c>
      <c r="J43" t="n">
        <v>1</v>
      </c>
      <c r="K43" t="n">
        <v>0</v>
      </c>
      <c r="L43" t="n">
        <v>0</v>
      </c>
      <c r="M43" t="n">
        <v>0</v>
      </c>
      <c r="N43" t="n">
        <v>0</v>
      </c>
      <c r="O43" t="n">
        <v>1</v>
      </c>
      <c r="P43" t="n">
        <v>0</v>
      </c>
      <c r="Q43" t="n">
        <v>1</v>
      </c>
      <c r="R43" s="2" t="inlineStr">
        <is>
          <t>Garnlav</t>
        </is>
      </c>
      <c r="S43">
        <f>HYPERLINK("https://klasma.github.io/Logging_2523/artfynd/A 23578-2025 artfynd.xlsx", "A 23578-2025")</f>
        <v/>
      </c>
      <c r="T43">
        <f>HYPERLINK("https://klasma.github.io/Logging_2523/kartor/A 23578-2025 karta.png", "A 23578-2025")</f>
        <v/>
      </c>
      <c r="V43">
        <f>HYPERLINK("https://klasma.github.io/Logging_2523/klagomål/A 23578-2025 FSC-klagomål.docx", "A 23578-2025")</f>
        <v/>
      </c>
      <c r="W43">
        <f>HYPERLINK("https://klasma.github.io/Logging_2523/klagomålsmail/A 23578-2025 FSC-klagomål mail.docx", "A 23578-2025")</f>
        <v/>
      </c>
      <c r="X43">
        <f>HYPERLINK("https://klasma.github.io/Logging_2523/tillsyn/A 23578-2025 tillsynsbegäran.docx", "A 23578-2025")</f>
        <v/>
      </c>
      <c r="Y43">
        <f>HYPERLINK("https://klasma.github.io/Logging_2523/tillsynsmail/A 23578-2025 tillsynsbegäran mail.docx", "A 23578-2025")</f>
        <v/>
      </c>
    </row>
    <row r="44" ht="15" customHeight="1">
      <c r="A44" t="inlineStr">
        <is>
          <t>A 53801-2024</t>
        </is>
      </c>
      <c r="B44" s="1" t="n">
        <v>45615</v>
      </c>
      <c r="C44" s="1" t="n">
        <v>45901</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27114-2025</t>
        </is>
      </c>
      <c r="B45" s="1" t="n">
        <v>45811.74068287037</v>
      </c>
      <c r="C45" s="1" t="n">
        <v>45901</v>
      </c>
      <c r="D45" t="inlineStr">
        <is>
          <t>NORRBOTTENS LÄN</t>
        </is>
      </c>
      <c r="E45" t="inlineStr">
        <is>
          <t>GÄLLIVARE</t>
        </is>
      </c>
      <c r="F45" t="inlineStr">
        <is>
          <t>Sveaskog</t>
        </is>
      </c>
      <c r="G45" t="n">
        <v>2.4</v>
      </c>
      <c r="H45" t="n">
        <v>0</v>
      </c>
      <c r="I45" t="n">
        <v>1</v>
      </c>
      <c r="J45" t="n">
        <v>0</v>
      </c>
      <c r="K45" t="n">
        <v>0</v>
      </c>
      <c r="L45" t="n">
        <v>0</v>
      </c>
      <c r="M45" t="n">
        <v>0</v>
      </c>
      <c r="N45" t="n">
        <v>0</v>
      </c>
      <c r="O45" t="n">
        <v>0</v>
      </c>
      <c r="P45" t="n">
        <v>0</v>
      </c>
      <c r="Q45" t="n">
        <v>1</v>
      </c>
      <c r="R45" s="2" t="inlineStr">
        <is>
          <t>Dropptaggsvamp</t>
        </is>
      </c>
      <c r="S45">
        <f>HYPERLINK("https://klasma.github.io/Logging_2523/artfynd/A 27114-2025 artfynd.xlsx", "A 27114-2025")</f>
        <v/>
      </c>
      <c r="T45">
        <f>HYPERLINK("https://klasma.github.io/Logging_2523/kartor/A 27114-2025 karta.png", "A 27114-2025")</f>
        <v/>
      </c>
      <c r="V45">
        <f>HYPERLINK("https://klasma.github.io/Logging_2523/klagomål/A 27114-2025 FSC-klagomål.docx", "A 27114-2025")</f>
        <v/>
      </c>
      <c r="W45">
        <f>HYPERLINK("https://klasma.github.io/Logging_2523/klagomålsmail/A 27114-2025 FSC-klagomål mail.docx", "A 27114-2025")</f>
        <v/>
      </c>
      <c r="X45">
        <f>HYPERLINK("https://klasma.github.io/Logging_2523/tillsyn/A 27114-2025 tillsynsbegäran.docx", "A 27114-2025")</f>
        <v/>
      </c>
      <c r="Y45">
        <f>HYPERLINK("https://klasma.github.io/Logging_2523/tillsynsmail/A 27114-2025 tillsynsbegäran mail.docx", "A 27114-2025")</f>
        <v/>
      </c>
    </row>
    <row r="46" ht="15" customHeight="1">
      <c r="A46" t="inlineStr">
        <is>
          <t>A 36479-2025</t>
        </is>
      </c>
      <c r="B46" s="1" t="n">
        <v>45869.49376157407</v>
      </c>
      <c r="C46" s="1" t="n">
        <v>45901</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27336-2023</t>
        </is>
      </c>
      <c r="B47" s="1" t="n">
        <v>45096</v>
      </c>
      <c r="C47" s="1" t="n">
        <v>45901</v>
      </c>
      <c r="D47" t="inlineStr">
        <is>
          <t>NORRBOTTENS LÄN</t>
        </is>
      </c>
      <c r="E47" t="inlineStr">
        <is>
          <t>GÄLLIVARE</t>
        </is>
      </c>
      <c r="G47" t="n">
        <v>1.8</v>
      </c>
      <c r="H47" t="n">
        <v>0</v>
      </c>
      <c r="I47" t="n">
        <v>1</v>
      </c>
      <c r="J47" t="n">
        <v>0</v>
      </c>
      <c r="K47" t="n">
        <v>0</v>
      </c>
      <c r="L47" t="n">
        <v>0</v>
      </c>
      <c r="M47" t="n">
        <v>0</v>
      </c>
      <c r="N47" t="n">
        <v>0</v>
      </c>
      <c r="O47" t="n">
        <v>0</v>
      </c>
      <c r="P47" t="n">
        <v>0</v>
      </c>
      <c r="Q47" t="n">
        <v>1</v>
      </c>
      <c r="R47" s="2" t="inlineStr">
        <is>
          <t>Dropptaggsvamp</t>
        </is>
      </c>
      <c r="S47">
        <f>HYPERLINK("https://klasma.github.io/Logging_2523/artfynd/A 27336-2023 artfynd.xlsx", "A 27336-2023")</f>
        <v/>
      </c>
      <c r="T47">
        <f>HYPERLINK("https://klasma.github.io/Logging_2523/kartor/A 27336-2023 karta.png", "A 27336-2023")</f>
        <v/>
      </c>
      <c r="V47">
        <f>HYPERLINK("https://klasma.github.io/Logging_2523/klagomål/A 27336-2023 FSC-klagomål.docx", "A 27336-2023")</f>
        <v/>
      </c>
      <c r="W47">
        <f>HYPERLINK("https://klasma.github.io/Logging_2523/klagomålsmail/A 27336-2023 FSC-klagomål mail.docx", "A 27336-2023")</f>
        <v/>
      </c>
      <c r="X47">
        <f>HYPERLINK("https://klasma.github.io/Logging_2523/tillsyn/A 27336-2023 tillsynsbegäran.docx", "A 27336-2023")</f>
        <v/>
      </c>
      <c r="Y47">
        <f>HYPERLINK("https://klasma.github.io/Logging_2523/tillsynsmail/A 27336-2023 tillsynsbegäran mail.docx", "A 27336-2023")</f>
        <v/>
      </c>
    </row>
    <row r="48" ht="15" customHeight="1">
      <c r="A48" t="inlineStr">
        <is>
          <t>A 31651-2025</t>
        </is>
      </c>
      <c r="B48" s="1" t="n">
        <v>45834.34667824074</v>
      </c>
      <c r="C48" s="1" t="n">
        <v>45901</v>
      </c>
      <c r="D48" t="inlineStr">
        <is>
          <t>NORRBOTTENS LÄN</t>
        </is>
      </c>
      <c r="E48" t="inlineStr">
        <is>
          <t>GÄLLIVARE</t>
        </is>
      </c>
      <c r="F48" t="inlineStr">
        <is>
          <t>SCA</t>
        </is>
      </c>
      <c r="G48" t="n">
        <v>4.4</v>
      </c>
      <c r="H48" t="n">
        <v>0</v>
      </c>
      <c r="I48" t="n">
        <v>0</v>
      </c>
      <c r="J48" t="n">
        <v>1</v>
      </c>
      <c r="K48" t="n">
        <v>0</v>
      </c>
      <c r="L48" t="n">
        <v>0</v>
      </c>
      <c r="M48" t="n">
        <v>0</v>
      </c>
      <c r="N48" t="n">
        <v>0</v>
      </c>
      <c r="O48" t="n">
        <v>1</v>
      </c>
      <c r="P48" t="n">
        <v>0</v>
      </c>
      <c r="Q48" t="n">
        <v>1</v>
      </c>
      <c r="R48" s="2" t="inlineStr">
        <is>
          <t>Talltaggsvamp</t>
        </is>
      </c>
      <c r="S48">
        <f>HYPERLINK("https://klasma.github.io/Logging_2523/artfynd/A 31651-2025 artfynd.xlsx", "A 31651-2025")</f>
        <v/>
      </c>
      <c r="T48">
        <f>HYPERLINK("https://klasma.github.io/Logging_2523/kartor/A 31651-2025 karta.png", "A 31651-2025")</f>
        <v/>
      </c>
      <c r="V48">
        <f>HYPERLINK("https://klasma.github.io/Logging_2523/klagomål/A 31651-2025 FSC-klagomål.docx", "A 31651-2025")</f>
        <v/>
      </c>
      <c r="W48">
        <f>HYPERLINK("https://klasma.github.io/Logging_2523/klagomålsmail/A 31651-2025 FSC-klagomål mail.docx", "A 31651-2025")</f>
        <v/>
      </c>
      <c r="X48">
        <f>HYPERLINK("https://klasma.github.io/Logging_2523/tillsyn/A 31651-2025 tillsynsbegäran.docx", "A 31651-2025")</f>
        <v/>
      </c>
      <c r="Y48">
        <f>HYPERLINK("https://klasma.github.io/Logging_2523/tillsynsmail/A 31651-2025 tillsynsbegäran mail.docx", "A 31651-2025")</f>
        <v/>
      </c>
    </row>
    <row r="49" ht="15" customHeight="1">
      <c r="A49" t="inlineStr">
        <is>
          <t>A 4908-2025</t>
        </is>
      </c>
      <c r="B49" s="1" t="n">
        <v>45688</v>
      </c>
      <c r="C49" s="1" t="n">
        <v>45901</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36488-2025</t>
        </is>
      </c>
      <c r="B50" s="1" t="n">
        <v>45869.51623842592</v>
      </c>
      <c r="C50" s="1" t="n">
        <v>45901</v>
      </c>
      <c r="D50" t="inlineStr">
        <is>
          <t>NORRBOTTENS LÄN</t>
        </is>
      </c>
      <c r="E50" t="inlineStr">
        <is>
          <t>GÄLLIVARE</t>
        </is>
      </c>
      <c r="F50" t="inlineStr">
        <is>
          <t>Sveaskog</t>
        </is>
      </c>
      <c r="G50" t="n">
        <v>1.4</v>
      </c>
      <c r="H50" t="n">
        <v>1</v>
      </c>
      <c r="I50" t="n">
        <v>0</v>
      </c>
      <c r="J50" t="n">
        <v>0</v>
      </c>
      <c r="K50" t="n">
        <v>0</v>
      </c>
      <c r="L50" t="n">
        <v>0</v>
      </c>
      <c r="M50" t="n">
        <v>0</v>
      </c>
      <c r="N50" t="n">
        <v>0</v>
      </c>
      <c r="O50" t="n">
        <v>0</v>
      </c>
      <c r="P50" t="n">
        <v>0</v>
      </c>
      <c r="Q50" t="n">
        <v>1</v>
      </c>
      <c r="R50" s="2" t="inlineStr">
        <is>
          <t>Revlummer</t>
        </is>
      </c>
      <c r="S50">
        <f>HYPERLINK("https://klasma.github.io/Logging_2523/artfynd/A 36488-2025 artfynd.xlsx", "A 36488-2025")</f>
        <v/>
      </c>
      <c r="T50">
        <f>HYPERLINK("https://klasma.github.io/Logging_2523/kartor/A 36488-2025 karta.png", "A 36488-2025")</f>
        <v/>
      </c>
      <c r="U50">
        <f>HYPERLINK("https://klasma.github.io/Logging_2523/knärot/A 36488-2025 karta knärot.png", "A 36488-2025")</f>
        <v/>
      </c>
      <c r="V50">
        <f>HYPERLINK("https://klasma.github.io/Logging_2523/klagomål/A 36488-2025 FSC-klagomål.docx", "A 36488-2025")</f>
        <v/>
      </c>
      <c r="W50">
        <f>HYPERLINK("https://klasma.github.io/Logging_2523/klagomålsmail/A 36488-2025 FSC-klagomål mail.docx", "A 36488-2025")</f>
        <v/>
      </c>
      <c r="X50">
        <f>HYPERLINK("https://klasma.github.io/Logging_2523/tillsyn/A 36488-2025 tillsynsbegäran.docx", "A 36488-2025")</f>
        <v/>
      </c>
      <c r="Y50">
        <f>HYPERLINK("https://klasma.github.io/Logging_2523/tillsynsmail/A 36488-2025 tillsynsbegäran mail.docx", "A 36488-2025")</f>
        <v/>
      </c>
    </row>
    <row r="51" ht="15" customHeight="1">
      <c r="A51" t="inlineStr">
        <is>
          <t>A 40151-2025</t>
        </is>
      </c>
      <c r="B51" s="1" t="n">
        <v>45894</v>
      </c>
      <c r="C51" s="1" t="n">
        <v>45901</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34848-2025</t>
        </is>
      </c>
      <c r="B52" s="1" t="n">
        <v>45849.4200462963</v>
      </c>
      <c r="C52" s="1" t="n">
        <v>45901</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57535-2021</t>
        </is>
      </c>
      <c r="B53" s="1" t="n">
        <v>44483</v>
      </c>
      <c r="C53" s="1" t="n">
        <v>45901</v>
      </c>
      <c r="D53" t="inlineStr">
        <is>
          <t>NORRBOTTENS LÄN</t>
        </is>
      </c>
      <c r="E53" t="inlineStr">
        <is>
          <t>GÄLLIVARE</t>
        </is>
      </c>
      <c r="G53" t="n">
        <v>20.6</v>
      </c>
      <c r="H53" t="n">
        <v>1</v>
      </c>
      <c r="I53" t="n">
        <v>0</v>
      </c>
      <c r="J53" t="n">
        <v>0</v>
      </c>
      <c r="K53" t="n">
        <v>0</v>
      </c>
      <c r="L53" t="n">
        <v>0</v>
      </c>
      <c r="M53" t="n">
        <v>0</v>
      </c>
      <c r="N53" t="n">
        <v>0</v>
      </c>
      <c r="O53" t="n">
        <v>0</v>
      </c>
      <c r="P53" t="n">
        <v>0</v>
      </c>
      <c r="Q53" t="n">
        <v>1</v>
      </c>
      <c r="R53" s="2" t="inlineStr">
        <is>
          <t>Revlummer</t>
        </is>
      </c>
      <c r="S53">
        <f>HYPERLINK("https://klasma.github.io/Logging_2523/artfynd/A 57535-2021 artfynd.xlsx", "A 57535-2021")</f>
        <v/>
      </c>
      <c r="T53">
        <f>HYPERLINK("https://klasma.github.io/Logging_2523/kartor/A 57535-2021 karta.png", "A 57535-2021")</f>
        <v/>
      </c>
      <c r="V53">
        <f>HYPERLINK("https://klasma.github.io/Logging_2523/klagomål/A 57535-2021 FSC-klagomål.docx", "A 57535-2021")</f>
        <v/>
      </c>
      <c r="W53">
        <f>HYPERLINK("https://klasma.github.io/Logging_2523/klagomålsmail/A 57535-2021 FSC-klagomål mail.docx", "A 57535-2021")</f>
        <v/>
      </c>
      <c r="X53">
        <f>HYPERLINK("https://klasma.github.io/Logging_2523/tillsyn/A 57535-2021 tillsynsbegäran.docx", "A 57535-2021")</f>
        <v/>
      </c>
      <c r="Y53">
        <f>HYPERLINK("https://klasma.github.io/Logging_2523/tillsynsmail/A 57535-2021 tillsynsbegäran mail.docx", "A 57535-2021")</f>
        <v/>
      </c>
    </row>
    <row r="54" ht="15" customHeight="1">
      <c r="A54" t="inlineStr">
        <is>
          <t>A 51389-2023</t>
        </is>
      </c>
      <c r="B54" s="1" t="n">
        <v>45213</v>
      </c>
      <c r="C54" s="1" t="n">
        <v>45901</v>
      </c>
      <c r="D54" t="inlineStr">
        <is>
          <t>NORRBOTTENS LÄN</t>
        </is>
      </c>
      <c r="E54" t="inlineStr">
        <is>
          <t>GÄLLIVARE</t>
        </is>
      </c>
      <c r="G54" t="n">
        <v>4.5</v>
      </c>
      <c r="H54" t="n">
        <v>1</v>
      </c>
      <c r="I54" t="n">
        <v>0</v>
      </c>
      <c r="J54" t="n">
        <v>1</v>
      </c>
      <c r="K54" t="n">
        <v>0</v>
      </c>
      <c r="L54" t="n">
        <v>0</v>
      </c>
      <c r="M54" t="n">
        <v>0</v>
      </c>
      <c r="N54" t="n">
        <v>0</v>
      </c>
      <c r="O54" t="n">
        <v>1</v>
      </c>
      <c r="P54" t="n">
        <v>0</v>
      </c>
      <c r="Q54" t="n">
        <v>1</v>
      </c>
      <c r="R54" s="2" t="inlineStr">
        <is>
          <t>Spillkråka</t>
        </is>
      </c>
      <c r="S54">
        <f>HYPERLINK("https://klasma.github.io/Logging_2523/artfynd/A 51389-2023 artfynd.xlsx", "A 51389-2023")</f>
        <v/>
      </c>
      <c r="T54">
        <f>HYPERLINK("https://klasma.github.io/Logging_2523/kartor/A 51389-2023 karta.png", "A 51389-2023")</f>
        <v/>
      </c>
      <c r="V54">
        <f>HYPERLINK("https://klasma.github.io/Logging_2523/klagomål/A 51389-2023 FSC-klagomål.docx", "A 51389-2023")</f>
        <v/>
      </c>
      <c r="W54">
        <f>HYPERLINK("https://klasma.github.io/Logging_2523/klagomålsmail/A 51389-2023 FSC-klagomål mail.docx", "A 51389-2023")</f>
        <v/>
      </c>
      <c r="X54">
        <f>HYPERLINK("https://klasma.github.io/Logging_2523/tillsyn/A 51389-2023 tillsynsbegäran.docx", "A 51389-2023")</f>
        <v/>
      </c>
      <c r="Y54">
        <f>HYPERLINK("https://klasma.github.io/Logging_2523/tillsynsmail/A 51389-2023 tillsynsbegäran mail.docx", "A 51389-2023")</f>
        <v/>
      </c>
      <c r="Z54">
        <f>HYPERLINK("https://klasma.github.io/Logging_2523/fåglar/A 51389-2023 prioriterade fågelarter.docx", "A 51389-2023")</f>
        <v/>
      </c>
    </row>
    <row r="55" ht="15" customHeight="1">
      <c r="A55" t="inlineStr">
        <is>
          <t>A 49019-2020</t>
        </is>
      </c>
      <c r="B55" s="1" t="n">
        <v>44104</v>
      </c>
      <c r="C55" s="1" t="n">
        <v>45901</v>
      </c>
      <c r="D55" t="inlineStr">
        <is>
          <t>NORRBOTTENS LÄN</t>
        </is>
      </c>
      <c r="E55" t="inlineStr">
        <is>
          <t>GÄLLIVARE</t>
        </is>
      </c>
      <c r="G55" t="n">
        <v>2.1</v>
      </c>
      <c r="H55" t="n">
        <v>0</v>
      </c>
      <c r="I55" t="n">
        <v>0</v>
      </c>
      <c r="J55" t="n">
        <v>0</v>
      </c>
      <c r="K55" t="n">
        <v>0</v>
      </c>
      <c r="L55" t="n">
        <v>0</v>
      </c>
      <c r="M55" t="n">
        <v>0</v>
      </c>
      <c r="N55" t="n">
        <v>0</v>
      </c>
      <c r="O55" t="n">
        <v>0</v>
      </c>
      <c r="P55" t="n">
        <v>0</v>
      </c>
      <c r="Q55" t="n">
        <v>0</v>
      </c>
      <c r="R55" s="2" t="inlineStr"/>
    </row>
    <row r="56" ht="15" customHeight="1">
      <c r="A56" t="inlineStr">
        <is>
          <t>A 55180-2020</t>
        </is>
      </c>
      <c r="B56" s="1" t="n">
        <v>44130</v>
      </c>
      <c r="C56" s="1" t="n">
        <v>45901</v>
      </c>
      <c r="D56" t="inlineStr">
        <is>
          <t>NORRBOTTENS LÄN</t>
        </is>
      </c>
      <c r="E56" t="inlineStr">
        <is>
          <t>GÄLLIVARE</t>
        </is>
      </c>
      <c r="G56" t="n">
        <v>5.3</v>
      </c>
      <c r="H56" t="n">
        <v>0</v>
      </c>
      <c r="I56" t="n">
        <v>0</v>
      </c>
      <c r="J56" t="n">
        <v>0</v>
      </c>
      <c r="K56" t="n">
        <v>0</v>
      </c>
      <c r="L56" t="n">
        <v>0</v>
      </c>
      <c r="M56" t="n">
        <v>0</v>
      </c>
      <c r="N56" t="n">
        <v>0</v>
      </c>
      <c r="O56" t="n">
        <v>0</v>
      </c>
      <c r="P56" t="n">
        <v>0</v>
      </c>
      <c r="Q56" t="n">
        <v>0</v>
      </c>
      <c r="R56" s="2" t="inlineStr"/>
    </row>
    <row r="57" ht="15" customHeight="1">
      <c r="A57" t="inlineStr">
        <is>
          <t>A 65484-2020</t>
        </is>
      </c>
      <c r="B57" s="1" t="n">
        <v>44169</v>
      </c>
      <c r="C57" s="1" t="n">
        <v>45901</v>
      </c>
      <c r="D57" t="inlineStr">
        <is>
          <t>NORRBOTTENS LÄN</t>
        </is>
      </c>
      <c r="E57" t="inlineStr">
        <is>
          <t>GÄLLIVARE</t>
        </is>
      </c>
      <c r="G57" t="n">
        <v>3.9</v>
      </c>
      <c r="H57" t="n">
        <v>0</v>
      </c>
      <c r="I57" t="n">
        <v>0</v>
      </c>
      <c r="J57" t="n">
        <v>0</v>
      </c>
      <c r="K57" t="n">
        <v>0</v>
      </c>
      <c r="L57" t="n">
        <v>0</v>
      </c>
      <c r="M57" t="n">
        <v>0</v>
      </c>
      <c r="N57" t="n">
        <v>0</v>
      </c>
      <c r="O57" t="n">
        <v>0</v>
      </c>
      <c r="P57" t="n">
        <v>0</v>
      </c>
      <c r="Q57" t="n">
        <v>0</v>
      </c>
      <c r="R57" s="2" t="inlineStr"/>
    </row>
    <row r="58" ht="15" customHeight="1">
      <c r="A58" t="inlineStr">
        <is>
          <t>A 2018-2022</t>
        </is>
      </c>
      <c r="B58" s="1" t="n">
        <v>44575</v>
      </c>
      <c r="C58" s="1" t="n">
        <v>45901</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47379-2020</t>
        </is>
      </c>
      <c r="B59" s="1" t="n">
        <v>44097</v>
      </c>
      <c r="C59" s="1" t="n">
        <v>45901</v>
      </c>
      <c r="D59" t="inlineStr">
        <is>
          <t>NORRBOTTENS LÄN</t>
        </is>
      </c>
      <c r="E59" t="inlineStr">
        <is>
          <t>GÄLLIVARE</t>
        </is>
      </c>
      <c r="F59" t="inlineStr">
        <is>
          <t>Sveaskog</t>
        </is>
      </c>
      <c r="G59" t="n">
        <v>9.6</v>
      </c>
      <c r="H59" t="n">
        <v>0</v>
      </c>
      <c r="I59" t="n">
        <v>0</v>
      </c>
      <c r="J59" t="n">
        <v>0</v>
      </c>
      <c r="K59" t="n">
        <v>0</v>
      </c>
      <c r="L59" t="n">
        <v>0</v>
      </c>
      <c r="M59" t="n">
        <v>0</v>
      </c>
      <c r="N59" t="n">
        <v>0</v>
      </c>
      <c r="O59" t="n">
        <v>0</v>
      </c>
      <c r="P59" t="n">
        <v>0</v>
      </c>
      <c r="Q59" t="n">
        <v>0</v>
      </c>
      <c r="R59" s="2" t="inlineStr"/>
    </row>
    <row r="60" ht="15" customHeight="1">
      <c r="A60" t="inlineStr">
        <is>
          <t>A 52055-2020</t>
        </is>
      </c>
      <c r="B60" s="1" t="n">
        <v>44116</v>
      </c>
      <c r="C60" s="1" t="n">
        <v>45901</v>
      </c>
      <c r="D60" t="inlineStr">
        <is>
          <t>NORRBOTTENS LÄN</t>
        </is>
      </c>
      <c r="E60" t="inlineStr">
        <is>
          <t>GÄLLIVARE</t>
        </is>
      </c>
      <c r="F60" t="inlineStr">
        <is>
          <t>SCA</t>
        </is>
      </c>
      <c r="G60" t="n">
        <v>2.1</v>
      </c>
      <c r="H60" t="n">
        <v>0</v>
      </c>
      <c r="I60" t="n">
        <v>0</v>
      </c>
      <c r="J60" t="n">
        <v>0</v>
      </c>
      <c r="K60" t="n">
        <v>0</v>
      </c>
      <c r="L60" t="n">
        <v>0</v>
      </c>
      <c r="M60" t="n">
        <v>0</v>
      </c>
      <c r="N60" t="n">
        <v>0</v>
      </c>
      <c r="O60" t="n">
        <v>0</v>
      </c>
      <c r="P60" t="n">
        <v>0</v>
      </c>
      <c r="Q60" t="n">
        <v>0</v>
      </c>
      <c r="R60" s="2" t="inlineStr"/>
    </row>
    <row r="61" ht="15" customHeight="1">
      <c r="A61" t="inlineStr">
        <is>
          <t>A 47311-2020</t>
        </is>
      </c>
      <c r="B61" s="1" t="n">
        <v>44095</v>
      </c>
      <c r="C61" s="1" t="n">
        <v>45901</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18104-2022</t>
        </is>
      </c>
      <c r="B62" s="1" t="n">
        <v>44684</v>
      </c>
      <c r="C62" s="1" t="n">
        <v>45901</v>
      </c>
      <c r="D62" t="inlineStr">
        <is>
          <t>NORRBOTTENS LÄN</t>
        </is>
      </c>
      <c r="E62" t="inlineStr">
        <is>
          <t>GÄLLIVARE</t>
        </is>
      </c>
      <c r="G62" t="n">
        <v>8.4</v>
      </c>
      <c r="H62" t="n">
        <v>0</v>
      </c>
      <c r="I62" t="n">
        <v>0</v>
      </c>
      <c r="J62" t="n">
        <v>0</v>
      </c>
      <c r="K62" t="n">
        <v>0</v>
      </c>
      <c r="L62" t="n">
        <v>0</v>
      </c>
      <c r="M62" t="n">
        <v>0</v>
      </c>
      <c r="N62" t="n">
        <v>0</v>
      </c>
      <c r="O62" t="n">
        <v>0</v>
      </c>
      <c r="P62" t="n">
        <v>0</v>
      </c>
      <c r="Q62" t="n">
        <v>0</v>
      </c>
      <c r="R62" s="2" t="inlineStr"/>
    </row>
    <row r="63" ht="15" customHeight="1">
      <c r="A63" t="inlineStr">
        <is>
          <t>A 71941-2021</t>
        </is>
      </c>
      <c r="B63" s="1" t="n">
        <v>44543</v>
      </c>
      <c r="C63" s="1" t="n">
        <v>45901</v>
      </c>
      <c r="D63" t="inlineStr">
        <is>
          <t>NORRBOTTENS LÄN</t>
        </is>
      </c>
      <c r="E63" t="inlineStr">
        <is>
          <t>GÄLLIVARE</t>
        </is>
      </c>
      <c r="F63" t="inlineStr">
        <is>
          <t>SCA</t>
        </is>
      </c>
      <c r="G63" t="n">
        <v>2.7</v>
      </c>
      <c r="H63" t="n">
        <v>0</v>
      </c>
      <c r="I63" t="n">
        <v>0</v>
      </c>
      <c r="J63" t="n">
        <v>0</v>
      </c>
      <c r="K63" t="n">
        <v>0</v>
      </c>
      <c r="L63" t="n">
        <v>0</v>
      </c>
      <c r="M63" t="n">
        <v>0</v>
      </c>
      <c r="N63" t="n">
        <v>0</v>
      </c>
      <c r="O63" t="n">
        <v>0</v>
      </c>
      <c r="P63" t="n">
        <v>0</v>
      </c>
      <c r="Q63" t="n">
        <v>0</v>
      </c>
      <c r="R63" s="2" t="inlineStr"/>
    </row>
    <row r="64" ht="15" customHeight="1">
      <c r="A64" t="inlineStr">
        <is>
          <t>A 7690-2022</t>
        </is>
      </c>
      <c r="B64" s="1" t="n">
        <v>44607</v>
      </c>
      <c r="C64" s="1" t="n">
        <v>45901</v>
      </c>
      <c r="D64" t="inlineStr">
        <is>
          <t>NORRBOTTENS LÄN</t>
        </is>
      </c>
      <c r="E64" t="inlineStr">
        <is>
          <t>GÄLLIVARE</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37551-2021</t>
        </is>
      </c>
      <c r="B65" s="1" t="n">
        <v>44399</v>
      </c>
      <c r="C65" s="1" t="n">
        <v>45901</v>
      </c>
      <c r="D65" t="inlineStr">
        <is>
          <t>NORRBOTTENS LÄN</t>
        </is>
      </c>
      <c r="E65" t="inlineStr">
        <is>
          <t>GÄLLIVARE</t>
        </is>
      </c>
      <c r="G65" t="n">
        <v>0.6</v>
      </c>
      <c r="H65" t="n">
        <v>0</v>
      </c>
      <c r="I65" t="n">
        <v>0</v>
      </c>
      <c r="J65" t="n">
        <v>0</v>
      </c>
      <c r="K65" t="n">
        <v>0</v>
      </c>
      <c r="L65" t="n">
        <v>0</v>
      </c>
      <c r="M65" t="n">
        <v>0</v>
      </c>
      <c r="N65" t="n">
        <v>0</v>
      </c>
      <c r="O65" t="n">
        <v>0</v>
      </c>
      <c r="P65" t="n">
        <v>0</v>
      </c>
      <c r="Q65" t="n">
        <v>0</v>
      </c>
      <c r="R65" s="2" t="inlineStr"/>
    </row>
    <row r="66" ht="15" customHeight="1">
      <c r="A66" t="inlineStr">
        <is>
          <t>A 72762-2021</t>
        </is>
      </c>
      <c r="B66" s="1" t="n">
        <v>44546.94391203704</v>
      </c>
      <c r="C66" s="1" t="n">
        <v>45901</v>
      </c>
      <c r="D66" t="inlineStr">
        <is>
          <t>NORRBOTTENS LÄN</t>
        </is>
      </c>
      <c r="E66" t="inlineStr">
        <is>
          <t>GÄLLIVARE</t>
        </is>
      </c>
      <c r="F66" t="inlineStr">
        <is>
          <t>SCA</t>
        </is>
      </c>
      <c r="G66" t="n">
        <v>3.5</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45901</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45901</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45901</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45901</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45901</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45901</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45901</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45901</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45901</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45901</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45901</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45901</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46368-2020</t>
        </is>
      </c>
      <c r="B79" s="1" t="n">
        <v>44092</v>
      </c>
      <c r="C79" s="1" t="n">
        <v>45901</v>
      </c>
      <c r="D79" t="inlineStr">
        <is>
          <t>NORRBOTTENS LÄN</t>
        </is>
      </c>
      <c r="E79" t="inlineStr">
        <is>
          <t>GÄLLIVARE</t>
        </is>
      </c>
      <c r="F79" t="inlineStr">
        <is>
          <t>SCA</t>
        </is>
      </c>
      <c r="G79" t="n">
        <v>45.9</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45901</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45901</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45901</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45901</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45901</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54842-2022</t>
        </is>
      </c>
      <c r="B85" s="1" t="n">
        <v>44883</v>
      </c>
      <c r="C85" s="1" t="n">
        <v>45901</v>
      </c>
      <c r="D85" t="inlineStr">
        <is>
          <t>NORRBOTTENS LÄN</t>
        </is>
      </c>
      <c r="E85" t="inlineStr">
        <is>
          <t>GÄLLIVARE</t>
        </is>
      </c>
      <c r="F85" t="inlineStr">
        <is>
          <t>SCA</t>
        </is>
      </c>
      <c r="G85" t="n">
        <v>3.3</v>
      </c>
      <c r="H85" t="n">
        <v>0</v>
      </c>
      <c r="I85" t="n">
        <v>0</v>
      </c>
      <c r="J85" t="n">
        <v>0</v>
      </c>
      <c r="K85" t="n">
        <v>0</v>
      </c>
      <c r="L85" t="n">
        <v>0</v>
      </c>
      <c r="M85" t="n">
        <v>0</v>
      </c>
      <c r="N85" t="n">
        <v>0</v>
      </c>
      <c r="O85" t="n">
        <v>0</v>
      </c>
      <c r="P85" t="n">
        <v>0</v>
      </c>
      <c r="Q85" t="n">
        <v>0</v>
      </c>
      <c r="R85" s="2" t="inlineStr"/>
    </row>
    <row r="86" ht="15" customHeight="1">
      <c r="A86" t="inlineStr">
        <is>
          <t>A 49013-2020</t>
        </is>
      </c>
      <c r="B86" s="1" t="n">
        <v>44104</v>
      </c>
      <c r="C86" s="1" t="n">
        <v>45901</v>
      </c>
      <c r="D86" t="inlineStr">
        <is>
          <t>NORRBOTTENS LÄN</t>
        </is>
      </c>
      <c r="E86" t="inlineStr">
        <is>
          <t>GÄLLIVARE</t>
        </is>
      </c>
      <c r="G86" t="n">
        <v>2.2</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45901</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45901</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45901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45901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2545-2021</t>
        </is>
      </c>
      <c r="B91" s="1" t="n">
        <v>44214</v>
      </c>
      <c r="C91" s="1" t="n">
        <v>45901</v>
      </c>
      <c r="D91" t="inlineStr">
        <is>
          <t>NORRBOTTENS LÄN</t>
        </is>
      </c>
      <c r="E91" t="inlineStr">
        <is>
          <t>GÄLLIVARE</t>
        </is>
      </c>
      <c r="G91" t="n">
        <v>6.5</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45901</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45901</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45901</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45901</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33446-2022</t>
        </is>
      </c>
      <c r="B96" s="1" t="n">
        <v>44788.65056712963</v>
      </c>
      <c r="C96" s="1" t="n">
        <v>45901</v>
      </c>
      <c r="D96" t="inlineStr">
        <is>
          <t>NORRBOTTENS LÄN</t>
        </is>
      </c>
      <c r="E96" t="inlineStr">
        <is>
          <t>GÄLLIVARE</t>
        </is>
      </c>
      <c r="G96" t="n">
        <v>0.5</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45901</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45901</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45901</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29608-2021</t>
        </is>
      </c>
      <c r="B100" s="1" t="n">
        <v>44361</v>
      </c>
      <c r="C100" s="1" t="n">
        <v>45901</v>
      </c>
      <c r="D100" t="inlineStr">
        <is>
          <t>NORRBOTTENS LÄN</t>
        </is>
      </c>
      <c r="E100" t="inlineStr">
        <is>
          <t>GÄLLIVARE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58412-2021</t>
        </is>
      </c>
      <c r="B101" s="1" t="n">
        <v>44488.52082175926</v>
      </c>
      <c r="C101" s="1" t="n">
        <v>45901</v>
      </c>
      <c r="D101" t="inlineStr">
        <is>
          <t>NORRBOTTENS LÄN</t>
        </is>
      </c>
      <c r="E101" t="inlineStr">
        <is>
          <t>GÄLLIVARE</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51992-2020</t>
        </is>
      </c>
      <c r="B102" s="1" t="n">
        <v>44109</v>
      </c>
      <c r="C102" s="1" t="n">
        <v>45901</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45901</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55168-2020</t>
        </is>
      </c>
      <c r="B104" s="1" t="n">
        <v>44130</v>
      </c>
      <c r="C104" s="1" t="n">
        <v>45901</v>
      </c>
      <c r="D104" t="inlineStr">
        <is>
          <t>NORRBOTTENS LÄN</t>
        </is>
      </c>
      <c r="E104" t="inlineStr">
        <is>
          <t>GÄLLIVARE</t>
        </is>
      </c>
      <c r="G104" t="n">
        <v>0.7</v>
      </c>
      <c r="H104" t="n">
        <v>0</v>
      </c>
      <c r="I104" t="n">
        <v>0</v>
      </c>
      <c r="J104" t="n">
        <v>0</v>
      </c>
      <c r="K104" t="n">
        <v>0</v>
      </c>
      <c r="L104" t="n">
        <v>0</v>
      </c>
      <c r="M104" t="n">
        <v>0</v>
      </c>
      <c r="N104" t="n">
        <v>0</v>
      </c>
      <c r="O104" t="n">
        <v>0</v>
      </c>
      <c r="P104" t="n">
        <v>0</v>
      </c>
      <c r="Q104" t="n">
        <v>0</v>
      </c>
      <c r="R104" s="2" t="inlineStr"/>
    </row>
    <row r="105" ht="15" customHeight="1">
      <c r="A105" t="inlineStr">
        <is>
          <t>A 54820-2021</t>
        </is>
      </c>
      <c r="B105" s="1" t="n">
        <v>44473</v>
      </c>
      <c r="C105" s="1" t="n">
        <v>45901</v>
      </c>
      <c r="D105" t="inlineStr">
        <is>
          <t>NORRBOTTENS LÄN</t>
        </is>
      </c>
      <c r="E105" t="inlineStr">
        <is>
          <t>GÄLLIVARE</t>
        </is>
      </c>
      <c r="F105" t="inlineStr">
        <is>
          <t>SCA</t>
        </is>
      </c>
      <c r="G105" t="n">
        <v>14.7</v>
      </c>
      <c r="H105" t="n">
        <v>0</v>
      </c>
      <c r="I105" t="n">
        <v>0</v>
      </c>
      <c r="J105" t="n">
        <v>0</v>
      </c>
      <c r="K105" t="n">
        <v>0</v>
      </c>
      <c r="L105" t="n">
        <v>0</v>
      </c>
      <c r="M105" t="n">
        <v>0</v>
      </c>
      <c r="N105" t="n">
        <v>0</v>
      </c>
      <c r="O105" t="n">
        <v>0</v>
      </c>
      <c r="P105" t="n">
        <v>0</v>
      </c>
      <c r="Q105" t="n">
        <v>0</v>
      </c>
      <c r="R105" s="2" t="inlineStr"/>
    </row>
    <row r="106" ht="15" customHeight="1">
      <c r="A106" t="inlineStr">
        <is>
          <t>A 42529-2021</t>
        </is>
      </c>
      <c r="B106" s="1" t="n">
        <v>44427.93604166667</v>
      </c>
      <c r="C106" s="1" t="n">
        <v>45901</v>
      </c>
      <c r="D106" t="inlineStr">
        <is>
          <t>NORRBOTTENS LÄN</t>
        </is>
      </c>
      <c r="E106" t="inlineStr">
        <is>
          <t>GÄLLIVARE</t>
        </is>
      </c>
      <c r="F106" t="inlineStr">
        <is>
          <t>SCA</t>
        </is>
      </c>
      <c r="G106" t="n">
        <v>0.8</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45901</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45901</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7678-2022</t>
        </is>
      </c>
      <c r="B109" s="1" t="n">
        <v>44607.94053240741</v>
      </c>
      <c r="C109" s="1" t="n">
        <v>45901</v>
      </c>
      <c r="D109" t="inlineStr">
        <is>
          <t>NORRBOTTENS LÄN</t>
        </is>
      </c>
      <c r="E109" t="inlineStr">
        <is>
          <t>GÄLLIVARE</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7685-2022</t>
        </is>
      </c>
      <c r="B110" s="1" t="n">
        <v>44607.9409837963</v>
      </c>
      <c r="C110" s="1" t="n">
        <v>45901</v>
      </c>
      <c r="D110" t="inlineStr">
        <is>
          <t>NORRBOTTENS LÄN</t>
        </is>
      </c>
      <c r="E110" t="inlineStr">
        <is>
          <t>GÄLLIVARE</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45901</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36233-2021</t>
        </is>
      </c>
      <c r="B112" s="1" t="n">
        <v>44389.93957175926</v>
      </c>
      <c r="C112" s="1" t="n">
        <v>45901</v>
      </c>
      <c r="D112" t="inlineStr">
        <is>
          <t>NORRBOTTENS LÄN</t>
        </is>
      </c>
      <c r="E112" t="inlineStr">
        <is>
          <t>GÄLLIVARE</t>
        </is>
      </c>
      <c r="F112" t="inlineStr">
        <is>
          <t>SCA</t>
        </is>
      </c>
      <c r="G112" t="n">
        <v>22.3</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45901</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35579-2022</t>
        </is>
      </c>
      <c r="B114" s="1" t="n">
        <v>44799</v>
      </c>
      <c r="C114" s="1" t="n">
        <v>45901</v>
      </c>
      <c r="D114" t="inlineStr">
        <is>
          <t>NORRBOTTENS LÄN</t>
        </is>
      </c>
      <c r="E114" t="inlineStr">
        <is>
          <t>GÄLLIVARE</t>
        </is>
      </c>
      <c r="F114" t="inlineStr">
        <is>
          <t>Allmännings- och besparingsskogar</t>
        </is>
      </c>
      <c r="G114" t="n">
        <v>7.9</v>
      </c>
      <c r="H114" t="n">
        <v>0</v>
      </c>
      <c r="I114" t="n">
        <v>0</v>
      </c>
      <c r="J114" t="n">
        <v>0</v>
      </c>
      <c r="K114" t="n">
        <v>0</v>
      </c>
      <c r="L114" t="n">
        <v>0</v>
      </c>
      <c r="M114" t="n">
        <v>0</v>
      </c>
      <c r="N114" t="n">
        <v>0</v>
      </c>
      <c r="O114" t="n">
        <v>0</v>
      </c>
      <c r="P114" t="n">
        <v>0</v>
      </c>
      <c r="Q114" t="n">
        <v>0</v>
      </c>
      <c r="R114" s="2" t="inlineStr"/>
    </row>
    <row r="115" ht="15" customHeight="1">
      <c r="A115" t="inlineStr">
        <is>
          <t>A 62496-2022</t>
        </is>
      </c>
      <c r="B115" s="1" t="n">
        <v>44916</v>
      </c>
      <c r="C115" s="1" t="n">
        <v>45901</v>
      </c>
      <c r="D115" t="inlineStr">
        <is>
          <t>NORRBOTTENS LÄN</t>
        </is>
      </c>
      <c r="E115" t="inlineStr">
        <is>
          <t>GÄLLIVARE</t>
        </is>
      </c>
      <c r="G115" t="n">
        <v>23.4</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45901</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45901</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45901</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45901</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55394-2023</t>
        </is>
      </c>
      <c r="B120" s="1" t="n">
        <v>45231</v>
      </c>
      <c r="C120" s="1" t="n">
        <v>45901</v>
      </c>
      <c r="D120" t="inlineStr">
        <is>
          <t>NORRBOTTENS LÄN</t>
        </is>
      </c>
      <c r="E120" t="inlineStr">
        <is>
          <t>GÄLLIVARE</t>
        </is>
      </c>
      <c r="G120" t="n">
        <v>1.4</v>
      </c>
      <c r="H120" t="n">
        <v>0</v>
      </c>
      <c r="I120" t="n">
        <v>0</v>
      </c>
      <c r="J120" t="n">
        <v>0</v>
      </c>
      <c r="K120" t="n">
        <v>0</v>
      </c>
      <c r="L120" t="n">
        <v>0</v>
      </c>
      <c r="M120" t="n">
        <v>0</v>
      </c>
      <c r="N120" t="n">
        <v>0</v>
      </c>
      <c r="O120" t="n">
        <v>0</v>
      </c>
      <c r="P120" t="n">
        <v>0</v>
      </c>
      <c r="Q120" t="n">
        <v>0</v>
      </c>
      <c r="R120" s="2" t="inlineStr"/>
    </row>
    <row r="121" ht="15" customHeight="1">
      <c r="A121" t="inlineStr">
        <is>
          <t>A 7650-2025</t>
        </is>
      </c>
      <c r="B121" s="1" t="n">
        <v>45705</v>
      </c>
      <c r="C121" s="1" t="n">
        <v>45901</v>
      </c>
      <c r="D121" t="inlineStr">
        <is>
          <t>NORRBOTTENS LÄN</t>
        </is>
      </c>
      <c r="E121" t="inlineStr">
        <is>
          <t>GÄLLIVARE</t>
        </is>
      </c>
      <c r="G121" t="n">
        <v>0.5</v>
      </c>
      <c r="H121" t="n">
        <v>0</v>
      </c>
      <c r="I121" t="n">
        <v>0</v>
      </c>
      <c r="J121" t="n">
        <v>0</v>
      </c>
      <c r="K121" t="n">
        <v>0</v>
      </c>
      <c r="L121" t="n">
        <v>0</v>
      </c>
      <c r="M121" t="n">
        <v>0</v>
      </c>
      <c r="N121" t="n">
        <v>0</v>
      </c>
      <c r="O121" t="n">
        <v>0</v>
      </c>
      <c r="P121" t="n">
        <v>0</v>
      </c>
      <c r="Q121" t="n">
        <v>0</v>
      </c>
      <c r="R121" s="2" t="inlineStr"/>
    </row>
    <row r="122" ht="15" customHeight="1">
      <c r="A122" t="inlineStr">
        <is>
          <t>A 7651-2025</t>
        </is>
      </c>
      <c r="B122" s="1" t="n">
        <v>45705</v>
      </c>
      <c r="C122" s="1" t="n">
        <v>45901</v>
      </c>
      <c r="D122" t="inlineStr">
        <is>
          <t>NORRBOTTENS LÄN</t>
        </is>
      </c>
      <c r="E122" t="inlineStr">
        <is>
          <t>GÄLLIVARE</t>
        </is>
      </c>
      <c r="G122" t="n">
        <v>3.2</v>
      </c>
      <c r="H122" t="n">
        <v>0</v>
      </c>
      <c r="I122" t="n">
        <v>0</v>
      </c>
      <c r="J122" t="n">
        <v>0</v>
      </c>
      <c r="K122" t="n">
        <v>0</v>
      </c>
      <c r="L122" t="n">
        <v>0</v>
      </c>
      <c r="M122" t="n">
        <v>0</v>
      </c>
      <c r="N122" t="n">
        <v>0</v>
      </c>
      <c r="O122" t="n">
        <v>0</v>
      </c>
      <c r="P122" t="n">
        <v>0</v>
      </c>
      <c r="Q122" t="n">
        <v>0</v>
      </c>
      <c r="R122" s="2" t="inlineStr"/>
    </row>
    <row r="123" ht="15" customHeight="1">
      <c r="A123" t="inlineStr">
        <is>
          <t>A 55410-2023</t>
        </is>
      </c>
      <c r="B123" s="1" t="n">
        <v>45231</v>
      </c>
      <c r="C123" s="1" t="n">
        <v>45901</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45901</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73335-2021</t>
        </is>
      </c>
      <c r="B125" s="1" t="n">
        <v>44550</v>
      </c>
      <c r="C125" s="1" t="n">
        <v>45901</v>
      </c>
      <c r="D125" t="inlineStr">
        <is>
          <t>NORRBOTTENS LÄN</t>
        </is>
      </c>
      <c r="E125" t="inlineStr">
        <is>
          <t>GÄLLIVARE</t>
        </is>
      </c>
      <c r="G125" t="n">
        <v>1.1</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45901</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53891-2024</t>
        </is>
      </c>
      <c r="B127" s="1" t="n">
        <v>45614</v>
      </c>
      <c r="C127" s="1" t="n">
        <v>45901</v>
      </c>
      <c r="D127" t="inlineStr">
        <is>
          <t>NORRBOTTENS LÄN</t>
        </is>
      </c>
      <c r="E127" t="inlineStr">
        <is>
          <t>GÄLLIVARE</t>
        </is>
      </c>
      <c r="F127" t="inlineStr">
        <is>
          <t>Allmännings- och besparingsskogar</t>
        </is>
      </c>
      <c r="G127" t="n">
        <v>27.3</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45901</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45901</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43109-2023</t>
        </is>
      </c>
      <c r="B130" s="1" t="n">
        <v>45182.94725694445</v>
      </c>
      <c r="C130" s="1" t="n">
        <v>45901</v>
      </c>
      <c r="D130" t="inlineStr">
        <is>
          <t>NORRBOTTENS LÄN</t>
        </is>
      </c>
      <c r="E130" t="inlineStr">
        <is>
          <t>GÄLLIVARE</t>
        </is>
      </c>
      <c r="F130" t="inlineStr">
        <is>
          <t>SCA</t>
        </is>
      </c>
      <c r="G130" t="n">
        <v>2.8</v>
      </c>
      <c r="H130" t="n">
        <v>0</v>
      </c>
      <c r="I130" t="n">
        <v>0</v>
      </c>
      <c r="J130" t="n">
        <v>0</v>
      </c>
      <c r="K130" t="n">
        <v>0</v>
      </c>
      <c r="L130" t="n">
        <v>0</v>
      </c>
      <c r="M130" t="n">
        <v>0</v>
      </c>
      <c r="N130" t="n">
        <v>0</v>
      </c>
      <c r="O130" t="n">
        <v>0</v>
      </c>
      <c r="P130" t="n">
        <v>0</v>
      </c>
      <c r="Q130" t="n">
        <v>0</v>
      </c>
      <c r="R130" s="2" t="inlineStr"/>
    </row>
    <row r="131" ht="15" customHeight="1">
      <c r="A131" t="inlineStr">
        <is>
          <t>A 41843-2024</t>
        </is>
      </c>
      <c r="B131" s="1" t="n">
        <v>45561</v>
      </c>
      <c r="C131" s="1" t="n">
        <v>45901</v>
      </c>
      <c r="D131" t="inlineStr">
        <is>
          <t>NORRBOTTENS LÄN</t>
        </is>
      </c>
      <c r="E131" t="inlineStr">
        <is>
          <t>GÄLLIVARE</t>
        </is>
      </c>
      <c r="G131" t="n">
        <v>3.1</v>
      </c>
      <c r="H131" t="n">
        <v>0</v>
      </c>
      <c r="I131" t="n">
        <v>0</v>
      </c>
      <c r="J131" t="n">
        <v>0</v>
      </c>
      <c r="K131" t="n">
        <v>0</v>
      </c>
      <c r="L131" t="n">
        <v>0</v>
      </c>
      <c r="M131" t="n">
        <v>0</v>
      </c>
      <c r="N131" t="n">
        <v>0</v>
      </c>
      <c r="O131" t="n">
        <v>0</v>
      </c>
      <c r="P131" t="n">
        <v>0</v>
      </c>
      <c r="Q131" t="n">
        <v>0</v>
      </c>
      <c r="R131" s="2" t="inlineStr"/>
    </row>
    <row r="132" ht="15" customHeight="1">
      <c r="A132" t="inlineStr">
        <is>
          <t>A 46131-2020</t>
        </is>
      </c>
      <c r="B132" s="1" t="n">
        <v>44091</v>
      </c>
      <c r="C132" s="1" t="n">
        <v>45901</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14999-2024</t>
        </is>
      </c>
      <c r="B133" s="1" t="n">
        <v>45399</v>
      </c>
      <c r="C133" s="1" t="n">
        <v>45901</v>
      </c>
      <c r="D133" t="inlineStr">
        <is>
          <t>NORRBOTTENS LÄN</t>
        </is>
      </c>
      <c r="E133" t="inlineStr">
        <is>
          <t>GÄLLIVARE</t>
        </is>
      </c>
      <c r="G133" t="n">
        <v>12.5</v>
      </c>
      <c r="H133" t="n">
        <v>0</v>
      </c>
      <c r="I133" t="n">
        <v>0</v>
      </c>
      <c r="J133" t="n">
        <v>0</v>
      </c>
      <c r="K133" t="n">
        <v>0</v>
      </c>
      <c r="L133" t="n">
        <v>0</v>
      </c>
      <c r="M133" t="n">
        <v>0</v>
      </c>
      <c r="N133" t="n">
        <v>0</v>
      </c>
      <c r="O133" t="n">
        <v>0</v>
      </c>
      <c r="P133" t="n">
        <v>0</v>
      </c>
      <c r="Q133" t="n">
        <v>0</v>
      </c>
      <c r="R133" s="2" t="inlineStr"/>
    </row>
    <row r="134" ht="15" customHeight="1">
      <c r="A134" t="inlineStr">
        <is>
          <t>A 20884-2025</t>
        </is>
      </c>
      <c r="B134" s="1" t="n">
        <v>45777</v>
      </c>
      <c r="C134" s="1" t="n">
        <v>45901</v>
      </c>
      <c r="D134" t="inlineStr">
        <is>
          <t>NORRBOTTENS LÄN</t>
        </is>
      </c>
      <c r="E134" t="inlineStr">
        <is>
          <t>GÄLLIVARE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47805-2022</t>
        </is>
      </c>
      <c r="B135" s="1" t="n">
        <v>44854</v>
      </c>
      <c r="C135" s="1" t="n">
        <v>45901</v>
      </c>
      <c r="D135" t="inlineStr">
        <is>
          <t>NORRBOTTENS LÄN</t>
        </is>
      </c>
      <c r="E135" t="inlineStr">
        <is>
          <t>GÄLLIVARE</t>
        </is>
      </c>
      <c r="F135" t="inlineStr">
        <is>
          <t>SCA</t>
        </is>
      </c>
      <c r="G135" t="n">
        <v>2.4</v>
      </c>
      <c r="H135" t="n">
        <v>0</v>
      </c>
      <c r="I135" t="n">
        <v>0</v>
      </c>
      <c r="J135" t="n">
        <v>0</v>
      </c>
      <c r="K135" t="n">
        <v>0</v>
      </c>
      <c r="L135" t="n">
        <v>0</v>
      </c>
      <c r="M135" t="n">
        <v>0</v>
      </c>
      <c r="N135" t="n">
        <v>0</v>
      </c>
      <c r="O135" t="n">
        <v>0</v>
      </c>
      <c r="P135" t="n">
        <v>0</v>
      </c>
      <c r="Q135" t="n">
        <v>0</v>
      </c>
      <c r="R135" s="2" t="inlineStr"/>
    </row>
    <row r="136" ht="15" customHeight="1">
      <c r="A136" t="inlineStr">
        <is>
          <t>A 36984-2023</t>
        </is>
      </c>
      <c r="B136" s="1" t="n">
        <v>45154.95511574074</v>
      </c>
      <c r="C136" s="1" t="n">
        <v>45901</v>
      </c>
      <c r="D136" t="inlineStr">
        <is>
          <t>NORRBOTTENS LÄN</t>
        </is>
      </c>
      <c r="E136" t="inlineStr">
        <is>
          <t>GÄLLIVARE</t>
        </is>
      </c>
      <c r="F136" t="inlineStr">
        <is>
          <t>SCA</t>
        </is>
      </c>
      <c r="G136" t="n">
        <v>5.3</v>
      </c>
      <c r="H136" t="n">
        <v>0</v>
      </c>
      <c r="I136" t="n">
        <v>0</v>
      </c>
      <c r="J136" t="n">
        <v>0</v>
      </c>
      <c r="K136" t="n">
        <v>0</v>
      </c>
      <c r="L136" t="n">
        <v>0</v>
      </c>
      <c r="M136" t="n">
        <v>0</v>
      </c>
      <c r="N136" t="n">
        <v>0</v>
      </c>
      <c r="O136" t="n">
        <v>0</v>
      </c>
      <c r="P136" t="n">
        <v>0</v>
      </c>
      <c r="Q136" t="n">
        <v>0</v>
      </c>
      <c r="R136" s="2" t="inlineStr"/>
    </row>
    <row r="137" ht="15" customHeight="1">
      <c r="A137" t="inlineStr">
        <is>
          <t>A 23495-2024</t>
        </is>
      </c>
      <c r="B137" s="1" t="n">
        <v>45453</v>
      </c>
      <c r="C137" s="1" t="n">
        <v>45901</v>
      </c>
      <c r="D137" t="inlineStr">
        <is>
          <t>NORRBOTTENS LÄN</t>
        </is>
      </c>
      <c r="E137" t="inlineStr">
        <is>
          <t>GÄLLIVARE</t>
        </is>
      </c>
      <c r="F137" t="inlineStr">
        <is>
          <t>Allmännings- och besparingsskogar</t>
        </is>
      </c>
      <c r="G137" t="n">
        <v>15.4</v>
      </c>
      <c r="H137" t="n">
        <v>0</v>
      </c>
      <c r="I137" t="n">
        <v>0</v>
      </c>
      <c r="J137" t="n">
        <v>0</v>
      </c>
      <c r="K137" t="n">
        <v>0</v>
      </c>
      <c r="L137" t="n">
        <v>0</v>
      </c>
      <c r="M137" t="n">
        <v>0</v>
      </c>
      <c r="N137" t="n">
        <v>0</v>
      </c>
      <c r="O137" t="n">
        <v>0</v>
      </c>
      <c r="P137" t="n">
        <v>0</v>
      </c>
      <c r="Q137" t="n">
        <v>0</v>
      </c>
      <c r="R137" s="2" t="inlineStr"/>
    </row>
    <row r="138" ht="15" customHeight="1">
      <c r="A138" t="inlineStr">
        <is>
          <t>A 50554-2024</t>
        </is>
      </c>
      <c r="B138" s="1" t="n">
        <v>45601.59497685185</v>
      </c>
      <c r="C138" s="1" t="n">
        <v>45901</v>
      </c>
      <c r="D138" t="inlineStr">
        <is>
          <t>NORRBOTTENS LÄN</t>
        </is>
      </c>
      <c r="E138" t="inlineStr">
        <is>
          <t>GÄLLIVARE</t>
        </is>
      </c>
      <c r="F138" t="inlineStr">
        <is>
          <t>SCA</t>
        </is>
      </c>
      <c r="G138" t="n">
        <v>2.4</v>
      </c>
      <c r="H138" t="n">
        <v>0</v>
      </c>
      <c r="I138" t="n">
        <v>0</v>
      </c>
      <c r="J138" t="n">
        <v>0</v>
      </c>
      <c r="K138" t="n">
        <v>0</v>
      </c>
      <c r="L138" t="n">
        <v>0</v>
      </c>
      <c r="M138" t="n">
        <v>0</v>
      </c>
      <c r="N138" t="n">
        <v>0</v>
      </c>
      <c r="O138" t="n">
        <v>0</v>
      </c>
      <c r="P138" t="n">
        <v>0</v>
      </c>
      <c r="Q138" t="n">
        <v>0</v>
      </c>
      <c r="R138" s="2" t="inlineStr"/>
    </row>
    <row r="139" ht="15" customHeight="1">
      <c r="A139" t="inlineStr">
        <is>
          <t>A 25941-2024</t>
        </is>
      </c>
      <c r="B139" s="1" t="n">
        <v>45467</v>
      </c>
      <c r="C139" s="1" t="n">
        <v>45901</v>
      </c>
      <c r="D139" t="inlineStr">
        <is>
          <t>NORRBOTTENS LÄN</t>
        </is>
      </c>
      <c r="E139" t="inlineStr">
        <is>
          <t>GÄLLIVARE</t>
        </is>
      </c>
      <c r="F139" t="inlineStr">
        <is>
          <t>Allmännings- och besparingsskogar</t>
        </is>
      </c>
      <c r="G139" t="n">
        <v>18</v>
      </c>
      <c r="H139" t="n">
        <v>0</v>
      </c>
      <c r="I139" t="n">
        <v>0</v>
      </c>
      <c r="J139" t="n">
        <v>0</v>
      </c>
      <c r="K139" t="n">
        <v>0</v>
      </c>
      <c r="L139" t="n">
        <v>0</v>
      </c>
      <c r="M139" t="n">
        <v>0</v>
      </c>
      <c r="N139" t="n">
        <v>0</v>
      </c>
      <c r="O139" t="n">
        <v>0</v>
      </c>
      <c r="P139" t="n">
        <v>0</v>
      </c>
      <c r="Q139" t="n">
        <v>0</v>
      </c>
      <c r="R139" s="2" t="inlineStr"/>
    </row>
    <row r="140" ht="15" customHeight="1">
      <c r="A140" t="inlineStr">
        <is>
          <t>A 59680-2024</t>
        </is>
      </c>
      <c r="B140" s="1" t="n">
        <v>45639</v>
      </c>
      <c r="C140" s="1" t="n">
        <v>45901</v>
      </c>
      <c r="D140" t="inlineStr">
        <is>
          <t>NORRBOTTENS LÄN</t>
        </is>
      </c>
      <c r="E140" t="inlineStr">
        <is>
          <t>GÄLLIVARE</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26560-2024</t>
        </is>
      </c>
      <c r="B141" s="1" t="n">
        <v>45469.63549768519</v>
      </c>
      <c r="C141" s="1" t="n">
        <v>45901</v>
      </c>
      <c r="D141" t="inlineStr">
        <is>
          <t>NORRBOTTENS LÄN</t>
        </is>
      </c>
      <c r="E141" t="inlineStr">
        <is>
          <t>GÄLLIVARE</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44530-2024</t>
        </is>
      </c>
      <c r="B142" s="1" t="n">
        <v>45574</v>
      </c>
      <c r="C142" s="1" t="n">
        <v>45901</v>
      </c>
      <c r="D142" t="inlineStr">
        <is>
          <t>NORRBOTTENS LÄN</t>
        </is>
      </c>
      <c r="E142" t="inlineStr">
        <is>
          <t>GÄLLIVARE</t>
        </is>
      </c>
      <c r="F142" t="inlineStr">
        <is>
          <t>Sveaskog</t>
        </is>
      </c>
      <c r="G142" t="n">
        <v>15.9</v>
      </c>
      <c r="H142" t="n">
        <v>0</v>
      </c>
      <c r="I142" t="n">
        <v>0</v>
      </c>
      <c r="J142" t="n">
        <v>0</v>
      </c>
      <c r="K142" t="n">
        <v>0</v>
      </c>
      <c r="L142" t="n">
        <v>0</v>
      </c>
      <c r="M142" t="n">
        <v>0</v>
      </c>
      <c r="N142" t="n">
        <v>0</v>
      </c>
      <c r="O142" t="n">
        <v>0</v>
      </c>
      <c r="P142" t="n">
        <v>0</v>
      </c>
      <c r="Q142" t="n">
        <v>0</v>
      </c>
      <c r="R142" s="2" t="inlineStr"/>
    </row>
    <row r="143" ht="15" customHeight="1">
      <c r="A143" t="inlineStr">
        <is>
          <t>A 36980-2023</t>
        </is>
      </c>
      <c r="B143" s="1" t="n">
        <v>45154.95482638889</v>
      </c>
      <c r="C143" s="1" t="n">
        <v>45901</v>
      </c>
      <c r="D143" t="inlineStr">
        <is>
          <t>NORRBOTTENS LÄN</t>
        </is>
      </c>
      <c r="E143" t="inlineStr">
        <is>
          <t>GÄLLIVARE</t>
        </is>
      </c>
      <c r="F143" t="inlineStr">
        <is>
          <t>SCA</t>
        </is>
      </c>
      <c r="G143" t="n">
        <v>5.5</v>
      </c>
      <c r="H143" t="n">
        <v>0</v>
      </c>
      <c r="I143" t="n">
        <v>0</v>
      </c>
      <c r="J143" t="n">
        <v>0</v>
      </c>
      <c r="K143" t="n">
        <v>0</v>
      </c>
      <c r="L143" t="n">
        <v>0</v>
      </c>
      <c r="M143" t="n">
        <v>0</v>
      </c>
      <c r="N143" t="n">
        <v>0</v>
      </c>
      <c r="O143" t="n">
        <v>0</v>
      </c>
      <c r="P143" t="n">
        <v>0</v>
      </c>
      <c r="Q143" t="n">
        <v>0</v>
      </c>
      <c r="R143" s="2" t="inlineStr"/>
    </row>
    <row r="144" ht="15" customHeight="1">
      <c r="A144" t="inlineStr">
        <is>
          <t>A 21246-2025</t>
        </is>
      </c>
      <c r="B144" s="1" t="n">
        <v>45779</v>
      </c>
      <c r="C144" s="1" t="n">
        <v>45901</v>
      </c>
      <c r="D144" t="inlineStr">
        <is>
          <t>NORRBOTTENS LÄN</t>
        </is>
      </c>
      <c r="E144" t="inlineStr">
        <is>
          <t>GÄLLIVARE</t>
        </is>
      </c>
      <c r="F144" t="inlineStr">
        <is>
          <t>SCA</t>
        </is>
      </c>
      <c r="G144" t="n">
        <v>16.6</v>
      </c>
      <c r="H144" t="n">
        <v>0</v>
      </c>
      <c r="I144" t="n">
        <v>0</v>
      </c>
      <c r="J144" t="n">
        <v>0</v>
      </c>
      <c r="K144" t="n">
        <v>0</v>
      </c>
      <c r="L144" t="n">
        <v>0</v>
      </c>
      <c r="M144" t="n">
        <v>0</v>
      </c>
      <c r="N144" t="n">
        <v>0</v>
      </c>
      <c r="O144" t="n">
        <v>0</v>
      </c>
      <c r="P144" t="n">
        <v>0</v>
      </c>
      <c r="Q144" t="n">
        <v>0</v>
      </c>
      <c r="R144" s="2" t="inlineStr"/>
    </row>
    <row r="145" ht="15" customHeight="1">
      <c r="A145" t="inlineStr">
        <is>
          <t>A 59194-2022</t>
        </is>
      </c>
      <c r="B145" s="1" t="n">
        <v>44904</v>
      </c>
      <c r="C145" s="1" t="n">
        <v>45901</v>
      </c>
      <c r="D145" t="inlineStr">
        <is>
          <t>NORRBOTTENS LÄN</t>
        </is>
      </c>
      <c r="E145" t="inlineStr">
        <is>
          <t>GÄLLIVARE</t>
        </is>
      </c>
      <c r="G145" t="n">
        <v>3.4</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45901</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1609-2023</t>
        </is>
      </c>
      <c r="B147" s="1" t="n">
        <v>44937</v>
      </c>
      <c r="C147" s="1" t="n">
        <v>45901</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45901</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25488-2024</t>
        </is>
      </c>
      <c r="B149" s="1" t="n">
        <v>45463</v>
      </c>
      <c r="C149" s="1" t="n">
        <v>45901</v>
      </c>
      <c r="D149" t="inlineStr">
        <is>
          <t>NORRBOTTENS LÄN</t>
        </is>
      </c>
      <c r="E149" t="inlineStr">
        <is>
          <t>GÄLLIVARE</t>
        </is>
      </c>
      <c r="G149" t="n">
        <v>13.6</v>
      </c>
      <c r="H149" t="n">
        <v>0</v>
      </c>
      <c r="I149" t="n">
        <v>0</v>
      </c>
      <c r="J149" t="n">
        <v>0</v>
      </c>
      <c r="K149" t="n">
        <v>0</v>
      </c>
      <c r="L149" t="n">
        <v>0</v>
      </c>
      <c r="M149" t="n">
        <v>0</v>
      </c>
      <c r="N149" t="n">
        <v>0</v>
      </c>
      <c r="O149" t="n">
        <v>0</v>
      </c>
      <c r="P149" t="n">
        <v>0</v>
      </c>
      <c r="Q149" t="n">
        <v>0</v>
      </c>
      <c r="R149" s="2" t="inlineStr"/>
    </row>
    <row r="150" ht="15" customHeight="1">
      <c r="A150" t="inlineStr">
        <is>
          <t>A 36251-2023</t>
        </is>
      </c>
      <c r="B150" s="1" t="n">
        <v>45150.94185185185</v>
      </c>
      <c r="C150" s="1" t="n">
        <v>45901</v>
      </c>
      <c r="D150" t="inlineStr">
        <is>
          <t>NORRBOTTENS LÄN</t>
        </is>
      </c>
      <c r="E150" t="inlineStr">
        <is>
          <t>GÄLLIVARE</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36969-2023</t>
        </is>
      </c>
      <c r="B151" s="1" t="n">
        <v>45154.95400462963</v>
      </c>
      <c r="C151" s="1" t="n">
        <v>45901</v>
      </c>
      <c r="D151" t="inlineStr">
        <is>
          <t>NORRBOTTENS LÄN</t>
        </is>
      </c>
      <c r="E151" t="inlineStr">
        <is>
          <t>GÄLLIVARE</t>
        </is>
      </c>
      <c r="F151" t="inlineStr">
        <is>
          <t>SCA</t>
        </is>
      </c>
      <c r="G151" t="n">
        <v>10.8</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45901</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28046-2024</t>
        </is>
      </c>
      <c r="B153" s="1" t="n">
        <v>45476</v>
      </c>
      <c r="C153" s="1" t="n">
        <v>45901</v>
      </c>
      <c r="D153" t="inlineStr">
        <is>
          <t>NORRBOTTENS LÄN</t>
        </is>
      </c>
      <c r="E153" t="inlineStr">
        <is>
          <t>GÄLLIVARE</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53828-2024</t>
        </is>
      </c>
      <c r="B154" s="1" t="n">
        <v>45615.61438657407</v>
      </c>
      <c r="C154" s="1" t="n">
        <v>45901</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23607-2025</t>
        </is>
      </c>
      <c r="B155" s="1" t="n">
        <v>45792.65668981482</v>
      </c>
      <c r="C155" s="1" t="n">
        <v>45901</v>
      </c>
      <c r="D155" t="inlineStr">
        <is>
          <t>NORRBOTTENS LÄN</t>
        </is>
      </c>
      <c r="E155" t="inlineStr">
        <is>
          <t>GÄLLIVARE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23638-2025</t>
        </is>
      </c>
      <c r="B156" s="1" t="n">
        <v>45792</v>
      </c>
      <c r="C156" s="1" t="n">
        <v>45901</v>
      </c>
      <c r="D156" t="inlineStr">
        <is>
          <t>NORRBOTTENS LÄN</t>
        </is>
      </c>
      <c r="E156" t="inlineStr">
        <is>
          <t>GÄLLIVARE</t>
        </is>
      </c>
      <c r="F156" t="inlineStr">
        <is>
          <t>Allmännings- och besparingsskogar</t>
        </is>
      </c>
      <c r="G156" t="n">
        <v>19.3</v>
      </c>
      <c r="H156" t="n">
        <v>0</v>
      </c>
      <c r="I156" t="n">
        <v>0</v>
      </c>
      <c r="J156" t="n">
        <v>0</v>
      </c>
      <c r="K156" t="n">
        <v>0</v>
      </c>
      <c r="L156" t="n">
        <v>0</v>
      </c>
      <c r="M156" t="n">
        <v>0</v>
      </c>
      <c r="N156" t="n">
        <v>0</v>
      </c>
      <c r="O156" t="n">
        <v>0</v>
      </c>
      <c r="P156" t="n">
        <v>0</v>
      </c>
      <c r="Q156" t="n">
        <v>0</v>
      </c>
      <c r="R156" s="2" t="inlineStr"/>
    </row>
    <row r="157" ht="15" customHeight="1">
      <c r="A157" t="inlineStr">
        <is>
          <t>A 29011-2024</t>
        </is>
      </c>
      <c r="B157" s="1" t="n">
        <v>45481</v>
      </c>
      <c r="C157" s="1" t="n">
        <v>45901</v>
      </c>
      <c r="D157" t="inlineStr">
        <is>
          <t>NORRBOTTENS LÄN</t>
        </is>
      </c>
      <c r="E157" t="inlineStr">
        <is>
          <t>GÄLLIVARE</t>
        </is>
      </c>
      <c r="G157" t="n">
        <v>0.7</v>
      </c>
      <c r="H157" t="n">
        <v>0</v>
      </c>
      <c r="I157" t="n">
        <v>0</v>
      </c>
      <c r="J157" t="n">
        <v>0</v>
      </c>
      <c r="K157" t="n">
        <v>0</v>
      </c>
      <c r="L157" t="n">
        <v>0</v>
      </c>
      <c r="M157" t="n">
        <v>0</v>
      </c>
      <c r="N157" t="n">
        <v>0</v>
      </c>
      <c r="O157" t="n">
        <v>0</v>
      </c>
      <c r="P157" t="n">
        <v>0</v>
      </c>
      <c r="Q157" t="n">
        <v>0</v>
      </c>
      <c r="R157" s="2" t="inlineStr"/>
    </row>
    <row r="158" ht="15" customHeight="1">
      <c r="A158" t="inlineStr">
        <is>
          <t>A 10298-2023</t>
        </is>
      </c>
      <c r="B158" s="1" t="n">
        <v>44986</v>
      </c>
      <c r="C158" s="1" t="n">
        <v>45901</v>
      </c>
      <c r="D158" t="inlineStr">
        <is>
          <t>NORRBOTTENS LÄN</t>
        </is>
      </c>
      <c r="E158" t="inlineStr">
        <is>
          <t>GÄLLIVARE</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54103-2024</t>
        </is>
      </c>
      <c r="B159" s="1" t="n">
        <v>45616</v>
      </c>
      <c r="C159" s="1" t="n">
        <v>45901</v>
      </c>
      <c r="D159" t="inlineStr">
        <is>
          <t>NORRBOTTENS LÄN</t>
        </is>
      </c>
      <c r="E159" t="inlineStr">
        <is>
          <t>GÄLLIVARE</t>
        </is>
      </c>
      <c r="F159" t="inlineStr">
        <is>
          <t>Allmännings- och besparingsskogar</t>
        </is>
      </c>
      <c r="G159" t="n">
        <v>9.6</v>
      </c>
      <c r="H159" t="n">
        <v>0</v>
      </c>
      <c r="I159" t="n">
        <v>0</v>
      </c>
      <c r="J159" t="n">
        <v>0</v>
      </c>
      <c r="K159" t="n">
        <v>0</v>
      </c>
      <c r="L159" t="n">
        <v>0</v>
      </c>
      <c r="M159" t="n">
        <v>0</v>
      </c>
      <c r="N159" t="n">
        <v>0</v>
      </c>
      <c r="O159" t="n">
        <v>0</v>
      </c>
      <c r="P159" t="n">
        <v>0</v>
      </c>
      <c r="Q159" t="n">
        <v>0</v>
      </c>
      <c r="R159" s="2" t="inlineStr"/>
    </row>
    <row r="160" ht="15" customHeight="1">
      <c r="A160" t="inlineStr">
        <is>
          <t>A 55221-2022</t>
        </is>
      </c>
      <c r="B160" s="1" t="n">
        <v>44886</v>
      </c>
      <c r="C160" s="1" t="n">
        <v>45901</v>
      </c>
      <c r="D160" t="inlineStr">
        <is>
          <t>NORRBOTTENS LÄN</t>
        </is>
      </c>
      <c r="E160" t="inlineStr">
        <is>
          <t>GÄLLIVARE</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55223-2022</t>
        </is>
      </c>
      <c r="B161" s="1" t="n">
        <v>44886</v>
      </c>
      <c r="C161" s="1" t="n">
        <v>45901</v>
      </c>
      <c r="D161" t="inlineStr">
        <is>
          <t>NORRBOTTENS LÄN</t>
        </is>
      </c>
      <c r="E161" t="inlineStr">
        <is>
          <t>GÄLLIVARE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43910-2020</t>
        </is>
      </c>
      <c r="B162" s="1" t="n">
        <v>44081</v>
      </c>
      <c r="C162" s="1" t="n">
        <v>45901</v>
      </c>
      <c r="D162" t="inlineStr">
        <is>
          <t>NORRBOTTENS LÄN</t>
        </is>
      </c>
      <c r="E162" t="inlineStr">
        <is>
          <t>GÄLLIVARE</t>
        </is>
      </c>
      <c r="G162" t="n">
        <v>3.4</v>
      </c>
      <c r="H162" t="n">
        <v>0</v>
      </c>
      <c r="I162" t="n">
        <v>0</v>
      </c>
      <c r="J162" t="n">
        <v>0</v>
      </c>
      <c r="K162" t="n">
        <v>0</v>
      </c>
      <c r="L162" t="n">
        <v>0</v>
      </c>
      <c r="M162" t="n">
        <v>0</v>
      </c>
      <c r="N162" t="n">
        <v>0</v>
      </c>
      <c r="O162" t="n">
        <v>0</v>
      </c>
      <c r="P162" t="n">
        <v>0</v>
      </c>
      <c r="Q162" t="n">
        <v>0</v>
      </c>
      <c r="R162" s="2" t="inlineStr"/>
    </row>
    <row r="163" ht="15" customHeight="1">
      <c r="A163" t="inlineStr">
        <is>
          <t>A 24139-2025</t>
        </is>
      </c>
      <c r="B163" s="1" t="n">
        <v>45796</v>
      </c>
      <c r="C163" s="1" t="n">
        <v>45901</v>
      </c>
      <c r="D163" t="inlineStr">
        <is>
          <t>NORRBOTTENS LÄN</t>
        </is>
      </c>
      <c r="E163" t="inlineStr">
        <is>
          <t>GÄLLIVARE</t>
        </is>
      </c>
      <c r="G163" t="n">
        <v>1.6</v>
      </c>
      <c r="H163" t="n">
        <v>0</v>
      </c>
      <c r="I163" t="n">
        <v>0</v>
      </c>
      <c r="J163" t="n">
        <v>0</v>
      </c>
      <c r="K163" t="n">
        <v>0</v>
      </c>
      <c r="L163" t="n">
        <v>0</v>
      </c>
      <c r="M163" t="n">
        <v>0</v>
      </c>
      <c r="N163" t="n">
        <v>0</v>
      </c>
      <c r="O163" t="n">
        <v>0</v>
      </c>
      <c r="P163" t="n">
        <v>0</v>
      </c>
      <c r="Q163" t="n">
        <v>0</v>
      </c>
      <c r="R163" s="2" t="inlineStr"/>
    </row>
    <row r="164" ht="15" customHeight="1">
      <c r="A164" t="inlineStr">
        <is>
          <t>A 5166-2025</t>
        </is>
      </c>
      <c r="B164" s="1" t="n">
        <v>45691</v>
      </c>
      <c r="C164" s="1" t="n">
        <v>45901</v>
      </c>
      <c r="D164" t="inlineStr">
        <is>
          <t>NORRBOTTENS LÄN</t>
        </is>
      </c>
      <c r="E164" t="inlineStr">
        <is>
          <t>GÄLLIVARE</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55588-2023</t>
        </is>
      </c>
      <c r="B165" s="1" t="n">
        <v>45238.67594907407</v>
      </c>
      <c r="C165" s="1" t="n">
        <v>45901</v>
      </c>
      <c r="D165" t="inlineStr">
        <is>
          <t>NORRBOTTENS LÄN</t>
        </is>
      </c>
      <c r="E165" t="inlineStr">
        <is>
          <t>GÄLLIVARE</t>
        </is>
      </c>
      <c r="G165" t="n">
        <v>4.1</v>
      </c>
      <c r="H165" t="n">
        <v>0</v>
      </c>
      <c r="I165" t="n">
        <v>0</v>
      </c>
      <c r="J165" t="n">
        <v>0</v>
      </c>
      <c r="K165" t="n">
        <v>0</v>
      </c>
      <c r="L165" t="n">
        <v>0</v>
      </c>
      <c r="M165" t="n">
        <v>0</v>
      </c>
      <c r="N165" t="n">
        <v>0</v>
      </c>
      <c r="O165" t="n">
        <v>0</v>
      </c>
      <c r="P165" t="n">
        <v>0</v>
      </c>
      <c r="Q165" t="n">
        <v>0</v>
      </c>
      <c r="R165" s="2" t="inlineStr"/>
    </row>
    <row r="166" ht="15" customHeight="1">
      <c r="A166" t="inlineStr">
        <is>
          <t>A 24125-2025</t>
        </is>
      </c>
      <c r="B166" s="1" t="n">
        <v>45796</v>
      </c>
      <c r="C166" s="1" t="n">
        <v>45901</v>
      </c>
      <c r="D166" t="inlineStr">
        <is>
          <t>NORRBOTTENS LÄN</t>
        </is>
      </c>
      <c r="E166" t="inlineStr">
        <is>
          <t>GÄLLIVARE</t>
        </is>
      </c>
      <c r="F166" t="inlineStr">
        <is>
          <t>Allmännings- och besparingsskogar</t>
        </is>
      </c>
      <c r="G166" t="n">
        <v>7.4</v>
      </c>
      <c r="H166" t="n">
        <v>0</v>
      </c>
      <c r="I166" t="n">
        <v>0</v>
      </c>
      <c r="J166" t="n">
        <v>0</v>
      </c>
      <c r="K166" t="n">
        <v>0</v>
      </c>
      <c r="L166" t="n">
        <v>0</v>
      </c>
      <c r="M166" t="n">
        <v>0</v>
      </c>
      <c r="N166" t="n">
        <v>0</v>
      </c>
      <c r="O166" t="n">
        <v>0</v>
      </c>
      <c r="P166" t="n">
        <v>0</v>
      </c>
      <c r="Q166" t="n">
        <v>0</v>
      </c>
      <c r="R166" s="2" t="inlineStr"/>
    </row>
    <row r="167" ht="15" customHeight="1">
      <c r="A167" t="inlineStr">
        <is>
          <t>A 41224-2024</t>
        </is>
      </c>
      <c r="B167" s="1" t="n">
        <v>45559</v>
      </c>
      <c r="C167" s="1" t="n">
        <v>45901</v>
      </c>
      <c r="D167" t="inlineStr">
        <is>
          <t>NORRBOTTENS LÄN</t>
        </is>
      </c>
      <c r="E167" t="inlineStr">
        <is>
          <t>GÄLLIVARE</t>
        </is>
      </c>
      <c r="F167" t="inlineStr">
        <is>
          <t>Allmännings- och besparingsskogar</t>
        </is>
      </c>
      <c r="G167" t="n">
        <v>12.5</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45901</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45901</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23944-2025</t>
        </is>
      </c>
      <c r="B170" s="1" t="n">
        <v>45796.34444444445</v>
      </c>
      <c r="C170" s="1" t="n">
        <v>45901</v>
      </c>
      <c r="D170" t="inlineStr">
        <is>
          <t>NORRBOTTENS LÄN</t>
        </is>
      </c>
      <c r="E170" t="inlineStr">
        <is>
          <t>GÄLLIVARE</t>
        </is>
      </c>
      <c r="F170" t="inlineStr">
        <is>
          <t>SCA</t>
        </is>
      </c>
      <c r="G170" t="n">
        <v>10</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45901</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45901</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5086-2025</t>
        </is>
      </c>
      <c r="B173" s="1" t="n">
        <v>45691</v>
      </c>
      <c r="C173" s="1" t="n">
        <v>45901</v>
      </c>
      <c r="D173" t="inlineStr">
        <is>
          <t>NORRBOTTENS LÄN</t>
        </is>
      </c>
      <c r="E173" t="inlineStr">
        <is>
          <t>GÄLLIVARE</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23885-2025</t>
        </is>
      </c>
      <c r="B174" s="1" t="n">
        <v>45793.72648148148</v>
      </c>
      <c r="C174" s="1" t="n">
        <v>45901</v>
      </c>
      <c r="D174" t="inlineStr">
        <is>
          <t>NORRBOTTENS LÄN</t>
        </is>
      </c>
      <c r="E174" t="inlineStr">
        <is>
          <t>GÄLLIVARE</t>
        </is>
      </c>
      <c r="G174" t="n">
        <v>6.6</v>
      </c>
      <c r="H174" t="n">
        <v>0</v>
      </c>
      <c r="I174" t="n">
        <v>0</v>
      </c>
      <c r="J174" t="n">
        <v>0</v>
      </c>
      <c r="K174" t="n">
        <v>0</v>
      </c>
      <c r="L174" t="n">
        <v>0</v>
      </c>
      <c r="M174" t="n">
        <v>0</v>
      </c>
      <c r="N174" t="n">
        <v>0</v>
      </c>
      <c r="O174" t="n">
        <v>0</v>
      </c>
      <c r="P174" t="n">
        <v>0</v>
      </c>
      <c r="Q174" t="n">
        <v>0</v>
      </c>
      <c r="R174" s="2" t="inlineStr"/>
    </row>
    <row r="175" ht="15" customHeight="1">
      <c r="A175" t="inlineStr">
        <is>
          <t>A 39559-2022</t>
        </is>
      </c>
      <c r="B175" s="1" t="n">
        <v>44818</v>
      </c>
      <c r="C175" s="1" t="n">
        <v>45901</v>
      </c>
      <c r="D175" t="inlineStr">
        <is>
          <t>NORRBOTTENS LÄN</t>
        </is>
      </c>
      <c r="E175" t="inlineStr">
        <is>
          <t>GÄLLIVARE</t>
        </is>
      </c>
      <c r="F175" t="inlineStr">
        <is>
          <t>Sveaskog</t>
        </is>
      </c>
      <c r="G175" t="n">
        <v>11.6</v>
      </c>
      <c r="H175" t="n">
        <v>0</v>
      </c>
      <c r="I175" t="n">
        <v>0</v>
      </c>
      <c r="J175" t="n">
        <v>0</v>
      </c>
      <c r="K175" t="n">
        <v>0</v>
      </c>
      <c r="L175" t="n">
        <v>0</v>
      </c>
      <c r="M175" t="n">
        <v>0</v>
      </c>
      <c r="N175" t="n">
        <v>0</v>
      </c>
      <c r="O175" t="n">
        <v>0</v>
      </c>
      <c r="P175" t="n">
        <v>0</v>
      </c>
      <c r="Q175" t="n">
        <v>0</v>
      </c>
      <c r="R175" s="2" t="inlineStr"/>
    </row>
    <row r="176" ht="15" customHeight="1">
      <c r="A176" t="inlineStr">
        <is>
          <t>A 833-2025</t>
        </is>
      </c>
      <c r="B176" s="1" t="n">
        <v>45665</v>
      </c>
      <c r="C176" s="1" t="n">
        <v>45901</v>
      </c>
      <c r="D176" t="inlineStr">
        <is>
          <t>NORRBOTTENS LÄN</t>
        </is>
      </c>
      <c r="E176" t="inlineStr">
        <is>
          <t>GÄLLIVARE</t>
        </is>
      </c>
      <c r="F176" t="inlineStr">
        <is>
          <t>Sveaskog</t>
        </is>
      </c>
      <c r="G176" t="n">
        <v>2.6</v>
      </c>
      <c r="H176" t="n">
        <v>0</v>
      </c>
      <c r="I176" t="n">
        <v>0</v>
      </c>
      <c r="J176" t="n">
        <v>0</v>
      </c>
      <c r="K176" t="n">
        <v>0</v>
      </c>
      <c r="L176" t="n">
        <v>0</v>
      </c>
      <c r="M176" t="n">
        <v>0</v>
      </c>
      <c r="N176" t="n">
        <v>0</v>
      </c>
      <c r="O176" t="n">
        <v>0</v>
      </c>
      <c r="P176" t="n">
        <v>0</v>
      </c>
      <c r="Q176" t="n">
        <v>0</v>
      </c>
      <c r="R176" s="2" t="inlineStr"/>
    </row>
    <row r="177" ht="15" customHeight="1">
      <c r="A177" t="inlineStr">
        <is>
          <t>A 836-2025</t>
        </is>
      </c>
      <c r="B177" s="1" t="n">
        <v>45665</v>
      </c>
      <c r="C177" s="1" t="n">
        <v>45901</v>
      </c>
      <c r="D177" t="inlineStr">
        <is>
          <t>NORRBOTTENS LÄN</t>
        </is>
      </c>
      <c r="E177" t="inlineStr">
        <is>
          <t>GÄLLIVARE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839-2025</t>
        </is>
      </c>
      <c r="B178" s="1" t="n">
        <v>45665</v>
      </c>
      <c r="C178" s="1" t="n">
        <v>45901</v>
      </c>
      <c r="D178" t="inlineStr">
        <is>
          <t>NORRBOTTENS LÄN</t>
        </is>
      </c>
      <c r="E178" t="inlineStr">
        <is>
          <t>GÄLLIVARE</t>
        </is>
      </c>
      <c r="F178" t="inlineStr">
        <is>
          <t>Sveaskog</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24624-2025</t>
        </is>
      </c>
      <c r="B179" s="1" t="n">
        <v>45798.59435185185</v>
      </c>
      <c r="C179" s="1" t="n">
        <v>45901</v>
      </c>
      <c r="D179" t="inlineStr">
        <is>
          <t>NORRBOTTENS LÄN</t>
        </is>
      </c>
      <c r="E179" t="inlineStr">
        <is>
          <t>GÄLLIVARE</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24237-2025</t>
        </is>
      </c>
      <c r="B180" s="1" t="n">
        <v>45797</v>
      </c>
      <c r="C180" s="1" t="n">
        <v>45901</v>
      </c>
      <c r="D180" t="inlineStr">
        <is>
          <t>NORRBOTTENS LÄN</t>
        </is>
      </c>
      <c r="E180" t="inlineStr">
        <is>
          <t>GÄLLIVARE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24457-2025</t>
        </is>
      </c>
      <c r="B181" s="1" t="n">
        <v>45798</v>
      </c>
      <c r="C181" s="1" t="n">
        <v>45901</v>
      </c>
      <c r="D181" t="inlineStr">
        <is>
          <t>NORRBOTTENS LÄN</t>
        </is>
      </c>
      <c r="E181" t="inlineStr">
        <is>
          <t>GÄLLIVARE</t>
        </is>
      </c>
      <c r="F181" t="inlineStr">
        <is>
          <t>SCA</t>
        </is>
      </c>
      <c r="G181" t="n">
        <v>10.9</v>
      </c>
      <c r="H181" t="n">
        <v>0</v>
      </c>
      <c r="I181" t="n">
        <v>0</v>
      </c>
      <c r="J181" t="n">
        <v>0</v>
      </c>
      <c r="K181" t="n">
        <v>0</v>
      </c>
      <c r="L181" t="n">
        <v>0</v>
      </c>
      <c r="M181" t="n">
        <v>0</v>
      </c>
      <c r="N181" t="n">
        <v>0</v>
      </c>
      <c r="O181" t="n">
        <v>0</v>
      </c>
      <c r="P181" t="n">
        <v>0</v>
      </c>
      <c r="Q181" t="n">
        <v>0</v>
      </c>
      <c r="R181" s="2" t="inlineStr"/>
    </row>
    <row r="182" ht="15" customHeight="1">
      <c r="A182" t="inlineStr">
        <is>
          <t>A 36681-2021</t>
        </is>
      </c>
      <c r="B182" s="1" t="n">
        <v>44392</v>
      </c>
      <c r="C182" s="1" t="n">
        <v>45901</v>
      </c>
      <c r="D182" t="inlineStr">
        <is>
          <t>NORRBOTTENS LÄN</t>
        </is>
      </c>
      <c r="E182" t="inlineStr">
        <is>
          <t>GÄLLIVARE</t>
        </is>
      </c>
      <c r="G182" t="n">
        <v>7.6</v>
      </c>
      <c r="H182" t="n">
        <v>0</v>
      </c>
      <c r="I182" t="n">
        <v>0</v>
      </c>
      <c r="J182" t="n">
        <v>0</v>
      </c>
      <c r="K182" t="n">
        <v>0</v>
      </c>
      <c r="L182" t="n">
        <v>0</v>
      </c>
      <c r="M182" t="n">
        <v>0</v>
      </c>
      <c r="N182" t="n">
        <v>0</v>
      </c>
      <c r="O182" t="n">
        <v>0</v>
      </c>
      <c r="P182" t="n">
        <v>0</v>
      </c>
      <c r="Q182" t="n">
        <v>0</v>
      </c>
      <c r="R182" s="2" t="inlineStr"/>
    </row>
    <row r="183" ht="15" customHeight="1">
      <c r="A183" t="inlineStr">
        <is>
          <t>A 24221-2025</t>
        </is>
      </c>
      <c r="B183" s="1" t="n">
        <v>45797.36483796296</v>
      </c>
      <c r="C183" s="1" t="n">
        <v>45901</v>
      </c>
      <c r="D183" t="inlineStr">
        <is>
          <t>NORRBOTTENS LÄN</t>
        </is>
      </c>
      <c r="E183" t="inlineStr">
        <is>
          <t>GÄLLIVARE</t>
        </is>
      </c>
      <c r="G183" t="n">
        <v>5.6</v>
      </c>
      <c r="H183" t="n">
        <v>0</v>
      </c>
      <c r="I183" t="n">
        <v>0</v>
      </c>
      <c r="J183" t="n">
        <v>0</v>
      </c>
      <c r="K183" t="n">
        <v>0</v>
      </c>
      <c r="L183" t="n">
        <v>0</v>
      </c>
      <c r="M183" t="n">
        <v>0</v>
      </c>
      <c r="N183" t="n">
        <v>0</v>
      </c>
      <c r="O183" t="n">
        <v>0</v>
      </c>
      <c r="P183" t="n">
        <v>0</v>
      </c>
      <c r="Q183" t="n">
        <v>0</v>
      </c>
      <c r="R183" s="2" t="inlineStr"/>
    </row>
    <row r="184" ht="15" customHeight="1">
      <c r="A184" t="inlineStr">
        <is>
          <t>A 55381-2024</t>
        </is>
      </c>
      <c r="B184" s="1" t="n">
        <v>45622</v>
      </c>
      <c r="C184" s="1" t="n">
        <v>45901</v>
      </c>
      <c r="D184" t="inlineStr">
        <is>
          <t>NORRBOTTENS LÄN</t>
        </is>
      </c>
      <c r="E184" t="inlineStr">
        <is>
          <t>GÄLLIVARE</t>
        </is>
      </c>
      <c r="F184" t="inlineStr">
        <is>
          <t>Sveaskog</t>
        </is>
      </c>
      <c r="G184" t="n">
        <v>11.7</v>
      </c>
      <c r="H184" t="n">
        <v>0</v>
      </c>
      <c r="I184" t="n">
        <v>0</v>
      </c>
      <c r="J184" t="n">
        <v>0</v>
      </c>
      <c r="K184" t="n">
        <v>0</v>
      </c>
      <c r="L184" t="n">
        <v>0</v>
      </c>
      <c r="M184" t="n">
        <v>0</v>
      </c>
      <c r="N184" t="n">
        <v>0</v>
      </c>
      <c r="O184" t="n">
        <v>0</v>
      </c>
      <c r="P184" t="n">
        <v>0</v>
      </c>
      <c r="Q184" t="n">
        <v>0</v>
      </c>
      <c r="R184" s="2" t="inlineStr"/>
    </row>
    <row r="185" ht="15" customHeight="1">
      <c r="A185" t="inlineStr">
        <is>
          <t>A 59675-2024</t>
        </is>
      </c>
      <c r="B185" s="1" t="n">
        <v>45639</v>
      </c>
      <c r="C185" s="1" t="n">
        <v>45901</v>
      </c>
      <c r="D185" t="inlineStr">
        <is>
          <t>NORRBOTTENS LÄN</t>
        </is>
      </c>
      <c r="E185" t="inlineStr">
        <is>
          <t>GÄLLIVARE</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24276-2025</t>
        </is>
      </c>
      <c r="B186" s="1" t="n">
        <v>45797.44836805556</v>
      </c>
      <c r="C186" s="1" t="n">
        <v>45901</v>
      </c>
      <c r="D186" t="inlineStr">
        <is>
          <t>NORRBOTTENS LÄN</t>
        </is>
      </c>
      <c r="E186" t="inlineStr">
        <is>
          <t>GÄLLIVARE</t>
        </is>
      </c>
      <c r="F186" t="inlineStr">
        <is>
          <t>SCA</t>
        </is>
      </c>
      <c r="G186" t="n">
        <v>9.6</v>
      </c>
      <c r="H186" t="n">
        <v>0</v>
      </c>
      <c r="I186" t="n">
        <v>0</v>
      </c>
      <c r="J186" t="n">
        <v>0</v>
      </c>
      <c r="K186" t="n">
        <v>0</v>
      </c>
      <c r="L186" t="n">
        <v>0</v>
      </c>
      <c r="M186" t="n">
        <v>0</v>
      </c>
      <c r="N186" t="n">
        <v>0</v>
      </c>
      <c r="O186" t="n">
        <v>0</v>
      </c>
      <c r="P186" t="n">
        <v>0</v>
      </c>
      <c r="Q186" t="n">
        <v>0</v>
      </c>
      <c r="R186" s="2" t="inlineStr"/>
    </row>
    <row r="187" ht="15" customHeight="1">
      <c r="A187" t="inlineStr">
        <is>
          <t>A 44690-2023</t>
        </is>
      </c>
      <c r="B187" s="1" t="n">
        <v>45189</v>
      </c>
      <c r="C187" s="1" t="n">
        <v>45901</v>
      </c>
      <c r="D187" t="inlineStr">
        <is>
          <t>NORRBOTTENS LÄN</t>
        </is>
      </c>
      <c r="E187" t="inlineStr">
        <is>
          <t>GÄLLIVARE</t>
        </is>
      </c>
      <c r="G187" t="n">
        <v>8.6</v>
      </c>
      <c r="H187" t="n">
        <v>0</v>
      </c>
      <c r="I187" t="n">
        <v>0</v>
      </c>
      <c r="J187" t="n">
        <v>0</v>
      </c>
      <c r="K187" t="n">
        <v>0</v>
      </c>
      <c r="L187" t="n">
        <v>0</v>
      </c>
      <c r="M187" t="n">
        <v>0</v>
      </c>
      <c r="N187" t="n">
        <v>0</v>
      </c>
      <c r="O187" t="n">
        <v>0</v>
      </c>
      <c r="P187" t="n">
        <v>0</v>
      </c>
      <c r="Q187" t="n">
        <v>0</v>
      </c>
      <c r="R187" s="2" t="inlineStr"/>
    </row>
    <row r="188" ht="15" customHeight="1">
      <c r="A188" t="inlineStr">
        <is>
          <t>A 25035-2025</t>
        </is>
      </c>
      <c r="B188" s="1" t="n">
        <v>45799.65689814815</v>
      </c>
      <c r="C188" s="1" t="n">
        <v>45901</v>
      </c>
      <c r="D188" t="inlineStr">
        <is>
          <t>NORRBOTTENS LÄN</t>
        </is>
      </c>
      <c r="E188" t="inlineStr">
        <is>
          <t>GÄLLIVARE</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24734-2025</t>
        </is>
      </c>
      <c r="B189" s="1" t="n">
        <v>45799</v>
      </c>
      <c r="C189" s="1" t="n">
        <v>45901</v>
      </c>
      <c r="D189" t="inlineStr">
        <is>
          <t>NORRBOTTENS LÄN</t>
        </is>
      </c>
      <c r="E189" t="inlineStr">
        <is>
          <t>GÄLLIVARE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45901</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25041-2025</t>
        </is>
      </c>
      <c r="B191" s="1" t="n">
        <v>45799</v>
      </c>
      <c r="C191" s="1" t="n">
        <v>45901</v>
      </c>
      <c r="D191" t="inlineStr">
        <is>
          <t>NORRBOTTENS LÄN</t>
        </is>
      </c>
      <c r="E191" t="inlineStr">
        <is>
          <t>GÄLLIVARE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57442-2022</t>
        </is>
      </c>
      <c r="B192" s="1" t="n">
        <v>44896</v>
      </c>
      <c r="C192" s="1" t="n">
        <v>45901</v>
      </c>
      <c r="D192" t="inlineStr">
        <is>
          <t>NORRBOTTENS LÄN</t>
        </is>
      </c>
      <c r="E192" t="inlineStr">
        <is>
          <t>GÄLLIVARE</t>
        </is>
      </c>
      <c r="G192" t="n">
        <v>1.7</v>
      </c>
      <c r="H192" t="n">
        <v>0</v>
      </c>
      <c r="I192" t="n">
        <v>0</v>
      </c>
      <c r="J192" t="n">
        <v>0</v>
      </c>
      <c r="K192" t="n">
        <v>0</v>
      </c>
      <c r="L192" t="n">
        <v>0</v>
      </c>
      <c r="M192" t="n">
        <v>0</v>
      </c>
      <c r="N192" t="n">
        <v>0</v>
      </c>
      <c r="O192" t="n">
        <v>0</v>
      </c>
      <c r="P192" t="n">
        <v>0</v>
      </c>
      <c r="Q192" t="n">
        <v>0</v>
      </c>
      <c r="R192" s="2" t="inlineStr"/>
    </row>
    <row r="193" ht="15" customHeight="1">
      <c r="A193" t="inlineStr">
        <is>
          <t>A 24739-2025</t>
        </is>
      </c>
      <c r="B193" s="1" t="n">
        <v>45799</v>
      </c>
      <c r="C193" s="1" t="n">
        <v>45901</v>
      </c>
      <c r="D193" t="inlineStr">
        <is>
          <t>NORRBOTTENS LÄN</t>
        </is>
      </c>
      <c r="E193" t="inlineStr">
        <is>
          <t>GÄLLIVARE</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24741-2025</t>
        </is>
      </c>
      <c r="B194" s="1" t="n">
        <v>45799.34563657407</v>
      </c>
      <c r="C194" s="1" t="n">
        <v>45901</v>
      </c>
      <c r="D194" t="inlineStr">
        <is>
          <t>NORRBOTTENS LÄN</t>
        </is>
      </c>
      <c r="E194" t="inlineStr">
        <is>
          <t>GÄLLIVARE</t>
        </is>
      </c>
      <c r="F194" t="inlineStr">
        <is>
          <t>SCA</t>
        </is>
      </c>
      <c r="G194" t="n">
        <v>16.2</v>
      </c>
      <c r="H194" t="n">
        <v>0</v>
      </c>
      <c r="I194" t="n">
        <v>0</v>
      </c>
      <c r="J194" t="n">
        <v>0</v>
      </c>
      <c r="K194" t="n">
        <v>0</v>
      </c>
      <c r="L194" t="n">
        <v>0</v>
      </c>
      <c r="M194" t="n">
        <v>0</v>
      </c>
      <c r="N194" t="n">
        <v>0</v>
      </c>
      <c r="O194" t="n">
        <v>0</v>
      </c>
      <c r="P194" t="n">
        <v>0</v>
      </c>
      <c r="Q194" t="n">
        <v>0</v>
      </c>
      <c r="R194" s="2" t="inlineStr"/>
    </row>
    <row r="195" ht="15" customHeight="1">
      <c r="A195" t="inlineStr">
        <is>
          <t>A 20286-2025</t>
        </is>
      </c>
      <c r="B195" s="1" t="n">
        <v>45774</v>
      </c>
      <c r="C195" s="1" t="n">
        <v>45901</v>
      </c>
      <c r="D195" t="inlineStr">
        <is>
          <t>NORRBOTTENS LÄN</t>
        </is>
      </c>
      <c r="E195" t="inlineStr">
        <is>
          <t>GÄLLIVARE</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59698-2024</t>
        </is>
      </c>
      <c r="B196" s="1" t="n">
        <v>45639</v>
      </c>
      <c r="C196" s="1" t="n">
        <v>45901</v>
      </c>
      <c r="D196" t="inlineStr">
        <is>
          <t>NORRBOTTENS LÄN</t>
        </is>
      </c>
      <c r="E196" t="inlineStr">
        <is>
          <t>GÄLLIVARE</t>
        </is>
      </c>
      <c r="F196" t="inlineStr">
        <is>
          <t>Sveaskog</t>
        </is>
      </c>
      <c r="G196" t="n">
        <v>3.7</v>
      </c>
      <c r="H196" t="n">
        <v>0</v>
      </c>
      <c r="I196" t="n">
        <v>0</v>
      </c>
      <c r="J196" t="n">
        <v>0</v>
      </c>
      <c r="K196" t="n">
        <v>0</v>
      </c>
      <c r="L196" t="n">
        <v>0</v>
      </c>
      <c r="M196" t="n">
        <v>0</v>
      </c>
      <c r="N196" t="n">
        <v>0</v>
      </c>
      <c r="O196" t="n">
        <v>0</v>
      </c>
      <c r="P196" t="n">
        <v>0</v>
      </c>
      <c r="Q196" t="n">
        <v>0</v>
      </c>
      <c r="R196" s="2" t="inlineStr"/>
    </row>
    <row r="197" ht="15" customHeight="1">
      <c r="A197" t="inlineStr">
        <is>
          <t>A 59704-2024</t>
        </is>
      </c>
      <c r="B197" s="1" t="n">
        <v>45639</v>
      </c>
      <c r="C197" s="1" t="n">
        <v>45901</v>
      </c>
      <c r="D197" t="inlineStr">
        <is>
          <t>NORRBOTTENS LÄN</t>
        </is>
      </c>
      <c r="E197" t="inlineStr">
        <is>
          <t>GÄLLIVARE</t>
        </is>
      </c>
      <c r="F197" t="inlineStr">
        <is>
          <t>Sveaskog</t>
        </is>
      </c>
      <c r="G197" t="n">
        <v>5.8</v>
      </c>
      <c r="H197" t="n">
        <v>0</v>
      </c>
      <c r="I197" t="n">
        <v>0</v>
      </c>
      <c r="J197" t="n">
        <v>0</v>
      </c>
      <c r="K197" t="n">
        <v>0</v>
      </c>
      <c r="L197" t="n">
        <v>0</v>
      </c>
      <c r="M197" t="n">
        <v>0</v>
      </c>
      <c r="N197" t="n">
        <v>0</v>
      </c>
      <c r="O197" t="n">
        <v>0</v>
      </c>
      <c r="P197" t="n">
        <v>0</v>
      </c>
      <c r="Q197" t="n">
        <v>0</v>
      </c>
      <c r="R197" s="2" t="inlineStr"/>
    </row>
    <row r="198" ht="15" customHeight="1">
      <c r="A198" t="inlineStr">
        <is>
          <t>A 36322-2023</t>
        </is>
      </c>
      <c r="B198" s="1" t="n">
        <v>45152</v>
      </c>
      <c r="C198" s="1" t="n">
        <v>45901</v>
      </c>
      <c r="D198" t="inlineStr">
        <is>
          <t>NORRBOTTENS LÄN</t>
        </is>
      </c>
      <c r="E198" t="inlineStr">
        <is>
          <t>GÄLLIVARE</t>
        </is>
      </c>
      <c r="F198" t="inlineStr">
        <is>
          <t>Allmännings- och besparingsskogar</t>
        </is>
      </c>
      <c r="G198" t="n">
        <v>36.8</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45901</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45901</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26284-2025</t>
        </is>
      </c>
      <c r="B201" s="1" t="n">
        <v>45805</v>
      </c>
      <c r="C201" s="1" t="n">
        <v>45901</v>
      </c>
      <c r="D201" t="inlineStr">
        <is>
          <t>NORRBOTTENS LÄN</t>
        </is>
      </c>
      <c r="E201" t="inlineStr">
        <is>
          <t>GÄLLIVARE</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44340-2024</t>
        </is>
      </c>
      <c r="B202" s="1" t="n">
        <v>45573</v>
      </c>
      <c r="C202" s="1" t="n">
        <v>45901</v>
      </c>
      <c r="D202" t="inlineStr">
        <is>
          <t>NORRBOTTENS LÄN</t>
        </is>
      </c>
      <c r="E202" t="inlineStr">
        <is>
          <t>GÄLLIVARE</t>
        </is>
      </c>
      <c r="G202" t="n">
        <v>3.5</v>
      </c>
      <c r="H202" t="n">
        <v>0</v>
      </c>
      <c r="I202" t="n">
        <v>0</v>
      </c>
      <c r="J202" t="n">
        <v>0</v>
      </c>
      <c r="K202" t="n">
        <v>0</v>
      </c>
      <c r="L202" t="n">
        <v>0</v>
      </c>
      <c r="M202" t="n">
        <v>0</v>
      </c>
      <c r="N202" t="n">
        <v>0</v>
      </c>
      <c r="O202" t="n">
        <v>0</v>
      </c>
      <c r="P202" t="n">
        <v>0</v>
      </c>
      <c r="Q202" t="n">
        <v>0</v>
      </c>
      <c r="R202" s="2" t="inlineStr"/>
    </row>
    <row r="203" ht="15" customHeight="1">
      <c r="A203" t="inlineStr">
        <is>
          <t>A 11290-2023</t>
        </is>
      </c>
      <c r="B203" s="1" t="n">
        <v>44992</v>
      </c>
      <c r="C203" s="1" t="n">
        <v>45901</v>
      </c>
      <c r="D203" t="inlineStr">
        <is>
          <t>NORRBOTTENS LÄN</t>
        </is>
      </c>
      <c r="E203" t="inlineStr">
        <is>
          <t>GÄLLIVARE</t>
        </is>
      </c>
      <c r="G203" t="n">
        <v>2</v>
      </c>
      <c r="H203" t="n">
        <v>0</v>
      </c>
      <c r="I203" t="n">
        <v>0</v>
      </c>
      <c r="J203" t="n">
        <v>0</v>
      </c>
      <c r="K203" t="n">
        <v>0</v>
      </c>
      <c r="L203" t="n">
        <v>0</v>
      </c>
      <c r="M203" t="n">
        <v>0</v>
      </c>
      <c r="N203" t="n">
        <v>0</v>
      </c>
      <c r="O203" t="n">
        <v>0</v>
      </c>
      <c r="P203" t="n">
        <v>0</v>
      </c>
      <c r="Q203" t="n">
        <v>0</v>
      </c>
      <c r="R203" s="2" t="inlineStr"/>
    </row>
    <row r="204" ht="15" customHeight="1">
      <c r="A204" t="inlineStr">
        <is>
          <t>A 47166-2023</t>
        </is>
      </c>
      <c r="B204" s="1" t="n">
        <v>45201</v>
      </c>
      <c r="C204" s="1" t="n">
        <v>45901</v>
      </c>
      <c r="D204" t="inlineStr">
        <is>
          <t>NORRBOTTENS LÄN</t>
        </is>
      </c>
      <c r="E204" t="inlineStr">
        <is>
          <t>GÄLLIVARE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26243-2025</t>
        </is>
      </c>
      <c r="B205" s="1" t="n">
        <v>45805.57359953703</v>
      </c>
      <c r="C205" s="1" t="n">
        <v>45901</v>
      </c>
      <c r="D205" t="inlineStr">
        <is>
          <t>NORRBOTTENS LÄN</t>
        </is>
      </c>
      <c r="E205" t="inlineStr">
        <is>
          <t>GÄLLIVARE</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47613-2023</t>
        </is>
      </c>
      <c r="B206" s="1" t="n">
        <v>45198</v>
      </c>
      <c r="C206" s="1" t="n">
        <v>45901</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57535-2024</t>
        </is>
      </c>
      <c r="B207" s="1" t="n">
        <v>45630.42950231482</v>
      </c>
      <c r="C207" s="1" t="n">
        <v>45901</v>
      </c>
      <c r="D207" t="inlineStr">
        <is>
          <t>NORRBOTTENS LÄN</t>
        </is>
      </c>
      <c r="E207" t="inlineStr">
        <is>
          <t>GÄLLIVARE</t>
        </is>
      </c>
      <c r="G207" t="n">
        <v>1.8</v>
      </c>
      <c r="H207" t="n">
        <v>0</v>
      </c>
      <c r="I207" t="n">
        <v>0</v>
      </c>
      <c r="J207" t="n">
        <v>0</v>
      </c>
      <c r="K207" t="n">
        <v>0</v>
      </c>
      <c r="L207" t="n">
        <v>0</v>
      </c>
      <c r="M207" t="n">
        <v>0</v>
      </c>
      <c r="N207" t="n">
        <v>0</v>
      </c>
      <c r="O207" t="n">
        <v>0</v>
      </c>
      <c r="P207" t="n">
        <v>0</v>
      </c>
      <c r="Q207" t="n">
        <v>0</v>
      </c>
      <c r="R207" s="2" t="inlineStr"/>
    </row>
    <row r="208" ht="15" customHeight="1">
      <c r="A208" t="inlineStr">
        <is>
          <t>A 61795-2022</t>
        </is>
      </c>
      <c r="B208" s="1" t="n">
        <v>44911</v>
      </c>
      <c r="C208" s="1" t="n">
        <v>45901</v>
      </c>
      <c r="D208" t="inlineStr">
        <is>
          <t>NORRBOTTENS LÄN</t>
        </is>
      </c>
      <c r="E208" t="inlineStr">
        <is>
          <t>GÄLLIVARE</t>
        </is>
      </c>
      <c r="G208" t="n">
        <v>2.5</v>
      </c>
      <c r="H208" t="n">
        <v>0</v>
      </c>
      <c r="I208" t="n">
        <v>0</v>
      </c>
      <c r="J208" t="n">
        <v>0</v>
      </c>
      <c r="K208" t="n">
        <v>0</v>
      </c>
      <c r="L208" t="n">
        <v>0</v>
      </c>
      <c r="M208" t="n">
        <v>0</v>
      </c>
      <c r="N208" t="n">
        <v>0</v>
      </c>
      <c r="O208" t="n">
        <v>0</v>
      </c>
      <c r="P208" t="n">
        <v>0</v>
      </c>
      <c r="Q208" t="n">
        <v>0</v>
      </c>
      <c r="R208" s="2" t="inlineStr"/>
    </row>
    <row r="209" ht="15" customHeight="1">
      <c r="A209" t="inlineStr">
        <is>
          <t>A 26291-2025</t>
        </is>
      </c>
      <c r="B209" s="1" t="n">
        <v>45805</v>
      </c>
      <c r="C209" s="1" t="n">
        <v>45901</v>
      </c>
      <c r="D209" t="inlineStr">
        <is>
          <t>NORRBOTTENS LÄN</t>
        </is>
      </c>
      <c r="E209" t="inlineStr">
        <is>
          <t>GÄLLIVARE</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64372-2023</t>
        </is>
      </c>
      <c r="B210" s="1" t="n">
        <v>45280</v>
      </c>
      <c r="C210" s="1" t="n">
        <v>45901</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26242-2025</t>
        </is>
      </c>
      <c r="B211" s="1" t="n">
        <v>45805</v>
      </c>
      <c r="C211" s="1" t="n">
        <v>45901</v>
      </c>
      <c r="D211" t="inlineStr">
        <is>
          <t>NORRBOTTENS LÄN</t>
        </is>
      </c>
      <c r="E211" t="inlineStr">
        <is>
          <t>GÄLLIVARE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26208-2025</t>
        </is>
      </c>
      <c r="B212" s="1" t="n">
        <v>45805.53162037037</v>
      </c>
      <c r="C212" s="1" t="n">
        <v>45901</v>
      </c>
      <c r="D212" t="inlineStr">
        <is>
          <t>NORRBOTTENS LÄN</t>
        </is>
      </c>
      <c r="E212" t="inlineStr">
        <is>
          <t>GÄLLIVARE</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8152-2025</t>
        </is>
      </c>
      <c r="B213" s="1" t="n">
        <v>45708</v>
      </c>
      <c r="C213" s="1" t="n">
        <v>45901</v>
      </c>
      <c r="D213" t="inlineStr">
        <is>
          <t>NORRBOTTENS LÄN</t>
        </is>
      </c>
      <c r="E213" t="inlineStr">
        <is>
          <t>GÄLLIVARE</t>
        </is>
      </c>
      <c r="F213" t="inlineStr">
        <is>
          <t>Sveaskog</t>
        </is>
      </c>
      <c r="G213" t="n">
        <v>42.1</v>
      </c>
      <c r="H213" t="n">
        <v>0</v>
      </c>
      <c r="I213" t="n">
        <v>0</v>
      </c>
      <c r="J213" t="n">
        <v>0</v>
      </c>
      <c r="K213" t="n">
        <v>0</v>
      </c>
      <c r="L213" t="n">
        <v>0</v>
      </c>
      <c r="M213" t="n">
        <v>0</v>
      </c>
      <c r="N213" t="n">
        <v>0</v>
      </c>
      <c r="O213" t="n">
        <v>0</v>
      </c>
      <c r="P213" t="n">
        <v>0</v>
      </c>
      <c r="Q213" t="n">
        <v>0</v>
      </c>
      <c r="R213" s="2" t="inlineStr"/>
    </row>
    <row r="214" ht="15" customHeight="1">
      <c r="A214" t="inlineStr">
        <is>
          <t>A 65517-2021</t>
        </is>
      </c>
      <c r="B214" s="1" t="n">
        <v>44516</v>
      </c>
      <c r="C214" s="1" t="n">
        <v>45901</v>
      </c>
      <c r="D214" t="inlineStr">
        <is>
          <t>NORRBOTTENS LÄN</t>
        </is>
      </c>
      <c r="E214" t="inlineStr">
        <is>
          <t>GÄLLIVARE</t>
        </is>
      </c>
      <c r="G214" t="n">
        <v>5</v>
      </c>
      <c r="H214" t="n">
        <v>0</v>
      </c>
      <c r="I214" t="n">
        <v>0</v>
      </c>
      <c r="J214" t="n">
        <v>0</v>
      </c>
      <c r="K214" t="n">
        <v>0</v>
      </c>
      <c r="L214" t="n">
        <v>0</v>
      </c>
      <c r="M214" t="n">
        <v>0</v>
      </c>
      <c r="N214" t="n">
        <v>0</v>
      </c>
      <c r="O214" t="n">
        <v>0</v>
      </c>
      <c r="P214" t="n">
        <v>0</v>
      </c>
      <c r="Q214" t="n">
        <v>0</v>
      </c>
      <c r="R214" s="2" t="inlineStr"/>
    </row>
    <row r="215" ht="15" customHeight="1">
      <c r="A215" t="inlineStr">
        <is>
          <t>A 45654-2024</t>
        </is>
      </c>
      <c r="B215" s="1" t="n">
        <v>45579</v>
      </c>
      <c r="C215" s="1" t="n">
        <v>45901</v>
      </c>
      <c r="D215" t="inlineStr">
        <is>
          <t>NORRBOTTENS LÄN</t>
        </is>
      </c>
      <c r="E215" t="inlineStr">
        <is>
          <t>GÄLLIVARE</t>
        </is>
      </c>
      <c r="G215" t="n">
        <v>2.1</v>
      </c>
      <c r="H215" t="n">
        <v>0</v>
      </c>
      <c r="I215" t="n">
        <v>0</v>
      </c>
      <c r="J215" t="n">
        <v>0</v>
      </c>
      <c r="K215" t="n">
        <v>0</v>
      </c>
      <c r="L215" t="n">
        <v>0</v>
      </c>
      <c r="M215" t="n">
        <v>0</v>
      </c>
      <c r="N215" t="n">
        <v>0</v>
      </c>
      <c r="O215" t="n">
        <v>0</v>
      </c>
      <c r="P215" t="n">
        <v>0</v>
      </c>
      <c r="Q215" t="n">
        <v>0</v>
      </c>
      <c r="R215" s="2" t="inlineStr"/>
    </row>
    <row r="216" ht="15" customHeight="1">
      <c r="A216" t="inlineStr">
        <is>
          <t>A 26638-2025</t>
        </is>
      </c>
      <c r="B216" s="1" t="n">
        <v>45810</v>
      </c>
      <c r="C216" s="1" t="n">
        <v>45901</v>
      </c>
      <c r="D216" t="inlineStr">
        <is>
          <t>NORRBOTTENS LÄN</t>
        </is>
      </c>
      <c r="E216" t="inlineStr">
        <is>
          <t>GÄLLIVARE</t>
        </is>
      </c>
      <c r="G216" t="n">
        <v>2.6</v>
      </c>
      <c r="H216" t="n">
        <v>0</v>
      </c>
      <c r="I216" t="n">
        <v>0</v>
      </c>
      <c r="J216" t="n">
        <v>0</v>
      </c>
      <c r="K216" t="n">
        <v>0</v>
      </c>
      <c r="L216" t="n">
        <v>0</v>
      </c>
      <c r="M216" t="n">
        <v>0</v>
      </c>
      <c r="N216" t="n">
        <v>0</v>
      </c>
      <c r="O216" t="n">
        <v>0</v>
      </c>
      <c r="P216" t="n">
        <v>0</v>
      </c>
      <c r="Q216" t="n">
        <v>0</v>
      </c>
      <c r="R216" s="2" t="inlineStr"/>
    </row>
    <row r="217" ht="15" customHeight="1">
      <c r="A217" t="inlineStr">
        <is>
          <t>A 26772-2025</t>
        </is>
      </c>
      <c r="B217" s="1" t="n">
        <v>45810</v>
      </c>
      <c r="C217" s="1" t="n">
        <v>45901</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47239-2023</t>
        </is>
      </c>
      <c r="B218" s="1" t="n">
        <v>45196</v>
      </c>
      <c r="C218" s="1" t="n">
        <v>45901</v>
      </c>
      <c r="D218" t="inlineStr">
        <is>
          <t>NORRBOTTENS LÄN</t>
        </is>
      </c>
      <c r="E218" t="inlineStr">
        <is>
          <t>GÄLLIVARE</t>
        </is>
      </c>
      <c r="F218" t="inlineStr">
        <is>
          <t>Övriga statliga verk och myndigheter</t>
        </is>
      </c>
      <c r="G218" t="n">
        <v>65.40000000000001</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45901</v>
      </c>
      <c r="D219" t="inlineStr">
        <is>
          <t>NORRBOTTENS LÄN</t>
        </is>
      </c>
      <c r="E219" t="inlineStr">
        <is>
          <t>GÄLLIVARE</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36511-2024</t>
        </is>
      </c>
      <c r="B220" s="1" t="n">
        <v>45537</v>
      </c>
      <c r="C220" s="1" t="n">
        <v>45901</v>
      </c>
      <c r="D220" t="inlineStr">
        <is>
          <t>NORRBOTTENS LÄN</t>
        </is>
      </c>
      <c r="E220" t="inlineStr">
        <is>
          <t>GÄLLIVARE</t>
        </is>
      </c>
      <c r="F220" t="inlineStr">
        <is>
          <t>Sveaskog</t>
        </is>
      </c>
      <c r="G220" t="n">
        <v>9.4</v>
      </c>
      <c r="H220" t="n">
        <v>0</v>
      </c>
      <c r="I220" t="n">
        <v>0</v>
      </c>
      <c r="J220" t="n">
        <v>0</v>
      </c>
      <c r="K220" t="n">
        <v>0</v>
      </c>
      <c r="L220" t="n">
        <v>0</v>
      </c>
      <c r="M220" t="n">
        <v>0</v>
      </c>
      <c r="N220" t="n">
        <v>0</v>
      </c>
      <c r="O220" t="n">
        <v>0</v>
      </c>
      <c r="P220" t="n">
        <v>0</v>
      </c>
      <c r="Q220" t="n">
        <v>0</v>
      </c>
      <c r="R220" s="2" t="inlineStr"/>
    </row>
    <row r="221" ht="15" customHeight="1">
      <c r="A221" t="inlineStr">
        <is>
          <t>A 14974-2025</t>
        </is>
      </c>
      <c r="B221" s="1" t="n">
        <v>45743</v>
      </c>
      <c r="C221" s="1" t="n">
        <v>45901</v>
      </c>
      <c r="D221" t="inlineStr">
        <is>
          <t>NORRBOTTENS LÄN</t>
        </is>
      </c>
      <c r="E221" t="inlineStr">
        <is>
          <t>GÄLLIVARE</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14604-2025</t>
        </is>
      </c>
      <c r="B222" s="1" t="n">
        <v>45742</v>
      </c>
      <c r="C222" s="1" t="n">
        <v>45901</v>
      </c>
      <c r="D222" t="inlineStr">
        <is>
          <t>NORRBOTTENS LÄN</t>
        </is>
      </c>
      <c r="E222" t="inlineStr">
        <is>
          <t>GÄLLIVARE</t>
        </is>
      </c>
      <c r="G222" t="n">
        <v>8.1</v>
      </c>
      <c r="H222" t="n">
        <v>0</v>
      </c>
      <c r="I222" t="n">
        <v>0</v>
      </c>
      <c r="J222" t="n">
        <v>0</v>
      </c>
      <c r="K222" t="n">
        <v>0</v>
      </c>
      <c r="L222" t="n">
        <v>0</v>
      </c>
      <c r="M222" t="n">
        <v>0</v>
      </c>
      <c r="N222" t="n">
        <v>0</v>
      </c>
      <c r="O222" t="n">
        <v>0</v>
      </c>
      <c r="P222" t="n">
        <v>0</v>
      </c>
      <c r="Q222" t="n">
        <v>0</v>
      </c>
      <c r="R222" s="2" t="inlineStr"/>
    </row>
    <row r="223" ht="15" customHeight="1">
      <c r="A223" t="inlineStr">
        <is>
          <t>A 27567-2025</t>
        </is>
      </c>
      <c r="B223" s="1" t="n">
        <v>45813.48991898148</v>
      </c>
      <c r="C223" s="1" t="n">
        <v>45901</v>
      </c>
      <c r="D223" t="inlineStr">
        <is>
          <t>NORRBOTTENS LÄN</t>
        </is>
      </c>
      <c r="E223" t="inlineStr">
        <is>
          <t>GÄLLIVARE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52947-2023</t>
        </is>
      </c>
      <c r="B224" s="1" t="n">
        <v>45219</v>
      </c>
      <c r="C224" s="1" t="n">
        <v>45901</v>
      </c>
      <c r="D224" t="inlineStr">
        <is>
          <t>NORRBOTTENS LÄN</t>
        </is>
      </c>
      <c r="E224" t="inlineStr">
        <is>
          <t>GÄLLIVARE</t>
        </is>
      </c>
      <c r="F224" t="inlineStr">
        <is>
          <t>Övriga statliga verk och myndigheter</t>
        </is>
      </c>
      <c r="G224" t="n">
        <v>23.7</v>
      </c>
      <c r="H224" t="n">
        <v>0</v>
      </c>
      <c r="I224" t="n">
        <v>0</v>
      </c>
      <c r="J224" t="n">
        <v>0</v>
      </c>
      <c r="K224" t="n">
        <v>0</v>
      </c>
      <c r="L224" t="n">
        <v>0</v>
      </c>
      <c r="M224" t="n">
        <v>0</v>
      </c>
      <c r="N224" t="n">
        <v>0</v>
      </c>
      <c r="O224" t="n">
        <v>0</v>
      </c>
      <c r="P224" t="n">
        <v>0</v>
      </c>
      <c r="Q224" t="n">
        <v>0</v>
      </c>
      <c r="R224" s="2" t="inlineStr"/>
    </row>
    <row r="225" ht="15" customHeight="1">
      <c r="A225" t="inlineStr">
        <is>
          <t>A 41944-2024</t>
        </is>
      </c>
      <c r="B225" s="1" t="n">
        <v>45561</v>
      </c>
      <c r="C225" s="1" t="n">
        <v>45901</v>
      </c>
      <c r="D225" t="inlineStr">
        <is>
          <t>NORRBOTTENS LÄN</t>
        </is>
      </c>
      <c r="E225" t="inlineStr">
        <is>
          <t>GÄLLIVARE</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5111-2025</t>
        </is>
      </c>
      <c r="B226" s="1" t="n">
        <v>45691</v>
      </c>
      <c r="C226" s="1" t="n">
        <v>45901</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28272-2025</t>
        </is>
      </c>
      <c r="B227" s="1" t="n">
        <v>45818</v>
      </c>
      <c r="C227" s="1" t="n">
        <v>45901</v>
      </c>
      <c r="D227" t="inlineStr">
        <is>
          <t>NORRBOTTENS LÄN</t>
        </is>
      </c>
      <c r="E227" t="inlineStr">
        <is>
          <t>GÄLLIVARE</t>
        </is>
      </c>
      <c r="F227" t="inlineStr">
        <is>
          <t>Sveaskog</t>
        </is>
      </c>
      <c r="G227" t="n">
        <v>24.8</v>
      </c>
      <c r="H227" t="n">
        <v>0</v>
      </c>
      <c r="I227" t="n">
        <v>0</v>
      </c>
      <c r="J227" t="n">
        <v>0</v>
      </c>
      <c r="K227" t="n">
        <v>0</v>
      </c>
      <c r="L227" t="n">
        <v>0</v>
      </c>
      <c r="M227" t="n">
        <v>0</v>
      </c>
      <c r="N227" t="n">
        <v>0</v>
      </c>
      <c r="O227" t="n">
        <v>0</v>
      </c>
      <c r="P227" t="n">
        <v>0</v>
      </c>
      <c r="Q227" t="n">
        <v>0</v>
      </c>
      <c r="R227" s="2" t="inlineStr"/>
    </row>
    <row r="228" ht="15" customHeight="1">
      <c r="A228" t="inlineStr">
        <is>
          <t>A 46857-2023</t>
        </is>
      </c>
      <c r="B228" s="1" t="n">
        <v>45199.97033564815</v>
      </c>
      <c r="C228" s="1" t="n">
        <v>45901</v>
      </c>
      <c r="D228" t="inlineStr">
        <is>
          <t>NORRBOTTENS LÄN</t>
        </is>
      </c>
      <c r="E228" t="inlineStr">
        <is>
          <t>GÄLLIVARE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15373-2024</t>
        </is>
      </c>
      <c r="B229" s="1" t="n">
        <v>45400</v>
      </c>
      <c r="C229" s="1" t="n">
        <v>45901</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8018-2022</t>
        </is>
      </c>
      <c r="B230" s="1" t="n">
        <v>44609</v>
      </c>
      <c r="C230" s="1" t="n">
        <v>45901</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4633-2025</t>
        </is>
      </c>
      <c r="B231" s="1" t="n">
        <v>45687</v>
      </c>
      <c r="C231" s="1" t="n">
        <v>45901</v>
      </c>
      <c r="D231" t="inlineStr">
        <is>
          <t>NORRBOTTENS LÄN</t>
        </is>
      </c>
      <c r="E231" t="inlineStr">
        <is>
          <t>GÄLLIVARE</t>
        </is>
      </c>
      <c r="G231" t="n">
        <v>11.8</v>
      </c>
      <c r="H231" t="n">
        <v>0</v>
      </c>
      <c r="I231" t="n">
        <v>0</v>
      </c>
      <c r="J231" t="n">
        <v>0</v>
      </c>
      <c r="K231" t="n">
        <v>0</v>
      </c>
      <c r="L231" t="n">
        <v>0</v>
      </c>
      <c r="M231" t="n">
        <v>0</v>
      </c>
      <c r="N231" t="n">
        <v>0</v>
      </c>
      <c r="O231" t="n">
        <v>0</v>
      </c>
      <c r="P231" t="n">
        <v>0</v>
      </c>
      <c r="Q231" t="n">
        <v>0</v>
      </c>
      <c r="R231" s="2" t="inlineStr"/>
    </row>
    <row r="232" ht="15" customHeight="1">
      <c r="A232" t="inlineStr">
        <is>
          <t>A 16857-2025</t>
        </is>
      </c>
      <c r="B232" s="1" t="n">
        <v>45751</v>
      </c>
      <c r="C232" s="1" t="n">
        <v>45901</v>
      </c>
      <c r="D232" t="inlineStr">
        <is>
          <t>NORRBOTTENS LÄN</t>
        </is>
      </c>
      <c r="E232" t="inlineStr">
        <is>
          <t>GÄLLIVARE</t>
        </is>
      </c>
      <c r="G232" t="n">
        <v>1.7</v>
      </c>
      <c r="H232" t="n">
        <v>0</v>
      </c>
      <c r="I232" t="n">
        <v>0</v>
      </c>
      <c r="J232" t="n">
        <v>0</v>
      </c>
      <c r="K232" t="n">
        <v>0</v>
      </c>
      <c r="L232" t="n">
        <v>0</v>
      </c>
      <c r="M232" t="n">
        <v>0</v>
      </c>
      <c r="N232" t="n">
        <v>0</v>
      </c>
      <c r="O232" t="n">
        <v>0</v>
      </c>
      <c r="P232" t="n">
        <v>0</v>
      </c>
      <c r="Q232" t="n">
        <v>0</v>
      </c>
      <c r="R232" s="2" t="inlineStr"/>
    </row>
    <row r="233" ht="15" customHeight="1">
      <c r="A233" t="inlineStr">
        <is>
          <t>A 16473-2024</t>
        </is>
      </c>
      <c r="B233" s="1" t="n">
        <v>45408</v>
      </c>
      <c r="C233" s="1" t="n">
        <v>45901</v>
      </c>
      <c r="D233" t="inlineStr">
        <is>
          <t>NORRBOTTENS LÄN</t>
        </is>
      </c>
      <c r="E233" t="inlineStr">
        <is>
          <t>GÄLLIVARE</t>
        </is>
      </c>
      <c r="F233" t="inlineStr">
        <is>
          <t>SCA</t>
        </is>
      </c>
      <c r="G233" t="n">
        <v>15.3</v>
      </c>
      <c r="H233" t="n">
        <v>0</v>
      </c>
      <c r="I233" t="n">
        <v>0</v>
      </c>
      <c r="J233" t="n">
        <v>0</v>
      </c>
      <c r="K233" t="n">
        <v>0</v>
      </c>
      <c r="L233" t="n">
        <v>0</v>
      </c>
      <c r="M233" t="n">
        <v>0</v>
      </c>
      <c r="N233" t="n">
        <v>0</v>
      </c>
      <c r="O233" t="n">
        <v>0</v>
      </c>
      <c r="P233" t="n">
        <v>0</v>
      </c>
      <c r="Q233" t="n">
        <v>0</v>
      </c>
      <c r="R233" s="2" t="inlineStr"/>
    </row>
    <row r="234" ht="15" customHeight="1">
      <c r="A234" t="inlineStr">
        <is>
          <t>A 21556-2023</t>
        </is>
      </c>
      <c r="B234" s="1" t="n">
        <v>45063</v>
      </c>
      <c r="C234" s="1" t="n">
        <v>45901</v>
      </c>
      <c r="D234" t="inlineStr">
        <is>
          <t>NORRBOTTENS LÄN</t>
        </is>
      </c>
      <c r="E234" t="inlineStr">
        <is>
          <t>GÄLLIVARE</t>
        </is>
      </c>
      <c r="G234" t="n">
        <v>6.8</v>
      </c>
      <c r="H234" t="n">
        <v>0</v>
      </c>
      <c r="I234" t="n">
        <v>0</v>
      </c>
      <c r="J234" t="n">
        <v>0</v>
      </c>
      <c r="K234" t="n">
        <v>0</v>
      </c>
      <c r="L234" t="n">
        <v>0</v>
      </c>
      <c r="M234" t="n">
        <v>0</v>
      </c>
      <c r="N234" t="n">
        <v>0</v>
      </c>
      <c r="O234" t="n">
        <v>0</v>
      </c>
      <c r="P234" t="n">
        <v>0</v>
      </c>
      <c r="Q234" t="n">
        <v>0</v>
      </c>
      <c r="R234" s="2" t="inlineStr"/>
    </row>
    <row r="235" ht="15" customHeight="1">
      <c r="A235" t="inlineStr">
        <is>
          <t>A 17418-2024</t>
        </is>
      </c>
      <c r="B235" s="1" t="n">
        <v>45414</v>
      </c>
      <c r="C235" s="1" t="n">
        <v>45901</v>
      </c>
      <c r="D235" t="inlineStr">
        <is>
          <t>NORRBOTTENS LÄN</t>
        </is>
      </c>
      <c r="E235" t="inlineStr">
        <is>
          <t>GÄLLIVARE</t>
        </is>
      </c>
      <c r="F235" t="inlineStr">
        <is>
          <t>SCA</t>
        </is>
      </c>
      <c r="G235" t="n">
        <v>48.6</v>
      </c>
      <c r="H235" t="n">
        <v>0</v>
      </c>
      <c r="I235" t="n">
        <v>0</v>
      </c>
      <c r="J235" t="n">
        <v>0</v>
      </c>
      <c r="K235" t="n">
        <v>0</v>
      </c>
      <c r="L235" t="n">
        <v>0</v>
      </c>
      <c r="M235" t="n">
        <v>0</v>
      </c>
      <c r="N235" t="n">
        <v>0</v>
      </c>
      <c r="O235" t="n">
        <v>0</v>
      </c>
      <c r="P235" t="n">
        <v>0</v>
      </c>
      <c r="Q235" t="n">
        <v>0</v>
      </c>
      <c r="R235" s="2" t="inlineStr"/>
    </row>
    <row r="236" ht="15" customHeight="1">
      <c r="A236" t="inlineStr">
        <is>
          <t>A 28126-2025</t>
        </is>
      </c>
      <c r="B236" s="1" t="n">
        <v>45818.31854166667</v>
      </c>
      <c r="C236" s="1" t="n">
        <v>45901</v>
      </c>
      <c r="D236" t="inlineStr">
        <is>
          <t>NORRBOTTENS LÄN</t>
        </is>
      </c>
      <c r="E236" t="inlineStr">
        <is>
          <t>GÄLLIVARE</t>
        </is>
      </c>
      <c r="F236" t="inlineStr">
        <is>
          <t>Sveaskog</t>
        </is>
      </c>
      <c r="G236" t="n">
        <v>29.9</v>
      </c>
      <c r="H236" t="n">
        <v>0</v>
      </c>
      <c r="I236" t="n">
        <v>0</v>
      </c>
      <c r="J236" t="n">
        <v>0</v>
      </c>
      <c r="K236" t="n">
        <v>0</v>
      </c>
      <c r="L236" t="n">
        <v>0</v>
      </c>
      <c r="M236" t="n">
        <v>0</v>
      </c>
      <c r="N236" t="n">
        <v>0</v>
      </c>
      <c r="O236" t="n">
        <v>0</v>
      </c>
      <c r="P236" t="n">
        <v>0</v>
      </c>
      <c r="Q236" t="n">
        <v>0</v>
      </c>
      <c r="R236" s="2" t="inlineStr"/>
    </row>
    <row r="237" ht="15" customHeight="1">
      <c r="A237" t="inlineStr">
        <is>
          <t>A 20126-2023</t>
        </is>
      </c>
      <c r="B237" s="1" t="n">
        <v>45051</v>
      </c>
      <c r="C237" s="1" t="n">
        <v>45901</v>
      </c>
      <c r="D237" t="inlineStr">
        <is>
          <t>NORRBOTTENS LÄN</t>
        </is>
      </c>
      <c r="E237" t="inlineStr">
        <is>
          <t>GÄLLIVARE</t>
        </is>
      </c>
      <c r="G237" t="n">
        <v>2.8</v>
      </c>
      <c r="H237" t="n">
        <v>0</v>
      </c>
      <c r="I237" t="n">
        <v>0</v>
      </c>
      <c r="J237" t="n">
        <v>0</v>
      </c>
      <c r="K237" t="n">
        <v>0</v>
      </c>
      <c r="L237" t="n">
        <v>0</v>
      </c>
      <c r="M237" t="n">
        <v>0</v>
      </c>
      <c r="N237" t="n">
        <v>0</v>
      </c>
      <c r="O237" t="n">
        <v>0</v>
      </c>
      <c r="P237" t="n">
        <v>0</v>
      </c>
      <c r="Q237" t="n">
        <v>0</v>
      </c>
      <c r="R237" s="2" t="inlineStr"/>
    </row>
    <row r="238" ht="15" customHeight="1">
      <c r="A238" t="inlineStr">
        <is>
          <t>A 28124-2025</t>
        </is>
      </c>
      <c r="B238" s="1" t="n">
        <v>45818.31184027778</v>
      </c>
      <c r="C238" s="1" t="n">
        <v>45901</v>
      </c>
      <c r="D238" t="inlineStr">
        <is>
          <t>NORRBOTTENS LÄN</t>
        </is>
      </c>
      <c r="E238" t="inlineStr">
        <is>
          <t>GÄLLIVARE</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28125-2025</t>
        </is>
      </c>
      <c r="B239" s="1" t="n">
        <v>45818.31322916667</v>
      </c>
      <c r="C239" s="1" t="n">
        <v>45901</v>
      </c>
      <c r="D239" t="inlineStr">
        <is>
          <t>NORRBOTTENS LÄN</t>
        </is>
      </c>
      <c r="E239" t="inlineStr">
        <is>
          <t>GÄLLIVARE</t>
        </is>
      </c>
      <c r="F239" t="inlineStr">
        <is>
          <t>Sveaskog</t>
        </is>
      </c>
      <c r="G239" t="n">
        <v>11.3</v>
      </c>
      <c r="H239" t="n">
        <v>0</v>
      </c>
      <c r="I239" t="n">
        <v>0</v>
      </c>
      <c r="J239" t="n">
        <v>0</v>
      </c>
      <c r="K239" t="n">
        <v>0</v>
      </c>
      <c r="L239" t="n">
        <v>0</v>
      </c>
      <c r="M239" t="n">
        <v>0</v>
      </c>
      <c r="N239" t="n">
        <v>0</v>
      </c>
      <c r="O239" t="n">
        <v>0</v>
      </c>
      <c r="P239" t="n">
        <v>0</v>
      </c>
      <c r="Q239" t="n">
        <v>0</v>
      </c>
      <c r="R239" s="2" t="inlineStr"/>
    </row>
    <row r="240" ht="15" customHeight="1">
      <c r="A240" t="inlineStr">
        <is>
          <t>A 28580-2025</t>
        </is>
      </c>
      <c r="B240" s="1" t="n">
        <v>45819.57340277778</v>
      </c>
      <c r="C240" s="1" t="n">
        <v>45901</v>
      </c>
      <c r="D240" t="inlineStr">
        <is>
          <t>NORRBOTTENS LÄN</t>
        </is>
      </c>
      <c r="E240" t="inlineStr">
        <is>
          <t>GÄLLIVARE</t>
        </is>
      </c>
      <c r="G240" t="n">
        <v>11.9</v>
      </c>
      <c r="H240" t="n">
        <v>0</v>
      </c>
      <c r="I240" t="n">
        <v>0</v>
      </c>
      <c r="J240" t="n">
        <v>0</v>
      </c>
      <c r="K240" t="n">
        <v>0</v>
      </c>
      <c r="L240" t="n">
        <v>0</v>
      </c>
      <c r="M240" t="n">
        <v>0</v>
      </c>
      <c r="N240" t="n">
        <v>0</v>
      </c>
      <c r="O240" t="n">
        <v>0</v>
      </c>
      <c r="P240" t="n">
        <v>0</v>
      </c>
      <c r="Q240" t="n">
        <v>0</v>
      </c>
      <c r="R240" s="2" t="inlineStr"/>
    </row>
    <row r="241" ht="15" customHeight="1">
      <c r="A241" t="inlineStr">
        <is>
          <t>A 39757-2024</t>
        </is>
      </c>
      <c r="B241" s="1" t="n">
        <v>45552</v>
      </c>
      <c r="C241" s="1" t="n">
        <v>45901</v>
      </c>
      <c r="D241" t="inlineStr">
        <is>
          <t>NORRBOTTENS LÄN</t>
        </is>
      </c>
      <c r="E241" t="inlineStr">
        <is>
          <t>GÄLLIVARE</t>
        </is>
      </c>
      <c r="F241" t="inlineStr">
        <is>
          <t>Allmännings- och besparingsskogar</t>
        </is>
      </c>
      <c r="G241" t="n">
        <v>36.2</v>
      </c>
      <c r="H241" t="n">
        <v>0</v>
      </c>
      <c r="I241" t="n">
        <v>0</v>
      </c>
      <c r="J241" t="n">
        <v>0</v>
      </c>
      <c r="K241" t="n">
        <v>0</v>
      </c>
      <c r="L241" t="n">
        <v>0</v>
      </c>
      <c r="M241" t="n">
        <v>0</v>
      </c>
      <c r="N241" t="n">
        <v>0</v>
      </c>
      <c r="O241" t="n">
        <v>0</v>
      </c>
      <c r="P241" t="n">
        <v>0</v>
      </c>
      <c r="Q241" t="n">
        <v>0</v>
      </c>
      <c r="R241" s="2" t="inlineStr"/>
    </row>
    <row r="242" ht="15" customHeight="1">
      <c r="A242" t="inlineStr">
        <is>
          <t>A 44314-2024</t>
        </is>
      </c>
      <c r="B242" s="1" t="n">
        <v>45573</v>
      </c>
      <c r="C242" s="1" t="n">
        <v>45901</v>
      </c>
      <c r="D242" t="inlineStr">
        <is>
          <t>NORRBOTTENS LÄN</t>
        </is>
      </c>
      <c r="E242" t="inlineStr">
        <is>
          <t>GÄLLIVARE</t>
        </is>
      </c>
      <c r="F242" t="inlineStr">
        <is>
          <t>Sveaskog</t>
        </is>
      </c>
      <c r="G242" t="n">
        <v>18.2</v>
      </c>
      <c r="H242" t="n">
        <v>0</v>
      </c>
      <c r="I242" t="n">
        <v>0</v>
      </c>
      <c r="J242" t="n">
        <v>0</v>
      </c>
      <c r="K242" t="n">
        <v>0</v>
      </c>
      <c r="L242" t="n">
        <v>0</v>
      </c>
      <c r="M242" t="n">
        <v>0</v>
      </c>
      <c r="N242" t="n">
        <v>0</v>
      </c>
      <c r="O242" t="n">
        <v>0</v>
      </c>
      <c r="P242" t="n">
        <v>0</v>
      </c>
      <c r="Q242" t="n">
        <v>0</v>
      </c>
      <c r="R242" s="2" t="inlineStr"/>
    </row>
    <row r="243" ht="15" customHeight="1">
      <c r="A243" t="inlineStr">
        <is>
          <t>A 44328-2024</t>
        </is>
      </c>
      <c r="B243" s="1" t="n">
        <v>45573</v>
      </c>
      <c r="C243" s="1" t="n">
        <v>45901</v>
      </c>
      <c r="D243" t="inlineStr">
        <is>
          <t>NORRBOTTENS LÄN</t>
        </is>
      </c>
      <c r="E243" t="inlineStr">
        <is>
          <t>GÄLLIVARE</t>
        </is>
      </c>
      <c r="G243" t="n">
        <v>1.8</v>
      </c>
      <c r="H243" t="n">
        <v>0</v>
      </c>
      <c r="I243" t="n">
        <v>0</v>
      </c>
      <c r="J243" t="n">
        <v>0</v>
      </c>
      <c r="K243" t="n">
        <v>0</v>
      </c>
      <c r="L243" t="n">
        <v>0</v>
      </c>
      <c r="M243" t="n">
        <v>0</v>
      </c>
      <c r="N243" t="n">
        <v>0</v>
      </c>
      <c r="O243" t="n">
        <v>0</v>
      </c>
      <c r="P243" t="n">
        <v>0</v>
      </c>
      <c r="Q243" t="n">
        <v>0</v>
      </c>
      <c r="R243" s="2" t="inlineStr"/>
    </row>
    <row r="244" ht="15" customHeight="1">
      <c r="A244" t="inlineStr">
        <is>
          <t>A 58776-2022</t>
        </is>
      </c>
      <c r="B244" s="1" t="n">
        <v>44895</v>
      </c>
      <c r="C244" s="1" t="n">
        <v>45901</v>
      </c>
      <c r="D244" t="inlineStr">
        <is>
          <t>NORRBOTTENS LÄN</t>
        </is>
      </c>
      <c r="E244" t="inlineStr">
        <is>
          <t>GÄLLIVARE</t>
        </is>
      </c>
      <c r="G244" t="n">
        <v>12.1</v>
      </c>
      <c r="H244" t="n">
        <v>0</v>
      </c>
      <c r="I244" t="n">
        <v>0</v>
      </c>
      <c r="J244" t="n">
        <v>0</v>
      </c>
      <c r="K244" t="n">
        <v>0</v>
      </c>
      <c r="L244" t="n">
        <v>0</v>
      </c>
      <c r="M244" t="n">
        <v>0</v>
      </c>
      <c r="N244" t="n">
        <v>0</v>
      </c>
      <c r="O244" t="n">
        <v>0</v>
      </c>
      <c r="P244" t="n">
        <v>0</v>
      </c>
      <c r="Q244" t="n">
        <v>0</v>
      </c>
      <c r="R244" s="2" t="inlineStr"/>
    </row>
    <row r="245" ht="15" customHeight="1">
      <c r="A245" t="inlineStr">
        <is>
          <t>A 29383-2025</t>
        </is>
      </c>
      <c r="B245" s="1" t="n">
        <v>45824</v>
      </c>
      <c r="C245" s="1" t="n">
        <v>45901</v>
      </c>
      <c r="D245" t="inlineStr">
        <is>
          <t>NORRBOTTENS LÄN</t>
        </is>
      </c>
      <c r="E245" t="inlineStr">
        <is>
          <t>GÄLLIVARE</t>
        </is>
      </c>
      <c r="F245" t="inlineStr">
        <is>
          <t>Allmännings- och besparingsskogar</t>
        </is>
      </c>
      <c r="G245" t="n">
        <v>3.7</v>
      </c>
      <c r="H245" t="n">
        <v>0</v>
      </c>
      <c r="I245" t="n">
        <v>0</v>
      </c>
      <c r="J245" t="n">
        <v>0</v>
      </c>
      <c r="K245" t="n">
        <v>0</v>
      </c>
      <c r="L245" t="n">
        <v>0</v>
      </c>
      <c r="M245" t="n">
        <v>0</v>
      </c>
      <c r="N245" t="n">
        <v>0</v>
      </c>
      <c r="O245" t="n">
        <v>0</v>
      </c>
      <c r="P245" t="n">
        <v>0</v>
      </c>
      <c r="Q245" t="n">
        <v>0</v>
      </c>
      <c r="R245" s="2" t="inlineStr"/>
    </row>
    <row r="246" ht="15" customHeight="1">
      <c r="A246" t="inlineStr">
        <is>
          <t>A 29481-2025</t>
        </is>
      </c>
      <c r="B246" s="1" t="n">
        <v>45824</v>
      </c>
      <c r="C246" s="1" t="n">
        <v>45901</v>
      </c>
      <c r="D246" t="inlineStr">
        <is>
          <t>NORRBOTTENS LÄN</t>
        </is>
      </c>
      <c r="E246" t="inlineStr">
        <is>
          <t>GÄLLIVARE</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36014-2023</t>
        </is>
      </c>
      <c r="B247" s="1" t="n">
        <v>45148</v>
      </c>
      <c r="C247" s="1" t="n">
        <v>45901</v>
      </c>
      <c r="D247" t="inlineStr">
        <is>
          <t>NORRBOTTENS LÄN</t>
        </is>
      </c>
      <c r="E247" t="inlineStr">
        <is>
          <t>GÄLLIVARE</t>
        </is>
      </c>
      <c r="F247" t="inlineStr">
        <is>
          <t>Allmännings- och besparingsskogar</t>
        </is>
      </c>
      <c r="G247" t="n">
        <v>9.9</v>
      </c>
      <c r="H247" t="n">
        <v>0</v>
      </c>
      <c r="I247" t="n">
        <v>0</v>
      </c>
      <c r="J247" t="n">
        <v>0</v>
      </c>
      <c r="K247" t="n">
        <v>0</v>
      </c>
      <c r="L247" t="n">
        <v>0</v>
      </c>
      <c r="M247" t="n">
        <v>0</v>
      </c>
      <c r="N247" t="n">
        <v>0</v>
      </c>
      <c r="O247" t="n">
        <v>0</v>
      </c>
      <c r="P247" t="n">
        <v>0</v>
      </c>
      <c r="Q247" t="n">
        <v>0</v>
      </c>
      <c r="R247" s="2" t="inlineStr"/>
    </row>
    <row r="248" ht="15" customHeight="1">
      <c r="A248" t="inlineStr">
        <is>
          <t>A 21159-2023</t>
        </is>
      </c>
      <c r="B248" s="1" t="n">
        <v>45062</v>
      </c>
      <c r="C248" s="1" t="n">
        <v>45901</v>
      </c>
      <c r="D248" t="inlineStr">
        <is>
          <t>NORRBOTTENS LÄN</t>
        </is>
      </c>
      <c r="E248" t="inlineStr">
        <is>
          <t>GÄLLIVARE</t>
        </is>
      </c>
      <c r="F248" t="inlineStr">
        <is>
          <t>Sveaskog</t>
        </is>
      </c>
      <c r="G248" t="n">
        <v>111</v>
      </c>
      <c r="H248" t="n">
        <v>0</v>
      </c>
      <c r="I248" t="n">
        <v>0</v>
      </c>
      <c r="J248" t="n">
        <v>0</v>
      </c>
      <c r="K248" t="n">
        <v>0</v>
      </c>
      <c r="L248" t="n">
        <v>0</v>
      </c>
      <c r="M248" t="n">
        <v>0</v>
      </c>
      <c r="N248" t="n">
        <v>0</v>
      </c>
      <c r="O248" t="n">
        <v>0</v>
      </c>
      <c r="P248" t="n">
        <v>0</v>
      </c>
      <c r="Q248" t="n">
        <v>0</v>
      </c>
      <c r="R248" s="2" t="inlineStr"/>
    </row>
    <row r="249" ht="15" customHeight="1">
      <c r="A249" t="inlineStr">
        <is>
          <t>A 36137-2025</t>
        </is>
      </c>
      <c r="B249" s="1" t="n">
        <v>45866.64355324074</v>
      </c>
      <c r="C249" s="1" t="n">
        <v>45901</v>
      </c>
      <c r="D249" t="inlineStr">
        <is>
          <t>NORRBOTTENS LÄN</t>
        </is>
      </c>
      <c r="E249" t="inlineStr">
        <is>
          <t>GÄLLIVARE</t>
        </is>
      </c>
      <c r="F249" t="inlineStr">
        <is>
          <t>Sveaskog</t>
        </is>
      </c>
      <c r="G249" t="n">
        <v>10.9</v>
      </c>
      <c r="H249" t="n">
        <v>0</v>
      </c>
      <c r="I249" t="n">
        <v>0</v>
      </c>
      <c r="J249" t="n">
        <v>0</v>
      </c>
      <c r="K249" t="n">
        <v>0</v>
      </c>
      <c r="L249" t="n">
        <v>0</v>
      </c>
      <c r="M249" t="n">
        <v>0</v>
      </c>
      <c r="N249" t="n">
        <v>0</v>
      </c>
      <c r="O249" t="n">
        <v>0</v>
      </c>
      <c r="P249" t="n">
        <v>0</v>
      </c>
      <c r="Q249" t="n">
        <v>0</v>
      </c>
      <c r="R249" s="2" t="inlineStr"/>
    </row>
    <row r="250" ht="15" customHeight="1">
      <c r="A250" t="inlineStr">
        <is>
          <t>A 29478-2025</t>
        </is>
      </c>
      <c r="B250" s="1" t="n">
        <v>45824</v>
      </c>
      <c r="C250" s="1" t="n">
        <v>45901</v>
      </c>
      <c r="D250" t="inlineStr">
        <is>
          <t>NORRBOTTENS LÄN</t>
        </is>
      </c>
      <c r="E250" t="inlineStr">
        <is>
          <t>GÄLLIVARE</t>
        </is>
      </c>
      <c r="F250" t="inlineStr">
        <is>
          <t>Allmännings- och besparingsskogar</t>
        </is>
      </c>
      <c r="G250" t="n">
        <v>6.1</v>
      </c>
      <c r="H250" t="n">
        <v>0</v>
      </c>
      <c r="I250" t="n">
        <v>0</v>
      </c>
      <c r="J250" t="n">
        <v>0</v>
      </c>
      <c r="K250" t="n">
        <v>0</v>
      </c>
      <c r="L250" t="n">
        <v>0</v>
      </c>
      <c r="M250" t="n">
        <v>0</v>
      </c>
      <c r="N250" t="n">
        <v>0</v>
      </c>
      <c r="O250" t="n">
        <v>0</v>
      </c>
      <c r="P250" t="n">
        <v>0</v>
      </c>
      <c r="Q250" t="n">
        <v>0</v>
      </c>
      <c r="R250" s="2" t="inlineStr"/>
    </row>
    <row r="251" ht="15" customHeight="1">
      <c r="A251" t="inlineStr">
        <is>
          <t>A 44391-2024</t>
        </is>
      </c>
      <c r="B251" s="1" t="n">
        <v>45573</v>
      </c>
      <c r="C251" s="1" t="n">
        <v>45901</v>
      </c>
      <c r="D251" t="inlineStr">
        <is>
          <t>NORRBOTTENS LÄN</t>
        </is>
      </c>
      <c r="E251" t="inlineStr">
        <is>
          <t>GÄLLIVARE</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44392-2024</t>
        </is>
      </c>
      <c r="B252" s="1" t="n">
        <v>45573</v>
      </c>
      <c r="C252" s="1" t="n">
        <v>45901</v>
      </c>
      <c r="D252" t="inlineStr">
        <is>
          <t>NORRBOTTENS LÄN</t>
        </is>
      </c>
      <c r="E252" t="inlineStr">
        <is>
          <t>GÄLLIVARE</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29476-2025</t>
        </is>
      </c>
      <c r="B253" s="1" t="n">
        <v>45824</v>
      </c>
      <c r="C253" s="1" t="n">
        <v>45901</v>
      </c>
      <c r="D253" t="inlineStr">
        <is>
          <t>NORRBOTTENS LÄN</t>
        </is>
      </c>
      <c r="E253" t="inlineStr">
        <is>
          <t>GÄLLIVARE</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45901</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29841-2025</t>
        </is>
      </c>
      <c r="B255" s="1" t="n">
        <v>45826.30746527778</v>
      </c>
      <c r="C255" s="1" t="n">
        <v>45901</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61679-2022</t>
        </is>
      </c>
      <c r="B256" s="1" t="n">
        <v>44909</v>
      </c>
      <c r="C256" s="1" t="n">
        <v>45901</v>
      </c>
      <c r="D256" t="inlineStr">
        <is>
          <t>NORRBOTTENS LÄN</t>
        </is>
      </c>
      <c r="E256" t="inlineStr">
        <is>
          <t>GÄLLIVARE</t>
        </is>
      </c>
      <c r="G256" t="n">
        <v>5.7</v>
      </c>
      <c r="H256" t="n">
        <v>0</v>
      </c>
      <c r="I256" t="n">
        <v>0</v>
      </c>
      <c r="J256" t="n">
        <v>0</v>
      </c>
      <c r="K256" t="n">
        <v>0</v>
      </c>
      <c r="L256" t="n">
        <v>0</v>
      </c>
      <c r="M256" t="n">
        <v>0</v>
      </c>
      <c r="N256" t="n">
        <v>0</v>
      </c>
      <c r="O256" t="n">
        <v>0</v>
      </c>
      <c r="P256" t="n">
        <v>0</v>
      </c>
      <c r="Q256" t="n">
        <v>0</v>
      </c>
      <c r="R256" s="2" t="inlineStr"/>
    </row>
    <row r="257" ht="15" customHeight="1">
      <c r="A257" t="inlineStr">
        <is>
          <t>A 36351-2025</t>
        </is>
      </c>
      <c r="B257" s="1" t="n">
        <v>45868.48922453704</v>
      </c>
      <c r="C257" s="1" t="n">
        <v>45901</v>
      </c>
      <c r="D257" t="inlineStr">
        <is>
          <t>NORRBOTTENS LÄN</t>
        </is>
      </c>
      <c r="E257" t="inlineStr">
        <is>
          <t>GÄLLIVARE</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56259-2023</t>
        </is>
      </c>
      <c r="B258" s="1" t="n">
        <v>45240.94666666666</v>
      </c>
      <c r="C258" s="1" t="n">
        <v>45901</v>
      </c>
      <c r="D258" t="inlineStr">
        <is>
          <t>NORRBOTTENS LÄN</t>
        </is>
      </c>
      <c r="E258" t="inlineStr">
        <is>
          <t>GÄLLIVARE</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30030-2025</t>
        </is>
      </c>
      <c r="B259" s="1" t="n">
        <v>45826.56829861111</v>
      </c>
      <c r="C259" s="1" t="n">
        <v>45901</v>
      </c>
      <c r="D259" t="inlineStr">
        <is>
          <t>NORRBOTTENS LÄN</t>
        </is>
      </c>
      <c r="E259" t="inlineStr">
        <is>
          <t>GÄLLIVARE</t>
        </is>
      </c>
      <c r="F259" t="inlineStr">
        <is>
          <t>Sveaskog</t>
        </is>
      </c>
      <c r="G259" t="n">
        <v>17.4</v>
      </c>
      <c r="H259" t="n">
        <v>0</v>
      </c>
      <c r="I259" t="n">
        <v>0</v>
      </c>
      <c r="J259" t="n">
        <v>0</v>
      </c>
      <c r="K259" t="n">
        <v>0</v>
      </c>
      <c r="L259" t="n">
        <v>0</v>
      </c>
      <c r="M259" t="n">
        <v>0</v>
      </c>
      <c r="N259" t="n">
        <v>0</v>
      </c>
      <c r="O259" t="n">
        <v>0</v>
      </c>
      <c r="P259" t="n">
        <v>0</v>
      </c>
      <c r="Q259" t="n">
        <v>0</v>
      </c>
      <c r="R259" s="2" t="inlineStr"/>
    </row>
    <row r="260" ht="15" customHeight="1">
      <c r="A260" t="inlineStr">
        <is>
          <t>A 36246-2023</t>
        </is>
      </c>
      <c r="B260" s="1" t="n">
        <v>45150</v>
      </c>
      <c r="C260" s="1" t="n">
        <v>45901</v>
      </c>
      <c r="D260" t="inlineStr">
        <is>
          <t>NORRBOTTENS LÄN</t>
        </is>
      </c>
      <c r="E260" t="inlineStr">
        <is>
          <t>GÄLLIVARE</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21275-2025</t>
        </is>
      </c>
      <c r="B261" s="1" t="n">
        <v>45779</v>
      </c>
      <c r="C261" s="1" t="n">
        <v>45901</v>
      </c>
      <c r="D261" t="inlineStr">
        <is>
          <t>NORRBOTTENS LÄN</t>
        </is>
      </c>
      <c r="E261" t="inlineStr">
        <is>
          <t>GÄLLIVARE</t>
        </is>
      </c>
      <c r="F261" t="inlineStr">
        <is>
          <t>SCA</t>
        </is>
      </c>
      <c r="G261" t="n">
        <v>18.2</v>
      </c>
      <c r="H261" t="n">
        <v>0</v>
      </c>
      <c r="I261" t="n">
        <v>0</v>
      </c>
      <c r="J261" t="n">
        <v>0</v>
      </c>
      <c r="K261" t="n">
        <v>0</v>
      </c>
      <c r="L261" t="n">
        <v>0</v>
      </c>
      <c r="M261" t="n">
        <v>0</v>
      </c>
      <c r="N261" t="n">
        <v>0</v>
      </c>
      <c r="O261" t="n">
        <v>0</v>
      </c>
      <c r="P261" t="n">
        <v>0</v>
      </c>
      <c r="Q261" t="n">
        <v>0</v>
      </c>
      <c r="R261" s="2" t="inlineStr"/>
    </row>
    <row r="262" ht="15" customHeight="1">
      <c r="A262" t="inlineStr">
        <is>
          <t>A 35730-2023</t>
        </is>
      </c>
      <c r="B262" s="1" t="n">
        <v>45147</v>
      </c>
      <c r="C262" s="1" t="n">
        <v>45901</v>
      </c>
      <c r="D262" t="inlineStr">
        <is>
          <t>NORRBOTTENS LÄN</t>
        </is>
      </c>
      <c r="E262" t="inlineStr">
        <is>
          <t>GÄLLIVARE</t>
        </is>
      </c>
      <c r="G262" t="n">
        <v>0.4</v>
      </c>
      <c r="H262" t="n">
        <v>0</v>
      </c>
      <c r="I262" t="n">
        <v>0</v>
      </c>
      <c r="J262" t="n">
        <v>0</v>
      </c>
      <c r="K262" t="n">
        <v>0</v>
      </c>
      <c r="L262" t="n">
        <v>0</v>
      </c>
      <c r="M262" t="n">
        <v>0</v>
      </c>
      <c r="N262" t="n">
        <v>0</v>
      </c>
      <c r="O262" t="n">
        <v>0</v>
      </c>
      <c r="P262" t="n">
        <v>0</v>
      </c>
      <c r="Q262" t="n">
        <v>0</v>
      </c>
      <c r="R262" s="2" t="inlineStr"/>
    </row>
    <row r="263" ht="15" customHeight="1">
      <c r="A263" t="inlineStr">
        <is>
          <t>A 4185-2023</t>
        </is>
      </c>
      <c r="B263" s="1" t="n">
        <v>44953</v>
      </c>
      <c r="C263" s="1" t="n">
        <v>45901</v>
      </c>
      <c r="D263" t="inlineStr">
        <is>
          <t>NORRBOTTENS LÄN</t>
        </is>
      </c>
      <c r="E263" t="inlineStr">
        <is>
          <t>GÄLLIVARE</t>
        </is>
      </c>
      <c r="G263" t="n">
        <v>2.7</v>
      </c>
      <c r="H263" t="n">
        <v>0</v>
      </c>
      <c r="I263" t="n">
        <v>0</v>
      </c>
      <c r="J263" t="n">
        <v>0</v>
      </c>
      <c r="K263" t="n">
        <v>0</v>
      </c>
      <c r="L263" t="n">
        <v>0</v>
      </c>
      <c r="M263" t="n">
        <v>0</v>
      </c>
      <c r="N263" t="n">
        <v>0</v>
      </c>
      <c r="O263" t="n">
        <v>0</v>
      </c>
      <c r="P263" t="n">
        <v>0</v>
      </c>
      <c r="Q263" t="n">
        <v>0</v>
      </c>
      <c r="R263" s="2" t="inlineStr"/>
    </row>
    <row r="264" ht="15" customHeight="1">
      <c r="A264" t="inlineStr">
        <is>
          <t>A 41713-2024</t>
        </is>
      </c>
      <c r="B264" s="1" t="n">
        <v>45560.71907407408</v>
      </c>
      <c r="C264" s="1" t="n">
        <v>45901</v>
      </c>
      <c r="D264" t="inlineStr">
        <is>
          <t>NORRBOTTENS LÄN</t>
        </is>
      </c>
      <c r="E264" t="inlineStr">
        <is>
          <t>GÄLLIVARE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18257-2025</t>
        </is>
      </c>
      <c r="B265" s="1" t="n">
        <v>45762</v>
      </c>
      <c r="C265" s="1" t="n">
        <v>45901</v>
      </c>
      <c r="D265" t="inlineStr">
        <is>
          <t>NORRBOTTENS LÄN</t>
        </is>
      </c>
      <c r="E265" t="inlineStr">
        <is>
          <t>GÄLLIVARE</t>
        </is>
      </c>
      <c r="G265" t="n">
        <v>20.8</v>
      </c>
      <c r="H265" t="n">
        <v>0</v>
      </c>
      <c r="I265" t="n">
        <v>0</v>
      </c>
      <c r="J265" t="n">
        <v>0</v>
      </c>
      <c r="K265" t="n">
        <v>0</v>
      </c>
      <c r="L265" t="n">
        <v>0</v>
      </c>
      <c r="M265" t="n">
        <v>0</v>
      </c>
      <c r="N265" t="n">
        <v>0</v>
      </c>
      <c r="O265" t="n">
        <v>0</v>
      </c>
      <c r="P265" t="n">
        <v>0</v>
      </c>
      <c r="Q265" t="n">
        <v>0</v>
      </c>
      <c r="R265" s="2" t="inlineStr"/>
    </row>
    <row r="266" ht="15" customHeight="1">
      <c r="A266" t="inlineStr">
        <is>
          <t>A 35362-2023</t>
        </is>
      </c>
      <c r="B266" s="1" t="n">
        <v>45146</v>
      </c>
      <c r="C266" s="1" t="n">
        <v>45901</v>
      </c>
      <c r="D266" t="inlineStr">
        <is>
          <t>NORRBOTTENS LÄN</t>
        </is>
      </c>
      <c r="E266" t="inlineStr">
        <is>
          <t>GÄLLIVARE</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4639-2025</t>
        </is>
      </c>
      <c r="B267" s="1" t="n">
        <v>45687.65006944445</v>
      </c>
      <c r="C267" s="1" t="n">
        <v>45901</v>
      </c>
      <c r="D267" t="inlineStr">
        <is>
          <t>NORRBOTTENS LÄN</t>
        </is>
      </c>
      <c r="E267" t="inlineStr">
        <is>
          <t>GÄLLIVARE</t>
        </is>
      </c>
      <c r="G267" t="n">
        <v>1.2</v>
      </c>
      <c r="H267" t="n">
        <v>0</v>
      </c>
      <c r="I267" t="n">
        <v>0</v>
      </c>
      <c r="J267" t="n">
        <v>0</v>
      </c>
      <c r="K267" t="n">
        <v>0</v>
      </c>
      <c r="L267" t="n">
        <v>0</v>
      </c>
      <c r="M267" t="n">
        <v>0</v>
      </c>
      <c r="N267" t="n">
        <v>0</v>
      </c>
      <c r="O267" t="n">
        <v>0</v>
      </c>
      <c r="P267" t="n">
        <v>0</v>
      </c>
      <c r="Q267" t="n">
        <v>0</v>
      </c>
      <c r="R267" s="2" t="inlineStr"/>
    </row>
    <row r="268" ht="15" customHeight="1">
      <c r="A268" t="inlineStr">
        <is>
          <t>A 53909-2024</t>
        </is>
      </c>
      <c r="B268" s="1" t="n">
        <v>45615.7202662037</v>
      </c>
      <c r="C268" s="1" t="n">
        <v>45901</v>
      </c>
      <c r="D268" t="inlineStr">
        <is>
          <t>NORRBOTTENS LÄN</t>
        </is>
      </c>
      <c r="E268" t="inlineStr">
        <is>
          <t>GÄLLIVARE</t>
        </is>
      </c>
      <c r="G268" t="n">
        <v>3.8</v>
      </c>
      <c r="H268" t="n">
        <v>0</v>
      </c>
      <c r="I268" t="n">
        <v>0</v>
      </c>
      <c r="J268" t="n">
        <v>0</v>
      </c>
      <c r="K268" t="n">
        <v>0</v>
      </c>
      <c r="L268" t="n">
        <v>0</v>
      </c>
      <c r="M268" t="n">
        <v>0</v>
      </c>
      <c r="N268" t="n">
        <v>0</v>
      </c>
      <c r="O268" t="n">
        <v>0</v>
      </c>
      <c r="P268" t="n">
        <v>0</v>
      </c>
      <c r="Q268" t="n">
        <v>0</v>
      </c>
      <c r="R268" s="2" t="inlineStr"/>
    </row>
    <row r="269" ht="15" customHeight="1">
      <c r="A269" t="inlineStr">
        <is>
          <t>A 31450-2024</t>
        </is>
      </c>
      <c r="B269" s="1" t="n">
        <v>45505</v>
      </c>
      <c r="C269" s="1" t="n">
        <v>45901</v>
      </c>
      <c r="D269" t="inlineStr">
        <is>
          <t>NORRBOTTENS LÄN</t>
        </is>
      </c>
      <c r="E269" t="inlineStr">
        <is>
          <t>GÄLLIVARE</t>
        </is>
      </c>
      <c r="G269" t="n">
        <v>5.5</v>
      </c>
      <c r="H269" t="n">
        <v>0</v>
      </c>
      <c r="I269" t="n">
        <v>0</v>
      </c>
      <c r="J269" t="n">
        <v>0</v>
      </c>
      <c r="K269" t="n">
        <v>0</v>
      </c>
      <c r="L269" t="n">
        <v>0</v>
      </c>
      <c r="M269" t="n">
        <v>0</v>
      </c>
      <c r="N269" t="n">
        <v>0</v>
      </c>
      <c r="O269" t="n">
        <v>0</v>
      </c>
      <c r="P269" t="n">
        <v>0</v>
      </c>
      <c r="Q269" t="n">
        <v>0</v>
      </c>
      <c r="R269" s="2" t="inlineStr"/>
    </row>
    <row r="270" ht="15" customHeight="1">
      <c r="A270" t="inlineStr">
        <is>
          <t>A 36326-2025</t>
        </is>
      </c>
      <c r="B270" s="1" t="n">
        <v>45868.42105324074</v>
      </c>
      <c r="C270" s="1" t="n">
        <v>45901</v>
      </c>
      <c r="D270" t="inlineStr">
        <is>
          <t>NORRBOTTENS LÄN</t>
        </is>
      </c>
      <c r="E270" t="inlineStr">
        <is>
          <t>GÄLLIVARE</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5709-2023</t>
        </is>
      </c>
      <c r="B271" s="1" t="n">
        <v>44960</v>
      </c>
      <c r="C271" s="1" t="n">
        <v>45901</v>
      </c>
      <c r="D271" t="inlineStr">
        <is>
          <t>NORRBOTTENS LÄN</t>
        </is>
      </c>
      <c r="E271" t="inlineStr">
        <is>
          <t>GÄLLIVARE</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49877-2023</t>
        </is>
      </c>
      <c r="B272" s="1" t="n">
        <v>45212.95590277778</v>
      </c>
      <c r="C272" s="1" t="n">
        <v>45901</v>
      </c>
      <c r="D272" t="inlineStr">
        <is>
          <t>NORRBOTTENS LÄN</t>
        </is>
      </c>
      <c r="E272" t="inlineStr">
        <is>
          <t>GÄLLIVARE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30253-2025</t>
        </is>
      </c>
      <c r="B273" s="1" t="n">
        <v>45827.4234375</v>
      </c>
      <c r="C273" s="1" t="n">
        <v>45901</v>
      </c>
      <c r="D273" t="inlineStr">
        <is>
          <t>NORRBOTTENS LÄN</t>
        </is>
      </c>
      <c r="E273" t="inlineStr">
        <is>
          <t>GÄLLIVARE</t>
        </is>
      </c>
      <c r="F273" t="inlineStr">
        <is>
          <t>Sveaskog</t>
        </is>
      </c>
      <c r="G273" t="n">
        <v>25.6</v>
      </c>
      <c r="H273" t="n">
        <v>0</v>
      </c>
      <c r="I273" t="n">
        <v>0</v>
      </c>
      <c r="J273" t="n">
        <v>0</v>
      </c>
      <c r="K273" t="n">
        <v>0</v>
      </c>
      <c r="L273" t="n">
        <v>0</v>
      </c>
      <c r="M273" t="n">
        <v>0</v>
      </c>
      <c r="N273" t="n">
        <v>0</v>
      </c>
      <c r="O273" t="n">
        <v>0</v>
      </c>
      <c r="P273" t="n">
        <v>0</v>
      </c>
      <c r="Q273" t="n">
        <v>0</v>
      </c>
      <c r="R273" s="2" t="inlineStr"/>
    </row>
    <row r="274" ht="15" customHeight="1">
      <c r="A274" t="inlineStr">
        <is>
          <t>A 30305-2025</t>
        </is>
      </c>
      <c r="B274" s="1" t="n">
        <v>45827.48145833334</v>
      </c>
      <c r="C274" s="1" t="n">
        <v>45901</v>
      </c>
      <c r="D274" t="inlineStr">
        <is>
          <t>NORRBOTTENS LÄN</t>
        </is>
      </c>
      <c r="E274" t="inlineStr">
        <is>
          <t>GÄLLIVARE</t>
        </is>
      </c>
      <c r="F274" t="inlineStr">
        <is>
          <t>Sveaskog</t>
        </is>
      </c>
      <c r="G274" t="n">
        <v>33.6</v>
      </c>
      <c r="H274" t="n">
        <v>0</v>
      </c>
      <c r="I274" t="n">
        <v>0</v>
      </c>
      <c r="J274" t="n">
        <v>0</v>
      </c>
      <c r="K274" t="n">
        <v>0</v>
      </c>
      <c r="L274" t="n">
        <v>0</v>
      </c>
      <c r="M274" t="n">
        <v>0</v>
      </c>
      <c r="N274" t="n">
        <v>0</v>
      </c>
      <c r="O274" t="n">
        <v>0</v>
      </c>
      <c r="P274" t="n">
        <v>0</v>
      </c>
      <c r="Q274" t="n">
        <v>0</v>
      </c>
      <c r="R274" s="2" t="inlineStr"/>
    </row>
    <row r="275" ht="15" customHeight="1">
      <c r="A275" t="inlineStr">
        <is>
          <t>A 39060-2024</t>
        </is>
      </c>
      <c r="B275" s="1" t="n">
        <v>45548</v>
      </c>
      <c r="C275" s="1" t="n">
        <v>45901</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30476-2025</t>
        </is>
      </c>
      <c r="B276" s="1" t="n">
        <v>45828</v>
      </c>
      <c r="C276" s="1" t="n">
        <v>45901</v>
      </c>
      <c r="D276" t="inlineStr">
        <is>
          <t>NORRBOTTENS LÄN</t>
        </is>
      </c>
      <c r="E276" t="inlineStr">
        <is>
          <t>GÄLLIVARE</t>
        </is>
      </c>
      <c r="G276" t="n">
        <v>8.1</v>
      </c>
      <c r="H276" t="n">
        <v>0</v>
      </c>
      <c r="I276" t="n">
        <v>0</v>
      </c>
      <c r="J276" t="n">
        <v>0</v>
      </c>
      <c r="K276" t="n">
        <v>0</v>
      </c>
      <c r="L276" t="n">
        <v>0</v>
      </c>
      <c r="M276" t="n">
        <v>0</v>
      </c>
      <c r="N276" t="n">
        <v>0</v>
      </c>
      <c r="O276" t="n">
        <v>0</v>
      </c>
      <c r="P276" t="n">
        <v>0</v>
      </c>
      <c r="Q276" t="n">
        <v>0</v>
      </c>
      <c r="R276" s="2" t="inlineStr"/>
    </row>
    <row r="277" ht="15" customHeight="1">
      <c r="A277" t="inlineStr">
        <is>
          <t>A 36555-2025</t>
        </is>
      </c>
      <c r="B277" s="1" t="n">
        <v>45870.34471064815</v>
      </c>
      <c r="C277" s="1" t="n">
        <v>45901</v>
      </c>
      <c r="D277" t="inlineStr">
        <is>
          <t>NORRBOTTENS LÄN</t>
        </is>
      </c>
      <c r="E277" t="inlineStr">
        <is>
          <t>GÄLLIVARE</t>
        </is>
      </c>
      <c r="G277" t="n">
        <v>9.4</v>
      </c>
      <c r="H277" t="n">
        <v>0</v>
      </c>
      <c r="I277" t="n">
        <v>0</v>
      </c>
      <c r="J277" t="n">
        <v>0</v>
      </c>
      <c r="K277" t="n">
        <v>0</v>
      </c>
      <c r="L277" t="n">
        <v>0</v>
      </c>
      <c r="M277" t="n">
        <v>0</v>
      </c>
      <c r="N277" t="n">
        <v>0</v>
      </c>
      <c r="O277" t="n">
        <v>0</v>
      </c>
      <c r="P277" t="n">
        <v>0</v>
      </c>
      <c r="Q277" t="n">
        <v>0</v>
      </c>
      <c r="R277" s="2" t="inlineStr"/>
    </row>
    <row r="278" ht="15" customHeight="1">
      <c r="A278" t="inlineStr">
        <is>
          <t>A 36556-2025</t>
        </is>
      </c>
      <c r="B278" s="1" t="n">
        <v>45870.34478009259</v>
      </c>
      <c r="C278" s="1" t="n">
        <v>45901</v>
      </c>
      <c r="D278" t="inlineStr">
        <is>
          <t>NORRBOTTENS LÄN</t>
        </is>
      </c>
      <c r="E278" t="inlineStr">
        <is>
          <t>GÄLLIVARE</t>
        </is>
      </c>
      <c r="G278" t="n">
        <v>7.3</v>
      </c>
      <c r="H278" t="n">
        <v>0</v>
      </c>
      <c r="I278" t="n">
        <v>0</v>
      </c>
      <c r="J278" t="n">
        <v>0</v>
      </c>
      <c r="K278" t="n">
        <v>0</v>
      </c>
      <c r="L278" t="n">
        <v>0</v>
      </c>
      <c r="M278" t="n">
        <v>0</v>
      </c>
      <c r="N278" t="n">
        <v>0</v>
      </c>
      <c r="O278" t="n">
        <v>0</v>
      </c>
      <c r="P278" t="n">
        <v>0</v>
      </c>
      <c r="Q278" t="n">
        <v>0</v>
      </c>
      <c r="R278" s="2" t="inlineStr"/>
    </row>
    <row r="279" ht="15" customHeight="1">
      <c r="A279" t="inlineStr">
        <is>
          <t>A 36624-2025</t>
        </is>
      </c>
      <c r="B279" s="1" t="n">
        <v>45870.65721064815</v>
      </c>
      <c r="C279" s="1" t="n">
        <v>45901</v>
      </c>
      <c r="D279" t="inlineStr">
        <is>
          <t>NORRBOTTENS LÄN</t>
        </is>
      </c>
      <c r="E279" t="inlineStr">
        <is>
          <t>GÄLLIVARE</t>
        </is>
      </c>
      <c r="G279" t="n">
        <v>1.4</v>
      </c>
      <c r="H279" t="n">
        <v>0</v>
      </c>
      <c r="I279" t="n">
        <v>0</v>
      </c>
      <c r="J279" t="n">
        <v>0</v>
      </c>
      <c r="K279" t="n">
        <v>0</v>
      </c>
      <c r="L279" t="n">
        <v>0</v>
      </c>
      <c r="M279" t="n">
        <v>0</v>
      </c>
      <c r="N279" t="n">
        <v>0</v>
      </c>
      <c r="O279" t="n">
        <v>0</v>
      </c>
      <c r="P279" t="n">
        <v>0</v>
      </c>
      <c r="Q279" t="n">
        <v>0</v>
      </c>
      <c r="R279" s="2" t="inlineStr"/>
    </row>
    <row r="280" ht="15" customHeight="1">
      <c r="A280" t="inlineStr">
        <is>
          <t>A 36557-2025</t>
        </is>
      </c>
      <c r="B280" s="1" t="n">
        <v>45870.34482638889</v>
      </c>
      <c r="C280" s="1" t="n">
        <v>45901</v>
      </c>
      <c r="D280" t="inlineStr">
        <is>
          <t>NORRBOTTENS LÄN</t>
        </is>
      </c>
      <c r="E280" t="inlineStr">
        <is>
          <t>GÄLLIVARE</t>
        </is>
      </c>
      <c r="G280" t="n">
        <v>2</v>
      </c>
      <c r="H280" t="n">
        <v>0</v>
      </c>
      <c r="I280" t="n">
        <v>0</v>
      </c>
      <c r="J280" t="n">
        <v>0</v>
      </c>
      <c r="K280" t="n">
        <v>0</v>
      </c>
      <c r="L280" t="n">
        <v>0</v>
      </c>
      <c r="M280" t="n">
        <v>0</v>
      </c>
      <c r="N280" t="n">
        <v>0</v>
      </c>
      <c r="O280" t="n">
        <v>0</v>
      </c>
      <c r="P280" t="n">
        <v>0</v>
      </c>
      <c r="Q280" t="n">
        <v>0</v>
      </c>
      <c r="R280" s="2" t="inlineStr"/>
    </row>
    <row r="281" ht="15" customHeight="1">
      <c r="A281" t="inlineStr">
        <is>
          <t>A 36625-2025</t>
        </is>
      </c>
      <c r="B281" s="1" t="n">
        <v>45870.65722222222</v>
      </c>
      <c r="C281" s="1" t="n">
        <v>45901</v>
      </c>
      <c r="D281" t="inlineStr">
        <is>
          <t>NORRBOTTENS LÄN</t>
        </is>
      </c>
      <c r="E281" t="inlineStr">
        <is>
          <t>GÄLLIVARE</t>
        </is>
      </c>
      <c r="G281" t="n">
        <v>1.9</v>
      </c>
      <c r="H281" t="n">
        <v>0</v>
      </c>
      <c r="I281" t="n">
        <v>0</v>
      </c>
      <c r="J281" t="n">
        <v>0</v>
      </c>
      <c r="K281" t="n">
        <v>0</v>
      </c>
      <c r="L281" t="n">
        <v>0</v>
      </c>
      <c r="M281" t="n">
        <v>0</v>
      </c>
      <c r="N281" t="n">
        <v>0</v>
      </c>
      <c r="O281" t="n">
        <v>0</v>
      </c>
      <c r="P281" t="n">
        <v>0</v>
      </c>
      <c r="Q281" t="n">
        <v>0</v>
      </c>
      <c r="R281" s="2" t="inlineStr"/>
    </row>
    <row r="282" ht="15" customHeight="1">
      <c r="A282" t="inlineStr">
        <is>
          <t>A 41873-2024</t>
        </is>
      </c>
      <c r="B282" s="1" t="n">
        <v>45561.47195601852</v>
      </c>
      <c r="C282" s="1" t="n">
        <v>45901</v>
      </c>
      <c r="D282" t="inlineStr">
        <is>
          <t>NORRBOTTENS LÄN</t>
        </is>
      </c>
      <c r="E282" t="inlineStr">
        <is>
          <t>GÄLLIVARE</t>
        </is>
      </c>
      <c r="G282" t="n">
        <v>2.1</v>
      </c>
      <c r="H282" t="n">
        <v>0</v>
      </c>
      <c r="I282" t="n">
        <v>0</v>
      </c>
      <c r="J282" t="n">
        <v>0</v>
      </c>
      <c r="K282" t="n">
        <v>0</v>
      </c>
      <c r="L282" t="n">
        <v>0</v>
      </c>
      <c r="M282" t="n">
        <v>0</v>
      </c>
      <c r="N282" t="n">
        <v>0</v>
      </c>
      <c r="O282" t="n">
        <v>0</v>
      </c>
      <c r="P282" t="n">
        <v>0</v>
      </c>
      <c r="Q282" t="n">
        <v>0</v>
      </c>
      <c r="R282" s="2" t="inlineStr"/>
    </row>
    <row r="283" ht="15" customHeight="1">
      <c r="A283" t="inlineStr">
        <is>
          <t>A 41917-2024</t>
        </is>
      </c>
      <c r="B283" s="1" t="n">
        <v>45561.55268518518</v>
      </c>
      <c r="C283" s="1" t="n">
        <v>45901</v>
      </c>
      <c r="D283" t="inlineStr">
        <is>
          <t>NORRBOTTENS LÄN</t>
        </is>
      </c>
      <c r="E283" t="inlineStr">
        <is>
          <t>GÄLLIVARE</t>
        </is>
      </c>
      <c r="G283" t="n">
        <v>2.4</v>
      </c>
      <c r="H283" t="n">
        <v>0</v>
      </c>
      <c r="I283" t="n">
        <v>0</v>
      </c>
      <c r="J283" t="n">
        <v>0</v>
      </c>
      <c r="K283" t="n">
        <v>0</v>
      </c>
      <c r="L283" t="n">
        <v>0</v>
      </c>
      <c r="M283" t="n">
        <v>0</v>
      </c>
      <c r="N283" t="n">
        <v>0</v>
      </c>
      <c r="O283" t="n">
        <v>0</v>
      </c>
      <c r="P283" t="n">
        <v>0</v>
      </c>
      <c r="Q283" t="n">
        <v>0</v>
      </c>
      <c r="R283" s="2" t="inlineStr"/>
    </row>
    <row r="284" ht="15" customHeight="1">
      <c r="A284" t="inlineStr">
        <is>
          <t>A 36476-2025</t>
        </is>
      </c>
      <c r="B284" s="1" t="n">
        <v>45869.48997685185</v>
      </c>
      <c r="C284" s="1" t="n">
        <v>45901</v>
      </c>
      <c r="D284" t="inlineStr">
        <is>
          <t>NORRBOTTENS LÄN</t>
        </is>
      </c>
      <c r="E284" t="inlineStr">
        <is>
          <t>GÄLLIVARE</t>
        </is>
      </c>
      <c r="F284" t="inlineStr">
        <is>
          <t>SCA</t>
        </is>
      </c>
      <c r="G284" t="n">
        <v>16.5</v>
      </c>
      <c r="H284" t="n">
        <v>0</v>
      </c>
      <c r="I284" t="n">
        <v>0</v>
      </c>
      <c r="J284" t="n">
        <v>0</v>
      </c>
      <c r="K284" t="n">
        <v>0</v>
      </c>
      <c r="L284" t="n">
        <v>0</v>
      </c>
      <c r="M284" t="n">
        <v>0</v>
      </c>
      <c r="N284" t="n">
        <v>0</v>
      </c>
      <c r="O284" t="n">
        <v>0</v>
      </c>
      <c r="P284" t="n">
        <v>0</v>
      </c>
      <c r="Q284" t="n">
        <v>0</v>
      </c>
      <c r="R284" s="2" t="inlineStr"/>
    </row>
    <row r="285" ht="15" customHeight="1">
      <c r="A285" t="inlineStr">
        <is>
          <t>A 36320-2025</t>
        </is>
      </c>
      <c r="B285" s="1" t="n">
        <v>45868</v>
      </c>
      <c r="C285" s="1" t="n">
        <v>45901</v>
      </c>
      <c r="D285" t="inlineStr">
        <is>
          <t>NORRBOTTENS LÄN</t>
        </is>
      </c>
      <c r="E285" t="inlineStr">
        <is>
          <t>GÄLLIVARE</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29728-2021</t>
        </is>
      </c>
      <c r="B286" s="1" t="n">
        <v>44362</v>
      </c>
      <c r="C286" s="1" t="n">
        <v>45901</v>
      </c>
      <c r="D286" t="inlineStr">
        <is>
          <t>NORRBOTTENS LÄN</t>
        </is>
      </c>
      <c r="E286" t="inlineStr">
        <is>
          <t>GÄLLIVARE</t>
        </is>
      </c>
      <c r="F286" t="inlineStr">
        <is>
          <t>Övriga statliga verk och myndigheter</t>
        </is>
      </c>
      <c r="G286" t="n">
        <v>21.2</v>
      </c>
      <c r="H286" t="n">
        <v>0</v>
      </c>
      <c r="I286" t="n">
        <v>0</v>
      </c>
      <c r="J286" t="n">
        <v>0</v>
      </c>
      <c r="K286" t="n">
        <v>0</v>
      </c>
      <c r="L286" t="n">
        <v>0</v>
      </c>
      <c r="M286" t="n">
        <v>0</v>
      </c>
      <c r="N286" t="n">
        <v>0</v>
      </c>
      <c r="O286" t="n">
        <v>0</v>
      </c>
      <c r="P286" t="n">
        <v>0</v>
      </c>
      <c r="Q286" t="n">
        <v>0</v>
      </c>
      <c r="R286" s="2" t="inlineStr"/>
    </row>
    <row r="287" ht="15" customHeight="1">
      <c r="A287" t="inlineStr">
        <is>
          <t>A 55034-2023</t>
        </is>
      </c>
      <c r="B287" s="1" t="n">
        <v>45237</v>
      </c>
      <c r="C287" s="1" t="n">
        <v>45901</v>
      </c>
      <c r="D287" t="inlineStr">
        <is>
          <t>NORRBOTTENS LÄN</t>
        </is>
      </c>
      <c r="E287" t="inlineStr">
        <is>
          <t>GÄLLIVARE</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36560-2025</t>
        </is>
      </c>
      <c r="B288" s="1" t="n">
        <v>45870.36483796296</v>
      </c>
      <c r="C288" s="1" t="n">
        <v>45901</v>
      </c>
      <c r="D288" t="inlineStr">
        <is>
          <t>NORRBOTTENS LÄN</t>
        </is>
      </c>
      <c r="E288" t="inlineStr">
        <is>
          <t>GÄLLIVARE</t>
        </is>
      </c>
      <c r="G288" t="n">
        <v>6.9</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45901</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36904-2025</t>
        </is>
      </c>
      <c r="B290" s="1" t="n">
        <v>45874.49055555555</v>
      </c>
      <c r="C290" s="1" t="n">
        <v>45901</v>
      </c>
      <c r="D290" t="inlineStr">
        <is>
          <t>NORRBOTTENS LÄN</t>
        </is>
      </c>
      <c r="E290" t="inlineStr">
        <is>
          <t>GÄLLIVARE</t>
        </is>
      </c>
      <c r="F290" t="inlineStr">
        <is>
          <t>Sveaskog</t>
        </is>
      </c>
      <c r="G290" t="n">
        <v>45.8</v>
      </c>
      <c r="H290" t="n">
        <v>0</v>
      </c>
      <c r="I290" t="n">
        <v>0</v>
      </c>
      <c r="J290" t="n">
        <v>0</v>
      </c>
      <c r="K290" t="n">
        <v>0</v>
      </c>
      <c r="L290" t="n">
        <v>0</v>
      </c>
      <c r="M290" t="n">
        <v>0</v>
      </c>
      <c r="N290" t="n">
        <v>0</v>
      </c>
      <c r="O290" t="n">
        <v>0</v>
      </c>
      <c r="P290" t="n">
        <v>0</v>
      </c>
      <c r="Q290" t="n">
        <v>0</v>
      </c>
      <c r="R290" s="2" t="inlineStr"/>
    </row>
    <row r="291" ht="15" customHeight="1">
      <c r="A291" t="inlineStr">
        <is>
          <t>A 39756-2024</t>
        </is>
      </c>
      <c r="B291" s="1" t="n">
        <v>45552</v>
      </c>
      <c r="C291" s="1" t="n">
        <v>45901</v>
      </c>
      <c r="D291" t="inlineStr">
        <is>
          <t>NORRBOTTENS LÄN</t>
        </is>
      </c>
      <c r="E291" t="inlineStr">
        <is>
          <t>GÄLLIVARE</t>
        </is>
      </c>
      <c r="F291" t="inlineStr">
        <is>
          <t>Allmännings- och besparingsskogar</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35949-2025</t>
        </is>
      </c>
      <c r="B292" s="1" t="n">
        <v>45862</v>
      </c>
      <c r="C292" s="1" t="n">
        <v>45901</v>
      </c>
      <c r="D292" t="inlineStr">
        <is>
          <t>NORRBOTTENS LÄN</t>
        </is>
      </c>
      <c r="E292" t="inlineStr">
        <is>
          <t>GÄLLIVARE</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31097-2025</t>
        </is>
      </c>
      <c r="B293" s="1" t="n">
        <v>45832.59638888889</v>
      </c>
      <c r="C293" s="1" t="n">
        <v>45901</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36245-2023</t>
        </is>
      </c>
      <c r="B294" s="1" t="n">
        <v>45150</v>
      </c>
      <c r="C294" s="1" t="n">
        <v>45901</v>
      </c>
      <c r="D294" t="inlineStr">
        <is>
          <t>NORRBOTTENS LÄN</t>
        </is>
      </c>
      <c r="E294" t="inlineStr">
        <is>
          <t>GÄLLIVARE</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36908-2025</t>
        </is>
      </c>
      <c r="B295" s="1" t="n">
        <v>45874.49350694445</v>
      </c>
      <c r="C295" s="1" t="n">
        <v>45901</v>
      </c>
      <c r="D295" t="inlineStr">
        <is>
          <t>NORRBOTTENS LÄN</t>
        </is>
      </c>
      <c r="E295" t="inlineStr">
        <is>
          <t>GÄLLIVARE</t>
        </is>
      </c>
      <c r="F295" t="inlineStr">
        <is>
          <t>Sveaskog</t>
        </is>
      </c>
      <c r="G295" t="n">
        <v>19.2</v>
      </c>
      <c r="H295" t="n">
        <v>0</v>
      </c>
      <c r="I295" t="n">
        <v>0</v>
      </c>
      <c r="J295" t="n">
        <v>0</v>
      </c>
      <c r="K295" t="n">
        <v>0</v>
      </c>
      <c r="L295" t="n">
        <v>0</v>
      </c>
      <c r="M295" t="n">
        <v>0</v>
      </c>
      <c r="N295" t="n">
        <v>0</v>
      </c>
      <c r="O295" t="n">
        <v>0</v>
      </c>
      <c r="P295" t="n">
        <v>0</v>
      </c>
      <c r="Q295" t="n">
        <v>0</v>
      </c>
      <c r="R295" s="2" t="inlineStr"/>
    </row>
    <row r="296" ht="15" customHeight="1">
      <c r="A296" t="inlineStr">
        <is>
          <t>A 50095-2024</t>
        </is>
      </c>
      <c r="B296" s="1" t="n">
        <v>45600</v>
      </c>
      <c r="C296" s="1" t="n">
        <v>45901</v>
      </c>
      <c r="D296" t="inlineStr">
        <is>
          <t>NORRBOTTENS LÄN</t>
        </is>
      </c>
      <c r="E296" t="inlineStr">
        <is>
          <t>GÄLLIVARE</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36924-2025</t>
        </is>
      </c>
      <c r="B297" s="1" t="n">
        <v>45874.54712962963</v>
      </c>
      <c r="C297" s="1" t="n">
        <v>45901</v>
      </c>
      <c r="D297" t="inlineStr">
        <is>
          <t>NORRBOTTENS LÄN</t>
        </is>
      </c>
      <c r="E297" t="inlineStr">
        <is>
          <t>GÄLLIVARE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36552-2025</t>
        </is>
      </c>
      <c r="B298" s="1" t="n">
        <v>45870.34417824074</v>
      </c>
      <c r="C298" s="1" t="n">
        <v>45901</v>
      </c>
      <c r="D298" t="inlineStr">
        <is>
          <t>NORRBOTTENS LÄN</t>
        </is>
      </c>
      <c r="E298" t="inlineStr">
        <is>
          <t>GÄLLIVARE</t>
        </is>
      </c>
      <c r="F298" t="inlineStr">
        <is>
          <t>SCA</t>
        </is>
      </c>
      <c r="G298" t="n">
        <v>9.4</v>
      </c>
      <c r="H298" t="n">
        <v>0</v>
      </c>
      <c r="I298" t="n">
        <v>0</v>
      </c>
      <c r="J298" t="n">
        <v>0</v>
      </c>
      <c r="K298" t="n">
        <v>0</v>
      </c>
      <c r="L298" t="n">
        <v>0</v>
      </c>
      <c r="M298" t="n">
        <v>0</v>
      </c>
      <c r="N298" t="n">
        <v>0</v>
      </c>
      <c r="O298" t="n">
        <v>0</v>
      </c>
      <c r="P298" t="n">
        <v>0</v>
      </c>
      <c r="Q298" t="n">
        <v>0</v>
      </c>
      <c r="R298" s="2" t="inlineStr"/>
    </row>
    <row r="299" ht="15" customHeight="1">
      <c r="A299" t="inlineStr">
        <is>
          <t>A 27050-2022</t>
        </is>
      </c>
      <c r="B299" s="1" t="n">
        <v>44741</v>
      </c>
      <c r="C299" s="1" t="n">
        <v>45901</v>
      </c>
      <c r="D299" t="inlineStr">
        <is>
          <t>NORRBOTTENS LÄN</t>
        </is>
      </c>
      <c r="E299" t="inlineStr">
        <is>
          <t>GÄLLIVARE</t>
        </is>
      </c>
      <c r="F299" t="inlineStr">
        <is>
          <t>Övriga Aktiebolag</t>
        </is>
      </c>
      <c r="G299" t="n">
        <v>2.8</v>
      </c>
      <c r="H299" t="n">
        <v>0</v>
      </c>
      <c r="I299" t="n">
        <v>0</v>
      </c>
      <c r="J299" t="n">
        <v>0</v>
      </c>
      <c r="K299" t="n">
        <v>0</v>
      </c>
      <c r="L299" t="n">
        <v>0</v>
      </c>
      <c r="M299" t="n">
        <v>0</v>
      </c>
      <c r="N299" t="n">
        <v>0</v>
      </c>
      <c r="O299" t="n">
        <v>0</v>
      </c>
      <c r="P299" t="n">
        <v>0</v>
      </c>
      <c r="Q299" t="n">
        <v>0</v>
      </c>
      <c r="R299" s="2" t="inlineStr"/>
    </row>
    <row r="300" ht="15" customHeight="1">
      <c r="A300" t="inlineStr">
        <is>
          <t>A 31652-2025</t>
        </is>
      </c>
      <c r="B300" s="1" t="n">
        <v>45834</v>
      </c>
      <c r="C300" s="1" t="n">
        <v>45901</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64262-2023</t>
        </is>
      </c>
      <c r="B301" s="1" t="n">
        <v>45279</v>
      </c>
      <c r="C301" s="1" t="n">
        <v>45901</v>
      </c>
      <c r="D301" t="inlineStr">
        <is>
          <t>NORRBOTTENS LÄN</t>
        </is>
      </c>
      <c r="E301" t="inlineStr">
        <is>
          <t>GÄLLIVARE</t>
        </is>
      </c>
      <c r="G301" t="n">
        <v>3.5</v>
      </c>
      <c r="H301" t="n">
        <v>0</v>
      </c>
      <c r="I301" t="n">
        <v>0</v>
      </c>
      <c r="J301" t="n">
        <v>0</v>
      </c>
      <c r="K301" t="n">
        <v>0</v>
      </c>
      <c r="L301" t="n">
        <v>0</v>
      </c>
      <c r="M301" t="n">
        <v>0</v>
      </c>
      <c r="N301" t="n">
        <v>0</v>
      </c>
      <c r="O301" t="n">
        <v>0</v>
      </c>
      <c r="P301" t="n">
        <v>0</v>
      </c>
      <c r="Q301" t="n">
        <v>0</v>
      </c>
      <c r="R301" s="2" t="inlineStr"/>
    </row>
    <row r="302" ht="15" customHeight="1">
      <c r="A302" t="inlineStr">
        <is>
          <t>A 45026-2023</t>
        </is>
      </c>
      <c r="B302" s="1" t="n">
        <v>45190.96262731482</v>
      </c>
      <c r="C302" s="1" t="n">
        <v>45901</v>
      </c>
      <c r="D302" t="inlineStr">
        <is>
          <t>NORRBOTTENS LÄN</t>
        </is>
      </c>
      <c r="E302" t="inlineStr">
        <is>
          <t>GÄLLIVARE</t>
        </is>
      </c>
      <c r="F302" t="inlineStr">
        <is>
          <t>SCA</t>
        </is>
      </c>
      <c r="G302" t="n">
        <v>12.6</v>
      </c>
      <c r="H302" t="n">
        <v>0</v>
      </c>
      <c r="I302" t="n">
        <v>0</v>
      </c>
      <c r="J302" t="n">
        <v>0</v>
      </c>
      <c r="K302" t="n">
        <v>0</v>
      </c>
      <c r="L302" t="n">
        <v>0</v>
      </c>
      <c r="M302" t="n">
        <v>0</v>
      </c>
      <c r="N302" t="n">
        <v>0</v>
      </c>
      <c r="O302" t="n">
        <v>0</v>
      </c>
      <c r="P302" t="n">
        <v>0</v>
      </c>
      <c r="Q302" t="n">
        <v>0</v>
      </c>
      <c r="R302" s="2" t="inlineStr"/>
    </row>
    <row r="303" ht="15" customHeight="1">
      <c r="A303" t="inlineStr">
        <is>
          <t>A 36881-2023</t>
        </is>
      </c>
      <c r="B303" s="1" t="n">
        <v>45154</v>
      </c>
      <c r="C303" s="1" t="n">
        <v>45901</v>
      </c>
      <c r="D303" t="inlineStr">
        <is>
          <t>NORRBOTTENS LÄN</t>
        </is>
      </c>
      <c r="E303" t="inlineStr">
        <is>
          <t>GÄLLIVARE</t>
        </is>
      </c>
      <c r="G303" t="n">
        <v>3.8</v>
      </c>
      <c r="H303" t="n">
        <v>0</v>
      </c>
      <c r="I303" t="n">
        <v>0</v>
      </c>
      <c r="J303" t="n">
        <v>0</v>
      </c>
      <c r="K303" t="n">
        <v>0</v>
      </c>
      <c r="L303" t="n">
        <v>0</v>
      </c>
      <c r="M303" t="n">
        <v>0</v>
      </c>
      <c r="N303" t="n">
        <v>0</v>
      </c>
      <c r="O303" t="n">
        <v>0</v>
      </c>
      <c r="P303" t="n">
        <v>0</v>
      </c>
      <c r="Q303" t="n">
        <v>0</v>
      </c>
      <c r="R303" s="2" t="inlineStr"/>
    </row>
    <row r="304" ht="15" customHeight="1">
      <c r="A304" t="inlineStr">
        <is>
          <t>A 30781-2023</t>
        </is>
      </c>
      <c r="B304" s="1" t="n">
        <v>45112</v>
      </c>
      <c r="C304" s="1" t="n">
        <v>45901</v>
      </c>
      <c r="D304" t="inlineStr">
        <is>
          <t>NORRBOTTENS LÄN</t>
        </is>
      </c>
      <c r="E304" t="inlineStr">
        <is>
          <t>GÄLLIVARE</t>
        </is>
      </c>
      <c r="G304" t="n">
        <v>1.1</v>
      </c>
      <c r="H304" t="n">
        <v>0</v>
      </c>
      <c r="I304" t="n">
        <v>0</v>
      </c>
      <c r="J304" t="n">
        <v>0</v>
      </c>
      <c r="K304" t="n">
        <v>0</v>
      </c>
      <c r="L304" t="n">
        <v>0</v>
      </c>
      <c r="M304" t="n">
        <v>0</v>
      </c>
      <c r="N304" t="n">
        <v>0</v>
      </c>
      <c r="O304" t="n">
        <v>0</v>
      </c>
      <c r="P304" t="n">
        <v>0</v>
      </c>
      <c r="Q304" t="n">
        <v>0</v>
      </c>
      <c r="R304" s="2" t="inlineStr"/>
    </row>
    <row r="305" ht="15" customHeight="1">
      <c r="A305" t="inlineStr">
        <is>
          <t>A 27182-2025</t>
        </is>
      </c>
      <c r="B305" s="1" t="n">
        <v>45812.35888888889</v>
      </c>
      <c r="C305" s="1" t="n">
        <v>45901</v>
      </c>
      <c r="D305" t="inlineStr">
        <is>
          <t>NORRBOTTENS LÄN</t>
        </is>
      </c>
      <c r="E305" t="inlineStr">
        <is>
          <t>GÄLLIVARE</t>
        </is>
      </c>
      <c r="F305" t="inlineStr">
        <is>
          <t>Sveaskog</t>
        </is>
      </c>
      <c r="G305" t="n">
        <v>11.2</v>
      </c>
      <c r="H305" t="n">
        <v>0</v>
      </c>
      <c r="I305" t="n">
        <v>0</v>
      </c>
      <c r="J305" t="n">
        <v>0</v>
      </c>
      <c r="K305" t="n">
        <v>0</v>
      </c>
      <c r="L305" t="n">
        <v>0</v>
      </c>
      <c r="M305" t="n">
        <v>0</v>
      </c>
      <c r="N305" t="n">
        <v>0</v>
      </c>
      <c r="O305" t="n">
        <v>0</v>
      </c>
      <c r="P305" t="n">
        <v>0</v>
      </c>
      <c r="Q305" t="n">
        <v>0</v>
      </c>
      <c r="R305" s="2" t="inlineStr"/>
    </row>
    <row r="306" ht="15" customHeight="1">
      <c r="A306" t="inlineStr">
        <is>
          <t>A 55584-2023</t>
        </is>
      </c>
      <c r="B306" s="1" t="n">
        <v>45238</v>
      </c>
      <c r="C306" s="1" t="n">
        <v>45901</v>
      </c>
      <c r="D306" t="inlineStr">
        <is>
          <t>NORRBOTTENS LÄN</t>
        </is>
      </c>
      <c r="E306" t="inlineStr">
        <is>
          <t>GÄLLIVARE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24564-2022</t>
        </is>
      </c>
      <c r="B307" s="1" t="n">
        <v>44726</v>
      </c>
      <c r="C307" s="1" t="n">
        <v>45901</v>
      </c>
      <c r="D307" t="inlineStr">
        <is>
          <t>NORRBOTTENS LÄN</t>
        </is>
      </c>
      <c r="E307" t="inlineStr">
        <is>
          <t>GÄLLIVARE</t>
        </is>
      </c>
      <c r="G307" t="n">
        <v>12.9</v>
      </c>
      <c r="H307" t="n">
        <v>0</v>
      </c>
      <c r="I307" t="n">
        <v>0</v>
      </c>
      <c r="J307" t="n">
        <v>0</v>
      </c>
      <c r="K307" t="n">
        <v>0</v>
      </c>
      <c r="L307" t="n">
        <v>0</v>
      </c>
      <c r="M307" t="n">
        <v>0</v>
      </c>
      <c r="N307" t="n">
        <v>0</v>
      </c>
      <c r="O307" t="n">
        <v>0</v>
      </c>
      <c r="P307" t="n">
        <v>0</v>
      </c>
      <c r="Q307" t="n">
        <v>0</v>
      </c>
      <c r="R307" s="2" t="inlineStr"/>
    </row>
    <row r="308" ht="15" customHeight="1">
      <c r="A308" t="inlineStr">
        <is>
          <t>A 25467-2024</t>
        </is>
      </c>
      <c r="B308" s="1" t="n">
        <v>45463</v>
      </c>
      <c r="C308" s="1" t="n">
        <v>45901</v>
      </c>
      <c r="D308" t="inlineStr">
        <is>
          <t>NORRBOTTENS LÄN</t>
        </is>
      </c>
      <c r="E308" t="inlineStr">
        <is>
          <t>GÄLLIVARE</t>
        </is>
      </c>
      <c r="G308" t="n">
        <v>3</v>
      </c>
      <c r="H308" t="n">
        <v>0</v>
      </c>
      <c r="I308" t="n">
        <v>0</v>
      </c>
      <c r="J308" t="n">
        <v>0</v>
      </c>
      <c r="K308" t="n">
        <v>0</v>
      </c>
      <c r="L308" t="n">
        <v>0</v>
      </c>
      <c r="M308" t="n">
        <v>0</v>
      </c>
      <c r="N308" t="n">
        <v>0</v>
      </c>
      <c r="O308" t="n">
        <v>0</v>
      </c>
      <c r="P308" t="n">
        <v>0</v>
      </c>
      <c r="Q308" t="n">
        <v>0</v>
      </c>
      <c r="R308" s="2" t="inlineStr"/>
    </row>
    <row r="309" ht="15" customHeight="1">
      <c r="A309" t="inlineStr">
        <is>
          <t>A 31647-2025</t>
        </is>
      </c>
      <c r="B309" s="1" t="n">
        <v>45834.34582175926</v>
      </c>
      <c r="C309" s="1" t="n">
        <v>45901</v>
      </c>
      <c r="D309" t="inlineStr">
        <is>
          <t>NORRBOTTENS LÄN</t>
        </is>
      </c>
      <c r="E309" t="inlineStr">
        <is>
          <t>GÄLLIVARE</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47239-2023</t>
        </is>
      </c>
      <c r="B310" s="1" t="n">
        <v>45196</v>
      </c>
      <c r="C310" s="1" t="n">
        <v>45901</v>
      </c>
      <c r="D310" t="inlineStr">
        <is>
          <t>NORRBOTTENS LÄN</t>
        </is>
      </c>
      <c r="E310" t="inlineStr">
        <is>
          <t>GÄLLIVARE</t>
        </is>
      </c>
      <c r="F310" t="inlineStr">
        <is>
          <t>Övriga statliga verk och myndigheter</t>
        </is>
      </c>
      <c r="G310" t="n">
        <v>28.1</v>
      </c>
      <c r="H310" t="n">
        <v>0</v>
      </c>
      <c r="I310" t="n">
        <v>0</v>
      </c>
      <c r="J310" t="n">
        <v>0</v>
      </c>
      <c r="K310" t="n">
        <v>0</v>
      </c>
      <c r="L310" t="n">
        <v>0</v>
      </c>
      <c r="M310" t="n">
        <v>0</v>
      </c>
      <c r="N310" t="n">
        <v>0</v>
      </c>
      <c r="O310" t="n">
        <v>0</v>
      </c>
      <c r="P310" t="n">
        <v>0</v>
      </c>
      <c r="Q310" t="n">
        <v>0</v>
      </c>
      <c r="R310" s="2" t="inlineStr"/>
    </row>
    <row r="311" ht="15" customHeight="1">
      <c r="A311" t="inlineStr">
        <is>
          <t>A 48760-2023</t>
        </is>
      </c>
      <c r="B311" s="1" t="n">
        <v>45208.92326388889</v>
      </c>
      <c r="C311" s="1" t="n">
        <v>45901</v>
      </c>
      <c r="D311" t="inlineStr">
        <is>
          <t>NORRBOTTENS LÄN</t>
        </is>
      </c>
      <c r="E311" t="inlineStr">
        <is>
          <t>GÄLLIVARE</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36321-2025</t>
        </is>
      </c>
      <c r="B312" s="1" t="n">
        <v>45868</v>
      </c>
      <c r="C312" s="1" t="n">
        <v>45901</v>
      </c>
      <c r="D312" t="inlineStr">
        <is>
          <t>NORRBOTTENS LÄN</t>
        </is>
      </c>
      <c r="E312" t="inlineStr">
        <is>
          <t>GÄLLIVARE</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31541-2025</t>
        </is>
      </c>
      <c r="B313" s="1" t="n">
        <v>45833</v>
      </c>
      <c r="C313" s="1" t="n">
        <v>45901</v>
      </c>
      <c r="D313" t="inlineStr">
        <is>
          <t>NORRBOTTENS LÄN</t>
        </is>
      </c>
      <c r="E313" t="inlineStr">
        <is>
          <t>GÄLLIVARE</t>
        </is>
      </c>
      <c r="F313" t="inlineStr">
        <is>
          <t>Allmännings- och besparingsskogar</t>
        </is>
      </c>
      <c r="G313" t="n">
        <v>2.2</v>
      </c>
      <c r="H313" t="n">
        <v>0</v>
      </c>
      <c r="I313" t="n">
        <v>0</v>
      </c>
      <c r="J313" t="n">
        <v>0</v>
      </c>
      <c r="K313" t="n">
        <v>0</v>
      </c>
      <c r="L313" t="n">
        <v>0</v>
      </c>
      <c r="M313" t="n">
        <v>0</v>
      </c>
      <c r="N313" t="n">
        <v>0</v>
      </c>
      <c r="O313" t="n">
        <v>0</v>
      </c>
      <c r="P313" t="n">
        <v>0</v>
      </c>
      <c r="Q313" t="n">
        <v>0</v>
      </c>
      <c r="R313" s="2" t="inlineStr"/>
    </row>
    <row r="314" ht="15" customHeight="1">
      <c r="A314" t="inlineStr">
        <is>
          <t>A 36332-2025</t>
        </is>
      </c>
      <c r="B314" s="1" t="n">
        <v>45868</v>
      </c>
      <c r="C314" s="1" t="n">
        <v>45901</v>
      </c>
      <c r="D314" t="inlineStr">
        <is>
          <t>NORRBOTTENS LÄN</t>
        </is>
      </c>
      <c r="E314" t="inlineStr">
        <is>
          <t>GÄLLIVARE</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31639-2025</t>
        </is>
      </c>
      <c r="B315" s="1" t="n">
        <v>45834.34429398148</v>
      </c>
      <c r="C315" s="1" t="n">
        <v>45901</v>
      </c>
      <c r="D315" t="inlineStr">
        <is>
          <t>NORRBOTTENS LÄN</t>
        </is>
      </c>
      <c r="E315" t="inlineStr">
        <is>
          <t>GÄLLIVARE</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31643-2025</t>
        </is>
      </c>
      <c r="B316" s="1" t="n">
        <v>45834.34496527778</v>
      </c>
      <c r="C316" s="1" t="n">
        <v>45901</v>
      </c>
      <c r="D316" t="inlineStr">
        <is>
          <t>NORRBOTTENS LÄN</t>
        </is>
      </c>
      <c r="E316" t="inlineStr">
        <is>
          <t>GÄLLIVARE</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31644-2025</t>
        </is>
      </c>
      <c r="B317" s="1" t="n">
        <v>45834.34519675926</v>
      </c>
      <c r="C317" s="1" t="n">
        <v>45901</v>
      </c>
      <c r="D317" t="inlineStr">
        <is>
          <t>NORRBOTTENS LÄN</t>
        </is>
      </c>
      <c r="E317" t="inlineStr">
        <is>
          <t>GÄLLIVARE</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45901</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31650-2025</t>
        </is>
      </c>
      <c r="B319" s="1" t="n">
        <v>45834.3466087963</v>
      </c>
      <c r="C319" s="1" t="n">
        <v>45901</v>
      </c>
      <c r="D319" t="inlineStr">
        <is>
          <t>NORRBOTTENS LÄN</t>
        </is>
      </c>
      <c r="E319" t="inlineStr">
        <is>
          <t>GÄLLIVARE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31653-2025</t>
        </is>
      </c>
      <c r="B320" s="1" t="n">
        <v>45834.34711805556</v>
      </c>
      <c r="C320" s="1" t="n">
        <v>45901</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31430-2025</t>
        </is>
      </c>
      <c r="B321" s="1" t="n">
        <v>45833.49342592592</v>
      </c>
      <c r="C321" s="1" t="n">
        <v>45901</v>
      </c>
      <c r="D321" t="inlineStr">
        <is>
          <t>NORRBOTTENS LÄN</t>
        </is>
      </c>
      <c r="E321" t="inlineStr">
        <is>
          <t>GÄLLIVARE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31436-2025</t>
        </is>
      </c>
      <c r="B322" s="1" t="n">
        <v>45833.49737268518</v>
      </c>
      <c r="C322" s="1" t="n">
        <v>45901</v>
      </c>
      <c r="D322" t="inlineStr">
        <is>
          <t>NORRBOTTENS LÄN</t>
        </is>
      </c>
      <c r="E322" t="inlineStr">
        <is>
          <t>GÄLLIVARE</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31553-2025</t>
        </is>
      </c>
      <c r="B323" s="1" t="n">
        <v>45833</v>
      </c>
      <c r="C323" s="1" t="n">
        <v>45901</v>
      </c>
      <c r="D323" t="inlineStr">
        <is>
          <t>NORRBOTTENS LÄN</t>
        </is>
      </c>
      <c r="E323" t="inlineStr">
        <is>
          <t>GÄLLIVARE</t>
        </is>
      </c>
      <c r="F323" t="inlineStr">
        <is>
          <t>Allmännings- och besparingsskogar</t>
        </is>
      </c>
      <c r="G323" t="n">
        <v>40.8</v>
      </c>
      <c r="H323" t="n">
        <v>0</v>
      </c>
      <c r="I323" t="n">
        <v>0</v>
      </c>
      <c r="J323" t="n">
        <v>0</v>
      </c>
      <c r="K323" t="n">
        <v>0</v>
      </c>
      <c r="L323" t="n">
        <v>0</v>
      </c>
      <c r="M323" t="n">
        <v>0</v>
      </c>
      <c r="N323" t="n">
        <v>0</v>
      </c>
      <c r="O323" t="n">
        <v>0</v>
      </c>
      <c r="P323" t="n">
        <v>0</v>
      </c>
      <c r="Q323" t="n">
        <v>0</v>
      </c>
      <c r="R323" s="2" t="inlineStr"/>
    </row>
    <row r="324" ht="15" customHeight="1">
      <c r="A324" t="inlineStr">
        <is>
          <t>A 36346-2025</t>
        </is>
      </c>
      <c r="B324" s="1" t="n">
        <v>45868.47645833333</v>
      </c>
      <c r="C324" s="1" t="n">
        <v>45901</v>
      </c>
      <c r="D324" t="inlineStr">
        <is>
          <t>NORRBOTTENS LÄN</t>
        </is>
      </c>
      <c r="E324" t="inlineStr">
        <is>
          <t>GÄLLIVARE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55755-2024</t>
        </is>
      </c>
      <c r="B325" s="1" t="n">
        <v>45623</v>
      </c>
      <c r="C325" s="1" t="n">
        <v>45901</v>
      </c>
      <c r="D325" t="inlineStr">
        <is>
          <t>NORRBOTTENS LÄN</t>
        </is>
      </c>
      <c r="E325" t="inlineStr">
        <is>
          <t>GÄLLIVARE</t>
        </is>
      </c>
      <c r="G325" t="n">
        <v>7.6</v>
      </c>
      <c r="H325" t="n">
        <v>0</v>
      </c>
      <c r="I325" t="n">
        <v>0</v>
      </c>
      <c r="J325" t="n">
        <v>0</v>
      </c>
      <c r="K325" t="n">
        <v>0</v>
      </c>
      <c r="L325" t="n">
        <v>0</v>
      </c>
      <c r="M325" t="n">
        <v>0</v>
      </c>
      <c r="N325" t="n">
        <v>0</v>
      </c>
      <c r="O325" t="n">
        <v>0</v>
      </c>
      <c r="P325" t="n">
        <v>0</v>
      </c>
      <c r="Q325" t="n">
        <v>0</v>
      </c>
      <c r="R325" s="2" t="inlineStr"/>
    </row>
    <row r="326" ht="15" customHeight="1">
      <c r="A326" t="inlineStr">
        <is>
          <t>A 36244-2023</t>
        </is>
      </c>
      <c r="B326" s="1" t="n">
        <v>45150</v>
      </c>
      <c r="C326" s="1" t="n">
        <v>45901</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36344-2025</t>
        </is>
      </c>
      <c r="B327" s="1" t="n">
        <v>45868.47358796297</v>
      </c>
      <c r="C327" s="1" t="n">
        <v>45901</v>
      </c>
      <c r="D327" t="inlineStr">
        <is>
          <t>NORRBOTTENS LÄN</t>
        </is>
      </c>
      <c r="E327" t="inlineStr">
        <is>
          <t>GÄLLIVARE</t>
        </is>
      </c>
      <c r="F327" t="inlineStr">
        <is>
          <t>Sveaskog</t>
        </is>
      </c>
      <c r="G327" t="n">
        <v>21.2</v>
      </c>
      <c r="H327" t="n">
        <v>0</v>
      </c>
      <c r="I327" t="n">
        <v>0</v>
      </c>
      <c r="J327" t="n">
        <v>0</v>
      </c>
      <c r="K327" t="n">
        <v>0</v>
      </c>
      <c r="L327" t="n">
        <v>0</v>
      </c>
      <c r="M327" t="n">
        <v>0</v>
      </c>
      <c r="N327" t="n">
        <v>0</v>
      </c>
      <c r="O327" t="n">
        <v>0</v>
      </c>
      <c r="P327" t="n">
        <v>0</v>
      </c>
      <c r="Q327" t="n">
        <v>0</v>
      </c>
      <c r="R327" s="2" t="inlineStr"/>
    </row>
    <row r="328" ht="15" customHeight="1">
      <c r="A328" t="inlineStr">
        <is>
          <t>A 36348-2025</t>
        </is>
      </c>
      <c r="B328" s="1" t="n">
        <v>45868.4797337963</v>
      </c>
      <c r="C328" s="1" t="n">
        <v>45901</v>
      </c>
      <c r="D328" t="inlineStr">
        <is>
          <t>NORRBOTTENS LÄN</t>
        </is>
      </c>
      <c r="E328" t="inlineStr">
        <is>
          <t>GÄLLIVARE</t>
        </is>
      </c>
      <c r="F328" t="inlineStr">
        <is>
          <t>Sveaskog</t>
        </is>
      </c>
      <c r="G328" t="n">
        <v>6.3</v>
      </c>
      <c r="H328" t="n">
        <v>0</v>
      </c>
      <c r="I328" t="n">
        <v>0</v>
      </c>
      <c r="J328" t="n">
        <v>0</v>
      </c>
      <c r="K328" t="n">
        <v>0</v>
      </c>
      <c r="L328" t="n">
        <v>0</v>
      </c>
      <c r="M328" t="n">
        <v>0</v>
      </c>
      <c r="N328" t="n">
        <v>0</v>
      </c>
      <c r="O328" t="n">
        <v>0</v>
      </c>
      <c r="P328" t="n">
        <v>0</v>
      </c>
      <c r="Q328" t="n">
        <v>0</v>
      </c>
      <c r="R328" s="2" t="inlineStr"/>
    </row>
    <row r="329" ht="15" customHeight="1">
      <c r="A329" t="inlineStr">
        <is>
          <t>A 40974-2023</t>
        </is>
      </c>
      <c r="B329" s="1" t="n">
        <v>45173</v>
      </c>
      <c r="C329" s="1" t="n">
        <v>45901</v>
      </c>
      <c r="D329" t="inlineStr">
        <is>
          <t>NORRBOTTENS LÄN</t>
        </is>
      </c>
      <c r="E329" t="inlineStr">
        <is>
          <t>GÄLLIVARE</t>
        </is>
      </c>
      <c r="G329" t="n">
        <v>3</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45901</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44327-2024</t>
        </is>
      </c>
      <c r="B331" s="1" t="n">
        <v>45573</v>
      </c>
      <c r="C331" s="1" t="n">
        <v>45901</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37659-2025</t>
        </is>
      </c>
      <c r="B332" s="1" t="n">
        <v>45880.49833333334</v>
      </c>
      <c r="C332" s="1" t="n">
        <v>45901</v>
      </c>
      <c r="D332" t="inlineStr">
        <is>
          <t>NORRBOTTENS LÄN</t>
        </is>
      </c>
      <c r="E332" t="inlineStr">
        <is>
          <t>GÄLLIVARE</t>
        </is>
      </c>
      <c r="F332" t="inlineStr">
        <is>
          <t>Sveaskog</t>
        </is>
      </c>
      <c r="G332" t="n">
        <v>13.7</v>
      </c>
      <c r="H332" t="n">
        <v>0</v>
      </c>
      <c r="I332" t="n">
        <v>0</v>
      </c>
      <c r="J332" t="n">
        <v>0</v>
      </c>
      <c r="K332" t="n">
        <v>0</v>
      </c>
      <c r="L332" t="n">
        <v>0</v>
      </c>
      <c r="M332" t="n">
        <v>0</v>
      </c>
      <c r="N332" t="n">
        <v>0</v>
      </c>
      <c r="O332" t="n">
        <v>0</v>
      </c>
      <c r="P332" t="n">
        <v>0</v>
      </c>
      <c r="Q332" t="n">
        <v>0</v>
      </c>
      <c r="R332" s="2" t="inlineStr"/>
    </row>
    <row r="333" ht="15" customHeight="1">
      <c r="A333" t="inlineStr">
        <is>
          <t>A 37683-2025</t>
        </is>
      </c>
      <c r="B333" s="1" t="n">
        <v>45880.55248842593</v>
      </c>
      <c r="C333" s="1" t="n">
        <v>45901</v>
      </c>
      <c r="D333" t="inlineStr">
        <is>
          <t>NORRBOTTENS LÄN</t>
        </is>
      </c>
      <c r="E333" t="inlineStr">
        <is>
          <t>GÄLLIVARE</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36997-2025</t>
        </is>
      </c>
      <c r="B334" s="1" t="n">
        <v>45874.67802083334</v>
      </c>
      <c r="C334" s="1" t="n">
        <v>45901</v>
      </c>
      <c r="D334" t="inlineStr">
        <is>
          <t>NORRBOTTENS LÄN</t>
        </is>
      </c>
      <c r="E334" t="inlineStr">
        <is>
          <t>GÄLLIVARE</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36623-2025</t>
        </is>
      </c>
      <c r="B335" s="1" t="n">
        <v>45870.65719907408</v>
      </c>
      <c r="C335" s="1" t="n">
        <v>45901</v>
      </c>
      <c r="D335" t="inlineStr">
        <is>
          <t>NORRBOTTENS LÄN</t>
        </is>
      </c>
      <c r="E335" t="inlineStr">
        <is>
          <t>GÄLLIVARE</t>
        </is>
      </c>
      <c r="G335" t="n">
        <v>2.5</v>
      </c>
      <c r="H335" t="n">
        <v>0</v>
      </c>
      <c r="I335" t="n">
        <v>0</v>
      </c>
      <c r="J335" t="n">
        <v>0</v>
      </c>
      <c r="K335" t="n">
        <v>0</v>
      </c>
      <c r="L335" t="n">
        <v>0</v>
      </c>
      <c r="M335" t="n">
        <v>0</v>
      </c>
      <c r="N335" t="n">
        <v>0</v>
      </c>
      <c r="O335" t="n">
        <v>0</v>
      </c>
      <c r="P335" t="n">
        <v>0</v>
      </c>
      <c r="Q335" t="n">
        <v>0</v>
      </c>
      <c r="R335" s="2" t="inlineStr"/>
    </row>
    <row r="336" ht="15" customHeight="1">
      <c r="A336" t="inlineStr">
        <is>
          <t>A 36790-2025</t>
        </is>
      </c>
      <c r="B336" s="1" t="n">
        <v>45873.63587962963</v>
      </c>
      <c r="C336" s="1" t="n">
        <v>45901</v>
      </c>
      <c r="D336" t="inlineStr">
        <is>
          <t>NORRBOTTENS LÄN</t>
        </is>
      </c>
      <c r="E336" t="inlineStr">
        <is>
          <t>GÄLLIVARE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47162-2023</t>
        </is>
      </c>
      <c r="B337" s="1" t="n">
        <v>45201</v>
      </c>
      <c r="C337" s="1" t="n">
        <v>45901</v>
      </c>
      <c r="D337" t="inlineStr">
        <is>
          <t>NORRBOTTENS LÄN</t>
        </is>
      </c>
      <c r="E337" t="inlineStr">
        <is>
          <t>GÄLLIVARE</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37594-2025</t>
        </is>
      </c>
      <c r="B338" s="1" t="n">
        <v>45880.41603009259</v>
      </c>
      <c r="C338" s="1" t="n">
        <v>45901</v>
      </c>
      <c r="D338" t="inlineStr">
        <is>
          <t>NORRBOTTENS LÄN</t>
        </is>
      </c>
      <c r="E338" t="inlineStr">
        <is>
          <t>GÄLLIVARE</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37279-2025</t>
        </is>
      </c>
      <c r="B339" s="1" t="n">
        <v>45876</v>
      </c>
      <c r="C339" s="1" t="n">
        <v>45901</v>
      </c>
      <c r="D339" t="inlineStr">
        <is>
          <t>NORRBOTTENS LÄN</t>
        </is>
      </c>
      <c r="E339" t="inlineStr">
        <is>
          <t>GÄLLIVARE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37652-2025</t>
        </is>
      </c>
      <c r="B340" s="1" t="n">
        <v>45880.49027777778</v>
      </c>
      <c r="C340" s="1" t="n">
        <v>45901</v>
      </c>
      <c r="D340" t="inlineStr">
        <is>
          <t>NORRBOTTENS LÄN</t>
        </is>
      </c>
      <c r="E340" t="inlineStr">
        <is>
          <t>GÄLLIVARE</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33226-2025</t>
        </is>
      </c>
      <c r="B341" s="1" t="n">
        <v>45840.63622685185</v>
      </c>
      <c r="C341" s="1" t="n">
        <v>45901</v>
      </c>
      <c r="D341" t="inlineStr">
        <is>
          <t>NORRBOTTENS LÄN</t>
        </is>
      </c>
      <c r="E341" t="inlineStr">
        <is>
          <t>GÄLLIVARE</t>
        </is>
      </c>
      <c r="F341" t="inlineStr">
        <is>
          <t>SCA</t>
        </is>
      </c>
      <c r="G341" t="n">
        <v>10.8</v>
      </c>
      <c r="H341" t="n">
        <v>0</v>
      </c>
      <c r="I341" t="n">
        <v>0</v>
      </c>
      <c r="J341" t="n">
        <v>0</v>
      </c>
      <c r="K341" t="n">
        <v>0</v>
      </c>
      <c r="L341" t="n">
        <v>0</v>
      </c>
      <c r="M341" t="n">
        <v>0</v>
      </c>
      <c r="N341" t="n">
        <v>0</v>
      </c>
      <c r="O341" t="n">
        <v>0</v>
      </c>
      <c r="P341" t="n">
        <v>0</v>
      </c>
      <c r="Q341" t="n">
        <v>0</v>
      </c>
      <c r="R341" s="2" t="inlineStr"/>
    </row>
    <row r="342" ht="15" customHeight="1">
      <c r="A342" t="inlineStr">
        <is>
          <t>A 38049-2025</t>
        </is>
      </c>
      <c r="B342" s="1" t="n">
        <v>45882.40704861111</v>
      </c>
      <c r="C342" s="1" t="n">
        <v>45901</v>
      </c>
      <c r="D342" t="inlineStr">
        <is>
          <t>NORRBOTTENS LÄN</t>
        </is>
      </c>
      <c r="E342" t="inlineStr">
        <is>
          <t>GÄLLIVARE</t>
        </is>
      </c>
      <c r="F342" t="inlineStr">
        <is>
          <t>SCA</t>
        </is>
      </c>
      <c r="G342" t="n">
        <v>11.2</v>
      </c>
      <c r="H342" t="n">
        <v>0</v>
      </c>
      <c r="I342" t="n">
        <v>0</v>
      </c>
      <c r="J342" t="n">
        <v>0</v>
      </c>
      <c r="K342" t="n">
        <v>0</v>
      </c>
      <c r="L342" t="n">
        <v>0</v>
      </c>
      <c r="M342" t="n">
        <v>0</v>
      </c>
      <c r="N342" t="n">
        <v>0</v>
      </c>
      <c r="O342" t="n">
        <v>0</v>
      </c>
      <c r="P342" t="n">
        <v>0</v>
      </c>
      <c r="Q342" t="n">
        <v>0</v>
      </c>
      <c r="R342" s="2" t="inlineStr"/>
    </row>
    <row r="343" ht="15" customHeight="1">
      <c r="A343" t="inlineStr">
        <is>
          <t>A 36416-2025</t>
        </is>
      </c>
      <c r="B343" s="1" t="n">
        <v>45868</v>
      </c>
      <c r="C343" s="1" t="n">
        <v>45901</v>
      </c>
      <c r="D343" t="inlineStr">
        <is>
          <t>NORRBOTTENS LÄN</t>
        </is>
      </c>
      <c r="E343" t="inlineStr">
        <is>
          <t>GÄLLIVARE</t>
        </is>
      </c>
      <c r="F343" t="inlineStr">
        <is>
          <t>SCA</t>
        </is>
      </c>
      <c r="G343" t="n">
        <v>18.2</v>
      </c>
      <c r="H343" t="n">
        <v>0</v>
      </c>
      <c r="I343" t="n">
        <v>0</v>
      </c>
      <c r="J343" t="n">
        <v>0</v>
      </c>
      <c r="K343" t="n">
        <v>0</v>
      </c>
      <c r="L343" t="n">
        <v>0</v>
      </c>
      <c r="M343" t="n">
        <v>0</v>
      </c>
      <c r="N343" t="n">
        <v>0</v>
      </c>
      <c r="O343" t="n">
        <v>0</v>
      </c>
      <c r="P343" t="n">
        <v>0</v>
      </c>
      <c r="Q343" t="n">
        <v>0</v>
      </c>
      <c r="R343" s="2" t="inlineStr"/>
    </row>
    <row r="344" ht="15" customHeight="1">
      <c r="A344" t="inlineStr">
        <is>
          <t>A 38029-2025</t>
        </is>
      </c>
      <c r="B344" s="1" t="n">
        <v>45882.36502314815</v>
      </c>
      <c r="C344" s="1" t="n">
        <v>45901</v>
      </c>
      <c r="D344" t="inlineStr">
        <is>
          <t>NORRBOTTENS LÄN</t>
        </is>
      </c>
      <c r="E344" t="inlineStr">
        <is>
          <t>GÄLLIVARE</t>
        </is>
      </c>
      <c r="F344" t="inlineStr">
        <is>
          <t>SCA</t>
        </is>
      </c>
      <c r="G344" t="n">
        <v>10.2</v>
      </c>
      <c r="H344" t="n">
        <v>0</v>
      </c>
      <c r="I344" t="n">
        <v>0</v>
      </c>
      <c r="J344" t="n">
        <v>0</v>
      </c>
      <c r="K344" t="n">
        <v>0</v>
      </c>
      <c r="L344" t="n">
        <v>0</v>
      </c>
      <c r="M344" t="n">
        <v>0</v>
      </c>
      <c r="N344" t="n">
        <v>0</v>
      </c>
      <c r="O344" t="n">
        <v>0</v>
      </c>
      <c r="P344" t="n">
        <v>0</v>
      </c>
      <c r="Q344" t="n">
        <v>0</v>
      </c>
      <c r="R344" s="2" t="inlineStr"/>
    </row>
    <row r="345" ht="15" customHeight="1">
      <c r="A345" t="inlineStr">
        <is>
          <t>A 32943-2025</t>
        </is>
      </c>
      <c r="B345" s="1" t="n">
        <v>45839</v>
      </c>
      <c r="C345" s="1" t="n">
        <v>45901</v>
      </c>
      <c r="D345" t="inlineStr">
        <is>
          <t>NORRBOTTENS LÄN</t>
        </is>
      </c>
      <c r="E345" t="inlineStr">
        <is>
          <t>GÄLLIVARE</t>
        </is>
      </c>
      <c r="G345" t="n">
        <v>16.8</v>
      </c>
      <c r="H345" t="n">
        <v>0</v>
      </c>
      <c r="I345" t="n">
        <v>0</v>
      </c>
      <c r="J345" t="n">
        <v>0</v>
      </c>
      <c r="K345" t="n">
        <v>0</v>
      </c>
      <c r="L345" t="n">
        <v>0</v>
      </c>
      <c r="M345" t="n">
        <v>0</v>
      </c>
      <c r="N345" t="n">
        <v>0</v>
      </c>
      <c r="O345" t="n">
        <v>0</v>
      </c>
      <c r="P345" t="n">
        <v>0</v>
      </c>
      <c r="Q345" t="n">
        <v>0</v>
      </c>
      <c r="R345" s="2" t="inlineStr"/>
    </row>
    <row r="346" ht="15" customHeight="1">
      <c r="A346" t="inlineStr">
        <is>
          <t>A 38204-2025</t>
        </is>
      </c>
      <c r="B346" s="1" t="n">
        <v>45882.69832175926</v>
      </c>
      <c r="C346" s="1" t="n">
        <v>45901</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32936-2025</t>
        </is>
      </c>
      <c r="B347" s="1" t="n">
        <v>45839</v>
      </c>
      <c r="C347" s="1" t="n">
        <v>45901</v>
      </c>
      <c r="D347" t="inlineStr">
        <is>
          <t>NORRBOTTENS LÄN</t>
        </is>
      </c>
      <c r="E347" t="inlineStr">
        <is>
          <t>GÄLLIVARE</t>
        </is>
      </c>
      <c r="G347" t="n">
        <v>3</v>
      </c>
      <c r="H347" t="n">
        <v>0</v>
      </c>
      <c r="I347" t="n">
        <v>0</v>
      </c>
      <c r="J347" t="n">
        <v>0</v>
      </c>
      <c r="K347" t="n">
        <v>0</v>
      </c>
      <c r="L347" t="n">
        <v>0</v>
      </c>
      <c r="M347" t="n">
        <v>0</v>
      </c>
      <c r="N347" t="n">
        <v>0</v>
      </c>
      <c r="O347" t="n">
        <v>0</v>
      </c>
      <c r="P347" t="n">
        <v>0</v>
      </c>
      <c r="Q347" t="n">
        <v>0</v>
      </c>
      <c r="R347" s="2" t="inlineStr"/>
    </row>
    <row r="348" ht="15" customHeight="1">
      <c r="A348" t="inlineStr">
        <is>
          <t>A 36397-2025</t>
        </is>
      </c>
      <c r="B348" s="1" t="n">
        <v>45868</v>
      </c>
      <c r="C348" s="1" t="n">
        <v>45901</v>
      </c>
      <c r="D348" t="inlineStr">
        <is>
          <t>NORRBOTTENS LÄN</t>
        </is>
      </c>
      <c r="E348" t="inlineStr">
        <is>
          <t>GÄLLIVARE</t>
        </is>
      </c>
      <c r="F348" t="inlineStr">
        <is>
          <t>SCA</t>
        </is>
      </c>
      <c r="G348" t="n">
        <v>18.2</v>
      </c>
      <c r="H348" t="n">
        <v>0</v>
      </c>
      <c r="I348" t="n">
        <v>0</v>
      </c>
      <c r="J348" t="n">
        <v>0</v>
      </c>
      <c r="K348" t="n">
        <v>0</v>
      </c>
      <c r="L348" t="n">
        <v>0</v>
      </c>
      <c r="M348" t="n">
        <v>0</v>
      </c>
      <c r="N348" t="n">
        <v>0</v>
      </c>
      <c r="O348" t="n">
        <v>0</v>
      </c>
      <c r="P348" t="n">
        <v>0</v>
      </c>
      <c r="Q348" t="n">
        <v>0</v>
      </c>
      <c r="R348" s="2" t="inlineStr"/>
    </row>
    <row r="349" ht="15" customHeight="1">
      <c r="A349" t="inlineStr">
        <is>
          <t>A 11783-2025</t>
        </is>
      </c>
      <c r="B349" s="1" t="n">
        <v>45727.71951388889</v>
      </c>
      <c r="C349" s="1" t="n">
        <v>45901</v>
      </c>
      <c r="D349" t="inlineStr">
        <is>
          <t>NORRBOTTENS LÄN</t>
        </is>
      </c>
      <c r="E349" t="inlineStr">
        <is>
          <t>GÄLLIVARE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64360-2023</t>
        </is>
      </c>
      <c r="B350" s="1" t="n">
        <v>45280</v>
      </c>
      <c r="C350" s="1" t="n">
        <v>45901</v>
      </c>
      <c r="D350" t="inlineStr">
        <is>
          <t>NORRBOTTENS LÄN</t>
        </is>
      </c>
      <c r="E350" t="inlineStr">
        <is>
          <t>GÄLLIVARE</t>
        </is>
      </c>
      <c r="G350" t="n">
        <v>2.1</v>
      </c>
      <c r="H350" t="n">
        <v>0</v>
      </c>
      <c r="I350" t="n">
        <v>0</v>
      </c>
      <c r="J350" t="n">
        <v>0</v>
      </c>
      <c r="K350" t="n">
        <v>0</v>
      </c>
      <c r="L350" t="n">
        <v>0</v>
      </c>
      <c r="M350" t="n">
        <v>0</v>
      </c>
      <c r="N350" t="n">
        <v>0</v>
      </c>
      <c r="O350" t="n">
        <v>0</v>
      </c>
      <c r="P350" t="n">
        <v>0</v>
      </c>
      <c r="Q350" t="n">
        <v>0</v>
      </c>
      <c r="R350" s="2" t="inlineStr"/>
    </row>
    <row r="351" ht="15" customHeight="1">
      <c r="A351" t="inlineStr">
        <is>
          <t>A 44982-2023</t>
        </is>
      </c>
      <c r="B351" s="1" t="n">
        <v>45190.95821759259</v>
      </c>
      <c r="C351" s="1" t="n">
        <v>45901</v>
      </c>
      <c r="D351" t="inlineStr">
        <is>
          <t>NORRBOTTENS LÄN</t>
        </is>
      </c>
      <c r="E351" t="inlineStr">
        <is>
          <t>GÄLLIVARE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44985-2023</t>
        </is>
      </c>
      <c r="B352" s="1" t="n">
        <v>45190.95814814815</v>
      </c>
      <c r="C352" s="1" t="n">
        <v>45901</v>
      </c>
      <c r="D352" t="inlineStr">
        <is>
          <t>NORRBOTTENS LÄN</t>
        </is>
      </c>
      <c r="E352" t="inlineStr">
        <is>
          <t>GÄLLIVARE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33742-2025</t>
        </is>
      </c>
      <c r="B353" s="1" t="n">
        <v>45842.34484953704</v>
      </c>
      <c r="C353" s="1" t="n">
        <v>45901</v>
      </c>
      <c r="D353" t="inlineStr">
        <is>
          <t>NORRBOTTENS LÄN</t>
        </is>
      </c>
      <c r="E353" t="inlineStr">
        <is>
          <t>GÄLLIVARE</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33307-2025</t>
        </is>
      </c>
      <c r="B354" s="1" t="n">
        <v>45841.31274305555</v>
      </c>
      <c r="C354" s="1" t="n">
        <v>45901</v>
      </c>
      <c r="D354" t="inlineStr">
        <is>
          <t>NORRBOTTENS LÄN</t>
        </is>
      </c>
      <c r="E354" t="inlineStr">
        <is>
          <t>GÄLLIVARE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33668-2025</t>
        </is>
      </c>
      <c r="B355" s="1" t="n">
        <v>45841.67427083333</v>
      </c>
      <c r="C355" s="1" t="n">
        <v>45901</v>
      </c>
      <c r="D355" t="inlineStr">
        <is>
          <t>NORRBOTTENS LÄN</t>
        </is>
      </c>
      <c r="E355" t="inlineStr">
        <is>
          <t>GÄLLIVARE</t>
        </is>
      </c>
      <c r="F355" t="inlineStr">
        <is>
          <t>Sveaskog</t>
        </is>
      </c>
      <c r="G355" t="n">
        <v>11.7</v>
      </c>
      <c r="H355" t="n">
        <v>0</v>
      </c>
      <c r="I355" t="n">
        <v>0</v>
      </c>
      <c r="J355" t="n">
        <v>0</v>
      </c>
      <c r="K355" t="n">
        <v>0</v>
      </c>
      <c r="L355" t="n">
        <v>0</v>
      </c>
      <c r="M355" t="n">
        <v>0</v>
      </c>
      <c r="N355" t="n">
        <v>0</v>
      </c>
      <c r="O355" t="n">
        <v>0</v>
      </c>
      <c r="P355" t="n">
        <v>0</v>
      </c>
      <c r="Q355" t="n">
        <v>0</v>
      </c>
      <c r="R355" s="2" t="inlineStr"/>
    </row>
    <row r="356" ht="15" customHeight="1">
      <c r="A356" t="inlineStr">
        <is>
          <t>A 37021-2025</t>
        </is>
      </c>
      <c r="B356" s="1" t="n">
        <v>45874</v>
      </c>
      <c r="C356" s="1" t="n">
        <v>45901</v>
      </c>
      <c r="D356" t="inlineStr">
        <is>
          <t>NORRBOTTENS LÄN</t>
        </is>
      </c>
      <c r="E356" t="inlineStr">
        <is>
          <t>GÄLLIVARE</t>
        </is>
      </c>
      <c r="F356" t="inlineStr">
        <is>
          <t>Allmännings- och besparingsskogar</t>
        </is>
      </c>
      <c r="G356" t="n">
        <v>40.5</v>
      </c>
      <c r="H356" t="n">
        <v>0</v>
      </c>
      <c r="I356" t="n">
        <v>0</v>
      </c>
      <c r="J356" t="n">
        <v>0</v>
      </c>
      <c r="K356" t="n">
        <v>0</v>
      </c>
      <c r="L356" t="n">
        <v>0</v>
      </c>
      <c r="M356" t="n">
        <v>0</v>
      </c>
      <c r="N356" t="n">
        <v>0</v>
      </c>
      <c r="O356" t="n">
        <v>0</v>
      </c>
      <c r="P356" t="n">
        <v>0</v>
      </c>
      <c r="Q356" t="n">
        <v>0</v>
      </c>
      <c r="R356" s="2" t="inlineStr"/>
    </row>
    <row r="357" ht="15" customHeight="1">
      <c r="A357" t="inlineStr">
        <is>
          <t>A 38225-2025</t>
        </is>
      </c>
      <c r="B357" s="1" t="n">
        <v>45883.34501157407</v>
      </c>
      <c r="C357" s="1" t="n">
        <v>45901</v>
      </c>
      <c r="D357" t="inlineStr">
        <is>
          <t>NORRBOTTENS LÄN</t>
        </is>
      </c>
      <c r="E357" t="inlineStr">
        <is>
          <t>GÄLLIVARE</t>
        </is>
      </c>
      <c r="F357" t="inlineStr">
        <is>
          <t>SCA</t>
        </is>
      </c>
      <c r="G357" t="n">
        <v>9.5</v>
      </c>
      <c r="H357" t="n">
        <v>0</v>
      </c>
      <c r="I357" t="n">
        <v>0</v>
      </c>
      <c r="J357" t="n">
        <v>0</v>
      </c>
      <c r="K357" t="n">
        <v>0</v>
      </c>
      <c r="L357" t="n">
        <v>0</v>
      </c>
      <c r="M357" t="n">
        <v>0</v>
      </c>
      <c r="N357" t="n">
        <v>0</v>
      </c>
      <c r="O357" t="n">
        <v>0</v>
      </c>
      <c r="P357" t="n">
        <v>0</v>
      </c>
      <c r="Q357" t="n">
        <v>0</v>
      </c>
      <c r="R357" s="2" t="inlineStr"/>
    </row>
    <row r="358" ht="15" customHeight="1">
      <c r="A358" t="inlineStr">
        <is>
          <t>A 9655-2024</t>
        </is>
      </c>
      <c r="B358" s="1" t="n">
        <v>45362</v>
      </c>
      <c r="C358" s="1" t="n">
        <v>45901</v>
      </c>
      <c r="D358" t="inlineStr">
        <is>
          <t>NORRBOTTENS LÄN</t>
        </is>
      </c>
      <c r="E358" t="inlineStr">
        <is>
          <t>GÄLLIVARE</t>
        </is>
      </c>
      <c r="F358" t="inlineStr">
        <is>
          <t>Sveaskog</t>
        </is>
      </c>
      <c r="G358" t="n">
        <v>9.1</v>
      </c>
      <c r="H358" t="n">
        <v>0</v>
      </c>
      <c r="I358" t="n">
        <v>0</v>
      </c>
      <c r="J358" t="n">
        <v>0</v>
      </c>
      <c r="K358" t="n">
        <v>0</v>
      </c>
      <c r="L358" t="n">
        <v>0</v>
      </c>
      <c r="M358" t="n">
        <v>0</v>
      </c>
      <c r="N358" t="n">
        <v>0</v>
      </c>
      <c r="O358" t="n">
        <v>0</v>
      </c>
      <c r="P358" t="n">
        <v>0</v>
      </c>
      <c r="Q358" t="n">
        <v>0</v>
      </c>
      <c r="R358" s="2" t="inlineStr"/>
    </row>
    <row r="359" ht="15" customHeight="1">
      <c r="A359" t="inlineStr">
        <is>
          <t>A 38062-2025</t>
        </is>
      </c>
      <c r="B359" s="1" t="n">
        <v>45882.42844907408</v>
      </c>
      <c r="C359" s="1" t="n">
        <v>45901</v>
      </c>
      <c r="D359" t="inlineStr">
        <is>
          <t>NORRBOTTENS LÄN</t>
        </is>
      </c>
      <c r="E359" t="inlineStr">
        <is>
          <t>GÄLLIVARE</t>
        </is>
      </c>
      <c r="F359" t="inlineStr">
        <is>
          <t>SCA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2135-2024</t>
        </is>
      </c>
      <c r="B360" s="1" t="n">
        <v>45309</v>
      </c>
      <c r="C360" s="1" t="n">
        <v>45901</v>
      </c>
      <c r="D360" t="inlineStr">
        <is>
          <t>NORRBOTTENS LÄN</t>
        </is>
      </c>
      <c r="E360" t="inlineStr">
        <is>
          <t>GÄLLIVARE</t>
        </is>
      </c>
      <c r="G360" t="n">
        <v>2.7</v>
      </c>
      <c r="H360" t="n">
        <v>0</v>
      </c>
      <c r="I360" t="n">
        <v>0</v>
      </c>
      <c r="J360" t="n">
        <v>0</v>
      </c>
      <c r="K360" t="n">
        <v>0</v>
      </c>
      <c r="L360" t="n">
        <v>0</v>
      </c>
      <c r="M360" t="n">
        <v>0</v>
      </c>
      <c r="N360" t="n">
        <v>0</v>
      </c>
      <c r="O360" t="n">
        <v>0</v>
      </c>
      <c r="P360" t="n">
        <v>0</v>
      </c>
      <c r="Q360" t="n">
        <v>0</v>
      </c>
      <c r="R360" s="2" t="inlineStr"/>
    </row>
    <row r="361" ht="15" customHeight="1">
      <c r="A361" t="inlineStr">
        <is>
          <t>A 60868-2023</t>
        </is>
      </c>
      <c r="B361" s="1" t="n">
        <v>45260</v>
      </c>
      <c r="C361" s="1" t="n">
        <v>45901</v>
      </c>
      <c r="D361" t="inlineStr">
        <is>
          <t>NORRBOTTENS LÄN</t>
        </is>
      </c>
      <c r="E361" t="inlineStr">
        <is>
          <t>GÄLLIVARE</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37021-2025</t>
        </is>
      </c>
      <c r="B362" s="1" t="n">
        <v>45874</v>
      </c>
      <c r="C362" s="1" t="n">
        <v>45901</v>
      </c>
      <c r="D362" t="inlineStr">
        <is>
          <t>NORRBOTTENS LÄN</t>
        </is>
      </c>
      <c r="E362" t="inlineStr">
        <is>
          <t>GÄLLIVARE</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33654-2025</t>
        </is>
      </c>
      <c r="B363" s="1" t="n">
        <v>45841.65853009259</v>
      </c>
      <c r="C363" s="1" t="n">
        <v>45901</v>
      </c>
      <c r="D363" t="inlineStr">
        <is>
          <t>NORRBOTTENS LÄN</t>
        </is>
      </c>
      <c r="E363" t="inlineStr">
        <is>
          <t>GÄLLIVARE</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34127-2025</t>
        </is>
      </c>
      <c r="B364" s="1" t="n">
        <v>45845.53070601852</v>
      </c>
      <c r="C364" s="1" t="n">
        <v>45901</v>
      </c>
      <c r="D364" t="inlineStr">
        <is>
          <t>NORRBOTTENS LÄN</t>
        </is>
      </c>
      <c r="E364" t="inlineStr">
        <is>
          <t>GÄLLIVARE</t>
        </is>
      </c>
      <c r="F364" t="inlineStr">
        <is>
          <t>Sveaskog</t>
        </is>
      </c>
      <c r="G364" t="n">
        <v>20.4</v>
      </c>
      <c r="H364" t="n">
        <v>0</v>
      </c>
      <c r="I364" t="n">
        <v>0</v>
      </c>
      <c r="J364" t="n">
        <v>0</v>
      </c>
      <c r="K364" t="n">
        <v>0</v>
      </c>
      <c r="L364" t="n">
        <v>0</v>
      </c>
      <c r="M364" t="n">
        <v>0</v>
      </c>
      <c r="N364" t="n">
        <v>0</v>
      </c>
      <c r="O364" t="n">
        <v>0</v>
      </c>
      <c r="P364" t="n">
        <v>0</v>
      </c>
      <c r="Q364" t="n">
        <v>0</v>
      </c>
      <c r="R364" s="2" t="inlineStr"/>
    </row>
    <row r="365" ht="15" customHeight="1">
      <c r="A365" t="inlineStr">
        <is>
          <t>A 10948-2025</t>
        </is>
      </c>
      <c r="B365" s="1" t="n">
        <v>45723.34453703704</v>
      </c>
      <c r="C365" s="1" t="n">
        <v>45901</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61190-2023</t>
        </is>
      </c>
      <c r="B366" s="1" t="n">
        <v>45264</v>
      </c>
      <c r="C366" s="1" t="n">
        <v>45901</v>
      </c>
      <c r="D366" t="inlineStr">
        <is>
          <t>NORRBOTTENS LÄN</t>
        </is>
      </c>
      <c r="E366" t="inlineStr">
        <is>
          <t>GÄLLIVARE</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38696-2025</t>
        </is>
      </c>
      <c r="B367" s="1" t="n">
        <v>45884.74715277777</v>
      </c>
      <c r="C367" s="1" t="n">
        <v>45901</v>
      </c>
      <c r="D367" t="inlineStr">
        <is>
          <t>NORRBOTTENS LÄN</t>
        </is>
      </c>
      <c r="E367" t="inlineStr">
        <is>
          <t>GÄLLIVARE</t>
        </is>
      </c>
      <c r="G367" t="n">
        <v>1.5</v>
      </c>
      <c r="H367" t="n">
        <v>0</v>
      </c>
      <c r="I367" t="n">
        <v>0</v>
      </c>
      <c r="J367" t="n">
        <v>0</v>
      </c>
      <c r="K367" t="n">
        <v>0</v>
      </c>
      <c r="L367" t="n">
        <v>0</v>
      </c>
      <c r="M367" t="n">
        <v>0</v>
      </c>
      <c r="N367" t="n">
        <v>0</v>
      </c>
      <c r="O367" t="n">
        <v>0</v>
      </c>
      <c r="P367" t="n">
        <v>0</v>
      </c>
      <c r="Q367" t="n">
        <v>0</v>
      </c>
      <c r="R367" s="2" t="inlineStr"/>
    </row>
    <row r="368" ht="15" customHeight="1">
      <c r="A368" t="inlineStr">
        <is>
          <t>A 55606-2023</t>
        </is>
      </c>
      <c r="B368" s="1" t="n">
        <v>45238</v>
      </c>
      <c r="C368" s="1" t="n">
        <v>45901</v>
      </c>
      <c r="D368" t="inlineStr">
        <is>
          <t>NORRBOTTENS LÄN</t>
        </is>
      </c>
      <c r="E368" t="inlineStr">
        <is>
          <t>GÄLLIVARE</t>
        </is>
      </c>
      <c r="G368" t="n">
        <v>2.4</v>
      </c>
      <c r="H368" t="n">
        <v>0</v>
      </c>
      <c r="I368" t="n">
        <v>0</v>
      </c>
      <c r="J368" t="n">
        <v>0</v>
      </c>
      <c r="K368" t="n">
        <v>0</v>
      </c>
      <c r="L368" t="n">
        <v>0</v>
      </c>
      <c r="M368" t="n">
        <v>0</v>
      </c>
      <c r="N368" t="n">
        <v>0</v>
      </c>
      <c r="O368" t="n">
        <v>0</v>
      </c>
      <c r="P368" t="n">
        <v>0</v>
      </c>
      <c r="Q368" t="n">
        <v>0</v>
      </c>
      <c r="R368" s="2" t="inlineStr"/>
    </row>
    <row r="369" ht="15" customHeight="1">
      <c r="A369" t="inlineStr">
        <is>
          <t>A 53824-2024</t>
        </is>
      </c>
      <c r="B369" s="1" t="n">
        <v>45615.61038194445</v>
      </c>
      <c r="C369" s="1" t="n">
        <v>45901</v>
      </c>
      <c r="D369" t="inlineStr">
        <is>
          <t>NORRBOTTENS LÄN</t>
        </is>
      </c>
      <c r="E369" t="inlineStr">
        <is>
          <t>GÄLLIVARE</t>
        </is>
      </c>
      <c r="G369" t="n">
        <v>2</v>
      </c>
      <c r="H369" t="n">
        <v>0</v>
      </c>
      <c r="I369" t="n">
        <v>0</v>
      </c>
      <c r="J369" t="n">
        <v>0</v>
      </c>
      <c r="K369" t="n">
        <v>0</v>
      </c>
      <c r="L369" t="n">
        <v>0</v>
      </c>
      <c r="M369" t="n">
        <v>0</v>
      </c>
      <c r="N369" t="n">
        <v>0</v>
      </c>
      <c r="O369" t="n">
        <v>0</v>
      </c>
      <c r="P369" t="n">
        <v>0</v>
      </c>
      <c r="Q369" t="n">
        <v>0</v>
      </c>
      <c r="R369" s="2" t="inlineStr"/>
    </row>
    <row r="370" ht="15" customHeight="1">
      <c r="A370" t="inlineStr">
        <is>
          <t>A 29254-2024</t>
        </is>
      </c>
      <c r="B370" s="1" t="n">
        <v>45482</v>
      </c>
      <c r="C370" s="1" t="n">
        <v>45901</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34386-2025</t>
        </is>
      </c>
      <c r="B371" s="1" t="n">
        <v>45846</v>
      </c>
      <c r="C371" s="1" t="n">
        <v>45901</v>
      </c>
      <c r="D371" t="inlineStr">
        <is>
          <t>NORRBOTTENS LÄN</t>
        </is>
      </c>
      <c r="E371" t="inlineStr">
        <is>
          <t>GÄLLIVARE</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34129-2025</t>
        </is>
      </c>
      <c r="B372" s="1" t="n">
        <v>45845</v>
      </c>
      <c r="C372" s="1" t="n">
        <v>45901</v>
      </c>
      <c r="D372" t="inlineStr">
        <is>
          <t>NORRBOTTENS LÄN</t>
        </is>
      </c>
      <c r="E372" t="inlineStr">
        <is>
          <t>GÄLLIVARE</t>
        </is>
      </c>
      <c r="G372" t="n">
        <v>3.5</v>
      </c>
      <c r="H372" t="n">
        <v>0</v>
      </c>
      <c r="I372" t="n">
        <v>0</v>
      </c>
      <c r="J372" t="n">
        <v>0</v>
      </c>
      <c r="K372" t="n">
        <v>0</v>
      </c>
      <c r="L372" t="n">
        <v>0</v>
      </c>
      <c r="M372" t="n">
        <v>0</v>
      </c>
      <c r="N372" t="n">
        <v>0</v>
      </c>
      <c r="O372" t="n">
        <v>0</v>
      </c>
      <c r="P372" t="n">
        <v>0</v>
      </c>
      <c r="Q372" t="n">
        <v>0</v>
      </c>
      <c r="R372" s="2" t="inlineStr"/>
    </row>
    <row r="373" ht="15" customHeight="1">
      <c r="A373" t="inlineStr">
        <is>
          <t>A 33980-2025</t>
        </is>
      </c>
      <c r="B373" s="1" t="n">
        <v>45843.34418981482</v>
      </c>
      <c r="C373" s="1" t="n">
        <v>45901</v>
      </c>
      <c r="D373" t="inlineStr">
        <is>
          <t>NORRBOTTENS LÄN</t>
        </is>
      </c>
      <c r="E373" t="inlineStr">
        <is>
          <t>GÄLLIVARE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37961-2025</t>
        </is>
      </c>
      <c r="B374" s="1" t="n">
        <v>45881</v>
      </c>
      <c r="C374" s="1" t="n">
        <v>45901</v>
      </c>
      <c r="D374" t="inlineStr">
        <is>
          <t>NORRBOTTENS LÄN</t>
        </is>
      </c>
      <c r="E374" t="inlineStr">
        <is>
          <t>GÄLLIVARE</t>
        </is>
      </c>
      <c r="G374" t="n">
        <v>2.6</v>
      </c>
      <c r="H374" t="n">
        <v>0</v>
      </c>
      <c r="I374" t="n">
        <v>0</v>
      </c>
      <c r="J374" t="n">
        <v>0</v>
      </c>
      <c r="K374" t="n">
        <v>0</v>
      </c>
      <c r="L374" t="n">
        <v>0</v>
      </c>
      <c r="M374" t="n">
        <v>0</v>
      </c>
      <c r="N374" t="n">
        <v>0</v>
      </c>
      <c r="O374" t="n">
        <v>0</v>
      </c>
      <c r="P374" t="n">
        <v>0</v>
      </c>
      <c r="Q374" t="n">
        <v>0</v>
      </c>
      <c r="R374" s="2" t="inlineStr"/>
    </row>
    <row r="375" ht="15" customHeight="1">
      <c r="A375" t="inlineStr">
        <is>
          <t>A 38895-2025</t>
        </is>
      </c>
      <c r="B375" s="1" t="n">
        <v>45887</v>
      </c>
      <c r="C375" s="1" t="n">
        <v>45901</v>
      </c>
      <c r="D375" t="inlineStr">
        <is>
          <t>NORRBOTTENS LÄN</t>
        </is>
      </c>
      <c r="E375" t="inlineStr">
        <is>
          <t>GÄLLIVARE</t>
        </is>
      </c>
      <c r="G375" t="n">
        <v>1.7</v>
      </c>
      <c r="H375" t="n">
        <v>0</v>
      </c>
      <c r="I375" t="n">
        <v>0</v>
      </c>
      <c r="J375" t="n">
        <v>0</v>
      </c>
      <c r="K375" t="n">
        <v>0</v>
      </c>
      <c r="L375" t="n">
        <v>0</v>
      </c>
      <c r="M375" t="n">
        <v>0</v>
      </c>
      <c r="N375" t="n">
        <v>0</v>
      </c>
      <c r="O375" t="n">
        <v>0</v>
      </c>
      <c r="P375" t="n">
        <v>0</v>
      </c>
      <c r="Q375" t="n">
        <v>0</v>
      </c>
      <c r="R375" s="2" t="inlineStr"/>
    </row>
    <row r="376" ht="15" customHeight="1">
      <c r="A376" t="inlineStr">
        <is>
          <t>A 59172-2022</t>
        </is>
      </c>
      <c r="B376" s="1" t="n">
        <v>44904.48228009259</v>
      </c>
      <c r="C376" s="1" t="n">
        <v>45901</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21441-2021</t>
        </is>
      </c>
      <c r="B377" s="1" t="n">
        <v>44321</v>
      </c>
      <c r="C377" s="1" t="n">
        <v>45901</v>
      </c>
      <c r="D377" t="inlineStr">
        <is>
          <t>NORRBOTTENS LÄN</t>
        </is>
      </c>
      <c r="E377" t="inlineStr">
        <is>
          <t>GÄLLIVARE</t>
        </is>
      </c>
      <c r="G377" t="n">
        <v>1.9</v>
      </c>
      <c r="H377" t="n">
        <v>0</v>
      </c>
      <c r="I377" t="n">
        <v>0</v>
      </c>
      <c r="J377" t="n">
        <v>0</v>
      </c>
      <c r="K377" t="n">
        <v>0</v>
      </c>
      <c r="L377" t="n">
        <v>0</v>
      </c>
      <c r="M377" t="n">
        <v>0</v>
      </c>
      <c r="N377" t="n">
        <v>0</v>
      </c>
      <c r="O377" t="n">
        <v>0</v>
      </c>
      <c r="P377" t="n">
        <v>0</v>
      </c>
      <c r="Q377" t="n">
        <v>0</v>
      </c>
      <c r="R377" s="2" t="inlineStr"/>
    </row>
    <row r="378" ht="15" customHeight="1">
      <c r="A378" t="inlineStr">
        <is>
          <t>A 53794-2024</t>
        </is>
      </c>
      <c r="B378" s="1" t="n">
        <v>45615.57726851852</v>
      </c>
      <c r="C378" s="1" t="n">
        <v>45901</v>
      </c>
      <c r="D378" t="inlineStr">
        <is>
          <t>NORRBOTTENS LÄN</t>
        </is>
      </c>
      <c r="E378" t="inlineStr">
        <is>
          <t>GÄLLIVARE</t>
        </is>
      </c>
      <c r="G378" t="n">
        <v>2.1</v>
      </c>
      <c r="H378" t="n">
        <v>0</v>
      </c>
      <c r="I378" t="n">
        <v>0</v>
      </c>
      <c r="J378" t="n">
        <v>0</v>
      </c>
      <c r="K378" t="n">
        <v>0</v>
      </c>
      <c r="L378" t="n">
        <v>0</v>
      </c>
      <c r="M378" t="n">
        <v>0</v>
      </c>
      <c r="N378" t="n">
        <v>0</v>
      </c>
      <c r="O378" t="n">
        <v>0</v>
      </c>
      <c r="P378" t="n">
        <v>0</v>
      </c>
      <c r="Q378" t="n">
        <v>0</v>
      </c>
      <c r="R378" s="2" t="inlineStr"/>
    </row>
    <row r="379" ht="15" customHeight="1">
      <c r="A379" t="inlineStr">
        <is>
          <t>A 39168-2025</t>
        </is>
      </c>
      <c r="B379" s="1" t="n">
        <v>45888.63964120371</v>
      </c>
      <c r="C379" s="1" t="n">
        <v>45901</v>
      </c>
      <c r="D379" t="inlineStr">
        <is>
          <t>NORRBOTTENS LÄN</t>
        </is>
      </c>
      <c r="E379" t="inlineStr">
        <is>
          <t>GÄLLIVARE</t>
        </is>
      </c>
      <c r="G379" t="n">
        <v>7.5</v>
      </c>
      <c r="H379" t="n">
        <v>0</v>
      </c>
      <c r="I379" t="n">
        <v>0</v>
      </c>
      <c r="J379" t="n">
        <v>0</v>
      </c>
      <c r="K379" t="n">
        <v>0</v>
      </c>
      <c r="L379" t="n">
        <v>0</v>
      </c>
      <c r="M379" t="n">
        <v>0</v>
      </c>
      <c r="N379" t="n">
        <v>0</v>
      </c>
      <c r="O379" t="n">
        <v>0</v>
      </c>
      <c r="P379" t="n">
        <v>0</v>
      </c>
      <c r="Q379" t="n">
        <v>0</v>
      </c>
      <c r="R379" s="2" t="inlineStr"/>
    </row>
    <row r="380" ht="15" customHeight="1">
      <c r="A380" t="inlineStr">
        <is>
          <t>A 34130-2025</t>
        </is>
      </c>
      <c r="B380" s="1" t="n">
        <v>45845.53159722222</v>
      </c>
      <c r="C380" s="1" t="n">
        <v>45901</v>
      </c>
      <c r="D380" t="inlineStr">
        <is>
          <t>NORRBOTTENS LÄN</t>
        </is>
      </c>
      <c r="E380" t="inlineStr">
        <is>
          <t>GÄLLIVARE</t>
        </is>
      </c>
      <c r="G380" t="n">
        <v>6.2</v>
      </c>
      <c r="H380" t="n">
        <v>0</v>
      </c>
      <c r="I380" t="n">
        <v>0</v>
      </c>
      <c r="J380" t="n">
        <v>0</v>
      </c>
      <c r="K380" t="n">
        <v>0</v>
      </c>
      <c r="L380" t="n">
        <v>0</v>
      </c>
      <c r="M380" t="n">
        <v>0</v>
      </c>
      <c r="N380" t="n">
        <v>0</v>
      </c>
      <c r="O380" t="n">
        <v>0</v>
      </c>
      <c r="P380" t="n">
        <v>0</v>
      </c>
      <c r="Q380" t="n">
        <v>0</v>
      </c>
      <c r="R380" s="2" t="inlineStr"/>
    </row>
    <row r="381" ht="15" customHeight="1">
      <c r="A381" t="inlineStr">
        <is>
          <t>A 38896-2025</t>
        </is>
      </c>
      <c r="B381" s="1" t="n">
        <v>45887</v>
      </c>
      <c r="C381" s="1" t="n">
        <v>45901</v>
      </c>
      <c r="D381" t="inlineStr">
        <is>
          <t>NORRBOTTENS LÄN</t>
        </is>
      </c>
      <c r="E381" t="inlineStr">
        <is>
          <t>GÄLLIVARE</t>
        </is>
      </c>
      <c r="G381" t="n">
        <v>5</v>
      </c>
      <c r="H381" t="n">
        <v>0</v>
      </c>
      <c r="I381" t="n">
        <v>0</v>
      </c>
      <c r="J381" t="n">
        <v>0</v>
      </c>
      <c r="K381" t="n">
        <v>0</v>
      </c>
      <c r="L381" t="n">
        <v>0</v>
      </c>
      <c r="M381" t="n">
        <v>0</v>
      </c>
      <c r="N381" t="n">
        <v>0</v>
      </c>
      <c r="O381" t="n">
        <v>0</v>
      </c>
      <c r="P381" t="n">
        <v>0</v>
      </c>
      <c r="Q381" t="n">
        <v>0</v>
      </c>
      <c r="R381" s="2" t="inlineStr"/>
    </row>
    <row r="382" ht="15" customHeight="1">
      <c r="A382" t="inlineStr">
        <is>
          <t>A 52887-2023</t>
        </is>
      </c>
      <c r="B382" s="1" t="n">
        <v>45219</v>
      </c>
      <c r="C382" s="1" t="n">
        <v>45901</v>
      </c>
      <c r="D382" t="inlineStr">
        <is>
          <t>NORRBOTTENS LÄN</t>
        </is>
      </c>
      <c r="E382" t="inlineStr">
        <is>
          <t>GÄLLIVARE</t>
        </is>
      </c>
      <c r="F382" t="inlineStr">
        <is>
          <t>Övriga statliga verk och myndigheter</t>
        </is>
      </c>
      <c r="G382" t="n">
        <v>23.1</v>
      </c>
      <c r="H382" t="n">
        <v>0</v>
      </c>
      <c r="I382" t="n">
        <v>0</v>
      </c>
      <c r="J382" t="n">
        <v>0</v>
      </c>
      <c r="K382" t="n">
        <v>0</v>
      </c>
      <c r="L382" t="n">
        <v>0</v>
      </c>
      <c r="M382" t="n">
        <v>0</v>
      </c>
      <c r="N382" t="n">
        <v>0</v>
      </c>
      <c r="O382" t="n">
        <v>0</v>
      </c>
      <c r="P382" t="n">
        <v>0</v>
      </c>
      <c r="Q382" t="n">
        <v>0</v>
      </c>
      <c r="R382" s="2" t="inlineStr"/>
    </row>
    <row r="383" ht="15" customHeight="1">
      <c r="A383" t="inlineStr">
        <is>
          <t>A 39337-2025</t>
        </is>
      </c>
      <c r="B383" s="1" t="n">
        <v>45889</v>
      </c>
      <c r="C383" s="1" t="n">
        <v>45901</v>
      </c>
      <c r="D383" t="inlineStr">
        <is>
          <t>NORRBOTTENS LÄN</t>
        </is>
      </c>
      <c r="E383" t="inlineStr">
        <is>
          <t>GÄLLIVARE</t>
        </is>
      </c>
      <c r="F383" t="inlineStr">
        <is>
          <t>Sveaskog</t>
        </is>
      </c>
      <c r="G383" t="n">
        <v>36.8</v>
      </c>
      <c r="H383" t="n">
        <v>0</v>
      </c>
      <c r="I383" t="n">
        <v>0</v>
      </c>
      <c r="J383" t="n">
        <v>0</v>
      </c>
      <c r="K383" t="n">
        <v>0</v>
      </c>
      <c r="L383" t="n">
        <v>0</v>
      </c>
      <c r="M383" t="n">
        <v>0</v>
      </c>
      <c r="N383" t="n">
        <v>0</v>
      </c>
      <c r="O383" t="n">
        <v>0</v>
      </c>
      <c r="P383" t="n">
        <v>0</v>
      </c>
      <c r="Q383" t="n">
        <v>0</v>
      </c>
      <c r="R383" s="2" t="inlineStr"/>
    </row>
    <row r="384" ht="15" customHeight="1">
      <c r="A384" t="inlineStr">
        <is>
          <t>A 53674-2024</t>
        </is>
      </c>
      <c r="B384" s="1" t="n">
        <v>45612</v>
      </c>
      <c r="C384" s="1" t="n">
        <v>45901</v>
      </c>
      <c r="D384" t="inlineStr">
        <is>
          <t>NORRBOTTENS LÄN</t>
        </is>
      </c>
      <c r="E384" t="inlineStr">
        <is>
          <t>GÄLLIVARE</t>
        </is>
      </c>
      <c r="F384" t="inlineStr">
        <is>
          <t>Allmännings- och besparingsskogar</t>
        </is>
      </c>
      <c r="G384" t="n">
        <v>5.7</v>
      </c>
      <c r="H384" t="n">
        <v>0</v>
      </c>
      <c r="I384" t="n">
        <v>0</v>
      </c>
      <c r="J384" t="n">
        <v>0</v>
      </c>
      <c r="K384" t="n">
        <v>0</v>
      </c>
      <c r="L384" t="n">
        <v>0</v>
      </c>
      <c r="M384" t="n">
        <v>0</v>
      </c>
      <c r="N384" t="n">
        <v>0</v>
      </c>
      <c r="O384" t="n">
        <v>0</v>
      </c>
      <c r="P384" t="n">
        <v>0</v>
      </c>
      <c r="Q384" t="n">
        <v>0</v>
      </c>
      <c r="R384" s="2" t="inlineStr"/>
    </row>
    <row r="385" ht="15" customHeight="1">
      <c r="A385" t="inlineStr">
        <is>
          <t>A 39414-2025</t>
        </is>
      </c>
      <c r="B385" s="1" t="n">
        <v>45889.65699074074</v>
      </c>
      <c r="C385" s="1" t="n">
        <v>45901</v>
      </c>
      <c r="D385" t="inlineStr">
        <is>
          <t>NORRBOTTENS LÄN</t>
        </is>
      </c>
      <c r="E385" t="inlineStr">
        <is>
          <t>GÄLLIVARE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39261-2025</t>
        </is>
      </c>
      <c r="B386" s="1" t="n">
        <v>45889.37136574074</v>
      </c>
      <c r="C386" s="1" t="n">
        <v>45901</v>
      </c>
      <c r="D386" t="inlineStr">
        <is>
          <t>NORRBOTTENS LÄN</t>
        </is>
      </c>
      <c r="E386" t="inlineStr">
        <is>
          <t>GÄLLIVARE</t>
        </is>
      </c>
      <c r="G386" t="n">
        <v>6.8</v>
      </c>
      <c r="H386" t="n">
        <v>0</v>
      </c>
      <c r="I386" t="n">
        <v>0</v>
      </c>
      <c r="J386" t="n">
        <v>0</v>
      </c>
      <c r="K386" t="n">
        <v>0</v>
      </c>
      <c r="L386" t="n">
        <v>0</v>
      </c>
      <c r="M386" t="n">
        <v>0</v>
      </c>
      <c r="N386" t="n">
        <v>0</v>
      </c>
      <c r="O386" t="n">
        <v>0</v>
      </c>
      <c r="P386" t="n">
        <v>0</v>
      </c>
      <c r="Q386" t="n">
        <v>0</v>
      </c>
      <c r="R386" s="2" t="inlineStr"/>
    </row>
    <row r="387" ht="15" customHeight="1">
      <c r="A387" t="inlineStr">
        <is>
          <t>A 57705-2024</t>
        </is>
      </c>
      <c r="B387" s="1" t="n">
        <v>45630</v>
      </c>
      <c r="C387" s="1" t="n">
        <v>45901</v>
      </c>
      <c r="D387" t="inlineStr">
        <is>
          <t>NORRBOTTENS LÄN</t>
        </is>
      </c>
      <c r="E387" t="inlineStr">
        <is>
          <t>GÄLLIVARE</t>
        </is>
      </c>
      <c r="G387" t="n">
        <v>5.6</v>
      </c>
      <c r="H387" t="n">
        <v>0</v>
      </c>
      <c r="I387" t="n">
        <v>0</v>
      </c>
      <c r="J387" t="n">
        <v>0</v>
      </c>
      <c r="K387" t="n">
        <v>0</v>
      </c>
      <c r="L387" t="n">
        <v>0</v>
      </c>
      <c r="M387" t="n">
        <v>0</v>
      </c>
      <c r="N387" t="n">
        <v>0</v>
      </c>
      <c r="O387" t="n">
        <v>0</v>
      </c>
      <c r="P387" t="n">
        <v>0</v>
      </c>
      <c r="Q387" t="n">
        <v>0</v>
      </c>
      <c r="R387" s="2" t="inlineStr"/>
    </row>
    <row r="388" ht="15" customHeight="1">
      <c r="A388" t="inlineStr">
        <is>
          <t>A 8190-2025</t>
        </is>
      </c>
      <c r="B388" s="1" t="n">
        <v>45708.40659722222</v>
      </c>
      <c r="C388" s="1" t="n">
        <v>45901</v>
      </c>
      <c r="D388" t="inlineStr">
        <is>
          <t>NORRBOTTENS LÄN</t>
        </is>
      </c>
      <c r="E388" t="inlineStr">
        <is>
          <t>GÄLLIVARE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61473-2024</t>
        </is>
      </c>
      <c r="B389" s="1" t="n">
        <v>45646</v>
      </c>
      <c r="C389" s="1" t="n">
        <v>45901</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39638-2025</t>
        </is>
      </c>
      <c r="B390" s="1" t="n">
        <v>45890.60027777778</v>
      </c>
      <c r="C390" s="1" t="n">
        <v>45901</v>
      </c>
      <c r="D390" t="inlineStr">
        <is>
          <t>NORRBOTTENS LÄN</t>
        </is>
      </c>
      <c r="E390" t="inlineStr">
        <is>
          <t>GÄLLIVARE</t>
        </is>
      </c>
      <c r="F390" t="inlineStr">
        <is>
          <t>Sveaskog</t>
        </is>
      </c>
      <c r="G390" t="n">
        <v>8.5</v>
      </c>
      <c r="H390" t="n">
        <v>0</v>
      </c>
      <c r="I390" t="n">
        <v>0</v>
      </c>
      <c r="J390" t="n">
        <v>0</v>
      </c>
      <c r="K390" t="n">
        <v>0</v>
      </c>
      <c r="L390" t="n">
        <v>0</v>
      </c>
      <c r="M390" t="n">
        <v>0</v>
      </c>
      <c r="N390" t="n">
        <v>0</v>
      </c>
      <c r="O390" t="n">
        <v>0</v>
      </c>
      <c r="P390" t="n">
        <v>0</v>
      </c>
      <c r="Q390" t="n">
        <v>0</v>
      </c>
      <c r="R390" s="2" t="inlineStr"/>
    </row>
    <row r="391" ht="15" customHeight="1">
      <c r="A391" t="inlineStr">
        <is>
          <t>A 39413-2025</t>
        </is>
      </c>
      <c r="B391" s="1" t="n">
        <v>45889.65671296296</v>
      </c>
      <c r="C391" s="1" t="n">
        <v>45901</v>
      </c>
      <c r="D391" t="inlineStr">
        <is>
          <t>NORRBOTTENS LÄN</t>
        </is>
      </c>
      <c r="E391" t="inlineStr">
        <is>
          <t>GÄLLIVARE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39440-2025</t>
        </is>
      </c>
      <c r="B392" s="1" t="n">
        <v>45889.68805555555</v>
      </c>
      <c r="C392" s="1" t="n">
        <v>45901</v>
      </c>
      <c r="D392" t="inlineStr">
        <is>
          <t>NORRBOTTENS LÄN</t>
        </is>
      </c>
      <c r="E392" t="inlineStr">
        <is>
          <t>GÄLLIVARE</t>
        </is>
      </c>
      <c r="G392" t="n">
        <v>7.6</v>
      </c>
      <c r="H392" t="n">
        <v>0</v>
      </c>
      <c r="I392" t="n">
        <v>0</v>
      </c>
      <c r="J392" t="n">
        <v>0</v>
      </c>
      <c r="K392" t="n">
        <v>0</v>
      </c>
      <c r="L392" t="n">
        <v>0</v>
      </c>
      <c r="M392" t="n">
        <v>0</v>
      </c>
      <c r="N392" t="n">
        <v>0</v>
      </c>
      <c r="O392" t="n">
        <v>0</v>
      </c>
      <c r="P392" t="n">
        <v>0</v>
      </c>
      <c r="Q392" t="n">
        <v>0</v>
      </c>
      <c r="R392" s="2" t="inlineStr"/>
    </row>
    <row r="393" ht="15" customHeight="1">
      <c r="A393" t="inlineStr">
        <is>
          <t>A 39504-2025</t>
        </is>
      </c>
      <c r="B393" s="1" t="n">
        <v>45890.40673611111</v>
      </c>
      <c r="C393" s="1" t="n">
        <v>45901</v>
      </c>
      <c r="D393" t="inlineStr">
        <is>
          <t>NORRBOTTENS LÄN</t>
        </is>
      </c>
      <c r="E393" t="inlineStr">
        <is>
          <t>GÄLLIVARE</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40146-2025</t>
        </is>
      </c>
      <c r="B394" s="1" t="n">
        <v>45894</v>
      </c>
      <c r="C394" s="1" t="n">
        <v>45901</v>
      </c>
      <c r="D394" t="inlineStr">
        <is>
          <t>NORRBOTTENS LÄN</t>
        </is>
      </c>
      <c r="E394" t="inlineStr">
        <is>
          <t>GÄLLIVARE</t>
        </is>
      </c>
      <c r="F394" t="inlineStr">
        <is>
          <t>Allmännings- och besparingsskogar</t>
        </is>
      </c>
      <c r="G394" t="n">
        <v>6.6</v>
      </c>
      <c r="H394" t="n">
        <v>0</v>
      </c>
      <c r="I394" t="n">
        <v>0</v>
      </c>
      <c r="J394" t="n">
        <v>0</v>
      </c>
      <c r="K394" t="n">
        <v>0</v>
      </c>
      <c r="L394" t="n">
        <v>0</v>
      </c>
      <c r="M394" t="n">
        <v>0</v>
      </c>
      <c r="N394" t="n">
        <v>0</v>
      </c>
      <c r="O394" t="n">
        <v>0</v>
      </c>
      <c r="P394" t="n">
        <v>0</v>
      </c>
      <c r="Q394" t="n">
        <v>0</v>
      </c>
      <c r="R394" s="2" t="inlineStr"/>
    </row>
    <row r="395" ht="15" customHeight="1">
      <c r="A395" t="inlineStr">
        <is>
          <t>A 53821-2024</t>
        </is>
      </c>
      <c r="B395" s="1" t="n">
        <v>45615</v>
      </c>
      <c r="C395" s="1" t="n">
        <v>45901</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14664-2025</t>
        </is>
      </c>
      <c r="B396" s="1" t="n">
        <v>45742</v>
      </c>
      <c r="C396" s="1" t="n">
        <v>45901</v>
      </c>
      <c r="D396" t="inlineStr">
        <is>
          <t>NORRBOTTENS LÄN</t>
        </is>
      </c>
      <c r="E396" t="inlineStr">
        <is>
          <t>GÄLLIVARE</t>
        </is>
      </c>
      <c r="G396" t="n">
        <v>20.8</v>
      </c>
      <c r="H396" t="n">
        <v>0</v>
      </c>
      <c r="I396" t="n">
        <v>0</v>
      </c>
      <c r="J396" t="n">
        <v>0</v>
      </c>
      <c r="K396" t="n">
        <v>0</v>
      </c>
      <c r="L396" t="n">
        <v>0</v>
      </c>
      <c r="M396" t="n">
        <v>0</v>
      </c>
      <c r="N396" t="n">
        <v>0</v>
      </c>
      <c r="O396" t="n">
        <v>0</v>
      </c>
      <c r="P396" t="n">
        <v>0</v>
      </c>
      <c r="Q396" t="n">
        <v>0</v>
      </c>
      <c r="R396" s="2" t="inlineStr"/>
    </row>
    <row r="397" ht="15" customHeight="1">
      <c r="A397" t="inlineStr">
        <is>
          <t>A 29140-2022</t>
        </is>
      </c>
      <c r="B397" s="1" t="n">
        <v>44750</v>
      </c>
      <c r="C397" s="1" t="n">
        <v>45901</v>
      </c>
      <c r="D397" t="inlineStr">
        <is>
          <t>NORRBOTTENS LÄN</t>
        </is>
      </c>
      <c r="E397" t="inlineStr">
        <is>
          <t>GÄLLIVARE</t>
        </is>
      </c>
      <c r="G397" t="n">
        <v>13.6</v>
      </c>
      <c r="H397" t="n">
        <v>0</v>
      </c>
      <c r="I397" t="n">
        <v>0</v>
      </c>
      <c r="J397" t="n">
        <v>0</v>
      </c>
      <c r="K397" t="n">
        <v>0</v>
      </c>
      <c r="L397" t="n">
        <v>0</v>
      </c>
      <c r="M397" t="n">
        <v>0</v>
      </c>
      <c r="N397" t="n">
        <v>0</v>
      </c>
      <c r="O397" t="n">
        <v>0</v>
      </c>
      <c r="P397" t="n">
        <v>0</v>
      </c>
      <c r="Q397" t="n">
        <v>0</v>
      </c>
      <c r="R397" s="2" t="inlineStr"/>
    </row>
    <row r="398" ht="15" customHeight="1">
      <c r="A398" t="inlineStr">
        <is>
          <t>A 39961-2025</t>
        </is>
      </c>
      <c r="B398" s="1" t="n">
        <v>45892.49017361111</v>
      </c>
      <c r="C398" s="1" t="n">
        <v>45901</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39962-2025</t>
        </is>
      </c>
      <c r="B399" s="1" t="n">
        <v>45892.4903587963</v>
      </c>
      <c r="C399" s="1" t="n">
        <v>45901</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40139-2025</t>
        </is>
      </c>
      <c r="B400" s="1" t="n">
        <v>45894</v>
      </c>
      <c r="C400" s="1" t="n">
        <v>45901</v>
      </c>
      <c r="D400" t="inlineStr">
        <is>
          <t>NORRBOTTENS LÄN</t>
        </is>
      </c>
      <c r="E400" t="inlineStr">
        <is>
          <t>GÄLLIVARE</t>
        </is>
      </c>
      <c r="F400" t="inlineStr">
        <is>
          <t>Allmännings- och besparingsskogar</t>
        </is>
      </c>
      <c r="G400" t="n">
        <v>18.3</v>
      </c>
      <c r="H400" t="n">
        <v>0</v>
      </c>
      <c r="I400" t="n">
        <v>0</v>
      </c>
      <c r="J400" t="n">
        <v>0</v>
      </c>
      <c r="K400" t="n">
        <v>0</v>
      </c>
      <c r="L400" t="n">
        <v>0</v>
      </c>
      <c r="M400" t="n">
        <v>0</v>
      </c>
      <c r="N400" t="n">
        <v>0</v>
      </c>
      <c r="O400" t="n">
        <v>0</v>
      </c>
      <c r="P400" t="n">
        <v>0</v>
      </c>
      <c r="Q400" t="n">
        <v>0</v>
      </c>
      <c r="R400" s="2" t="inlineStr"/>
    </row>
    <row r="401" ht="15" customHeight="1">
      <c r="A401" t="inlineStr">
        <is>
          <t>A 29781-2024</t>
        </is>
      </c>
      <c r="B401" s="1" t="n">
        <v>45485.45442129629</v>
      </c>
      <c r="C401" s="1" t="n">
        <v>45901</v>
      </c>
      <c r="D401" t="inlineStr">
        <is>
          <t>NORRBOTTENS LÄN</t>
        </is>
      </c>
      <c r="E401" t="inlineStr">
        <is>
          <t>GÄLLIVARE</t>
        </is>
      </c>
      <c r="F401" t="inlineStr">
        <is>
          <t>Sveaskog</t>
        </is>
      </c>
      <c r="G401" t="n">
        <v>23.4</v>
      </c>
      <c r="H401" t="n">
        <v>0</v>
      </c>
      <c r="I401" t="n">
        <v>0</v>
      </c>
      <c r="J401" t="n">
        <v>0</v>
      </c>
      <c r="K401" t="n">
        <v>0</v>
      </c>
      <c r="L401" t="n">
        <v>0</v>
      </c>
      <c r="M401" t="n">
        <v>0</v>
      </c>
      <c r="N401" t="n">
        <v>0</v>
      </c>
      <c r="O401" t="n">
        <v>0</v>
      </c>
      <c r="P401" t="n">
        <v>0</v>
      </c>
      <c r="Q401" t="n">
        <v>0</v>
      </c>
      <c r="R401" s="2" t="inlineStr"/>
    </row>
    <row r="402" ht="15" customHeight="1">
      <c r="A402" t="inlineStr">
        <is>
          <t>A 39968-2025</t>
        </is>
      </c>
      <c r="B402" s="1" t="n">
        <v>45892.6153125</v>
      </c>
      <c r="C402" s="1" t="n">
        <v>45901</v>
      </c>
      <c r="D402" t="inlineStr">
        <is>
          <t>NORRBOTTENS LÄN</t>
        </is>
      </c>
      <c r="E402" t="inlineStr">
        <is>
          <t>GÄLLIVARE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39960-2025</t>
        </is>
      </c>
      <c r="B403" s="1" t="n">
        <v>45892.48996527777</v>
      </c>
      <c r="C403" s="1" t="n">
        <v>45901</v>
      </c>
      <c r="D403" t="inlineStr">
        <is>
          <t>NORRBOTTENS LÄN</t>
        </is>
      </c>
      <c r="E403" t="inlineStr">
        <is>
          <t>GÄLLIVARE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11782-2025</t>
        </is>
      </c>
      <c r="B404" s="1" t="n">
        <v>45727.71935185185</v>
      </c>
      <c r="C404" s="1" t="n">
        <v>45901</v>
      </c>
      <c r="D404" t="inlineStr">
        <is>
          <t>NORRBOTTENS LÄN</t>
        </is>
      </c>
      <c r="E404" t="inlineStr">
        <is>
          <t>GÄLLIVARE</t>
        </is>
      </c>
      <c r="F404" t="inlineStr">
        <is>
          <t>SCA</t>
        </is>
      </c>
      <c r="G404" t="n">
        <v>6.8</v>
      </c>
      <c r="H404" t="n">
        <v>0</v>
      </c>
      <c r="I404" t="n">
        <v>0</v>
      </c>
      <c r="J404" t="n">
        <v>0</v>
      </c>
      <c r="K404" t="n">
        <v>0</v>
      </c>
      <c r="L404" t="n">
        <v>0</v>
      </c>
      <c r="M404" t="n">
        <v>0</v>
      </c>
      <c r="N404" t="n">
        <v>0</v>
      </c>
      <c r="O404" t="n">
        <v>0</v>
      </c>
      <c r="P404" t="n">
        <v>0</v>
      </c>
      <c r="Q404" t="n">
        <v>0</v>
      </c>
      <c r="R404" s="2" t="inlineStr"/>
    </row>
    <row r="405" ht="15" customHeight="1">
      <c r="A405" t="inlineStr">
        <is>
          <t>A 28646-2023</t>
        </is>
      </c>
      <c r="B405" s="1" t="n">
        <v>45096</v>
      </c>
      <c r="C405" s="1" t="n">
        <v>45901</v>
      </c>
      <c r="D405" t="inlineStr">
        <is>
          <t>NORRBOTTENS LÄN</t>
        </is>
      </c>
      <c r="E405" t="inlineStr">
        <is>
          <t>GÄLLIVARE</t>
        </is>
      </c>
      <c r="F405" t="inlineStr">
        <is>
          <t>Allmännings- och besparingsskogar</t>
        </is>
      </c>
      <c r="G405" t="n">
        <v>1.9</v>
      </c>
      <c r="H405" t="n">
        <v>0</v>
      </c>
      <c r="I405" t="n">
        <v>0</v>
      </c>
      <c r="J405" t="n">
        <v>0</v>
      </c>
      <c r="K405" t="n">
        <v>0</v>
      </c>
      <c r="L405" t="n">
        <v>0</v>
      </c>
      <c r="M405" t="n">
        <v>0</v>
      </c>
      <c r="N405" t="n">
        <v>0</v>
      </c>
      <c r="O405" t="n">
        <v>0</v>
      </c>
      <c r="P405" t="n">
        <v>0</v>
      </c>
      <c r="Q405" t="n">
        <v>0</v>
      </c>
      <c r="R405" s="2" t="inlineStr"/>
    </row>
    <row r="406" ht="15" customHeight="1">
      <c r="A406" t="inlineStr">
        <is>
          <t>A 39793-2025</t>
        </is>
      </c>
      <c r="B406" s="1" t="n">
        <v>45891.48686342593</v>
      </c>
      <c r="C406" s="1" t="n">
        <v>45901</v>
      </c>
      <c r="D406" t="inlineStr">
        <is>
          <t>NORRBOTTENS LÄN</t>
        </is>
      </c>
      <c r="E406" t="inlineStr">
        <is>
          <t>GÄLLIVARE</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8075-2025</t>
        </is>
      </c>
      <c r="B407" s="1" t="n">
        <v>45707</v>
      </c>
      <c r="C407" s="1" t="n">
        <v>45901</v>
      </c>
      <c r="D407" t="inlineStr">
        <is>
          <t>NORRBOTTENS LÄN</t>
        </is>
      </c>
      <c r="E407" t="inlineStr">
        <is>
          <t>GÄLLIVARE</t>
        </is>
      </c>
      <c r="F407" t="inlineStr">
        <is>
          <t>Sveaskog</t>
        </is>
      </c>
      <c r="G407" t="n">
        <v>43.4</v>
      </c>
      <c r="H407" t="n">
        <v>0</v>
      </c>
      <c r="I407" t="n">
        <v>0</v>
      </c>
      <c r="J407" t="n">
        <v>0</v>
      </c>
      <c r="K407" t="n">
        <v>0</v>
      </c>
      <c r="L407" t="n">
        <v>0</v>
      </c>
      <c r="M407" t="n">
        <v>0</v>
      </c>
      <c r="N407" t="n">
        <v>0</v>
      </c>
      <c r="O407" t="n">
        <v>0</v>
      </c>
      <c r="P407" t="n">
        <v>0</v>
      </c>
      <c r="Q407" t="n">
        <v>0</v>
      </c>
      <c r="R407" s="2" t="inlineStr"/>
    </row>
    <row r="408" ht="15" customHeight="1">
      <c r="A408" t="inlineStr">
        <is>
          <t>A 838-2025</t>
        </is>
      </c>
      <c r="B408" s="1" t="n">
        <v>45665</v>
      </c>
      <c r="C408" s="1" t="n">
        <v>45901</v>
      </c>
      <c r="D408" t="inlineStr">
        <is>
          <t>NORRBOTTENS LÄN</t>
        </is>
      </c>
      <c r="E408" t="inlineStr">
        <is>
          <t>GÄLLIVARE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53677-2024</t>
        </is>
      </c>
      <c r="B409" s="1" t="n">
        <v>45612</v>
      </c>
      <c r="C409" s="1" t="n">
        <v>45901</v>
      </c>
      <c r="D409" t="inlineStr">
        <is>
          <t>NORRBOTTENS LÄN</t>
        </is>
      </c>
      <c r="E409" t="inlineStr">
        <is>
          <t>GÄLLIVARE</t>
        </is>
      </c>
      <c r="F409" t="inlineStr">
        <is>
          <t>Allmännings- och besparingsskogar</t>
        </is>
      </c>
      <c r="G409" t="n">
        <v>8.1</v>
      </c>
      <c r="H409" t="n">
        <v>0</v>
      </c>
      <c r="I409" t="n">
        <v>0</v>
      </c>
      <c r="J409" t="n">
        <v>0</v>
      </c>
      <c r="K409" t="n">
        <v>0</v>
      </c>
      <c r="L409" t="n">
        <v>0</v>
      </c>
      <c r="M409" t="n">
        <v>0</v>
      </c>
      <c r="N409" t="n">
        <v>0</v>
      </c>
      <c r="O409" t="n">
        <v>0</v>
      </c>
      <c r="P409" t="n">
        <v>0</v>
      </c>
      <c r="Q409" t="n">
        <v>0</v>
      </c>
      <c r="R409" s="2" t="inlineStr"/>
    </row>
    <row r="410" ht="15" customHeight="1">
      <c r="A410" t="inlineStr">
        <is>
          <t>A 36979-2023</t>
        </is>
      </c>
      <c r="B410" s="1" t="n">
        <v>45154.95475694445</v>
      </c>
      <c r="C410" s="1" t="n">
        <v>45901</v>
      </c>
      <c r="D410" t="inlineStr">
        <is>
          <t>NORRBOTTENS LÄN</t>
        </is>
      </c>
      <c r="E410" t="inlineStr">
        <is>
          <t>GÄLLIVARE</t>
        </is>
      </c>
      <c r="F410" t="inlineStr">
        <is>
          <t>SCA</t>
        </is>
      </c>
      <c r="G410" t="n">
        <v>6.5</v>
      </c>
      <c r="H410" t="n">
        <v>0</v>
      </c>
      <c r="I410" t="n">
        <v>0</v>
      </c>
      <c r="J410" t="n">
        <v>0</v>
      </c>
      <c r="K410" t="n">
        <v>0</v>
      </c>
      <c r="L410" t="n">
        <v>0</v>
      </c>
      <c r="M410" t="n">
        <v>0</v>
      </c>
      <c r="N410" t="n">
        <v>0</v>
      </c>
      <c r="O410" t="n">
        <v>0</v>
      </c>
      <c r="P410" t="n">
        <v>0</v>
      </c>
      <c r="Q410" t="n">
        <v>0</v>
      </c>
      <c r="R410" s="2" t="inlineStr"/>
    </row>
    <row r="411" ht="15" customHeight="1">
      <c r="A411" t="inlineStr">
        <is>
          <t>A 36983-2023</t>
        </is>
      </c>
      <c r="B411" s="1" t="n">
        <v>45154.95504629629</v>
      </c>
      <c r="C411" s="1" t="n">
        <v>45901</v>
      </c>
      <c r="D411" t="inlineStr">
        <is>
          <t>NORRBOTTENS LÄN</t>
        </is>
      </c>
      <c r="E411" t="inlineStr">
        <is>
          <t>GÄLLIVARE</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26435-2024</t>
        </is>
      </c>
      <c r="B412" s="1" t="n">
        <v>45469.48792824074</v>
      </c>
      <c r="C412" s="1" t="n">
        <v>45901</v>
      </c>
      <c r="D412" t="inlineStr">
        <is>
          <t>NORRBOTTENS LÄN</t>
        </is>
      </c>
      <c r="E412" t="inlineStr">
        <is>
          <t>GÄLLIVARE</t>
        </is>
      </c>
      <c r="G412" t="n">
        <v>31.9</v>
      </c>
      <c r="H412" t="n">
        <v>0</v>
      </c>
      <c r="I412" t="n">
        <v>0</v>
      </c>
      <c r="J412" t="n">
        <v>0</v>
      </c>
      <c r="K412" t="n">
        <v>0</v>
      </c>
      <c r="L412" t="n">
        <v>0</v>
      </c>
      <c r="M412" t="n">
        <v>0</v>
      </c>
      <c r="N412" t="n">
        <v>0</v>
      </c>
      <c r="O412" t="n">
        <v>0</v>
      </c>
      <c r="P412" t="n">
        <v>0</v>
      </c>
      <c r="Q412" t="n">
        <v>0</v>
      </c>
      <c r="R412" s="2" t="inlineStr"/>
    </row>
    <row r="413" ht="15" customHeight="1">
      <c r="A413" t="inlineStr">
        <is>
          <t>A 36568-2025</t>
        </is>
      </c>
      <c r="B413" s="1" t="n">
        <v>45870</v>
      </c>
      <c r="C413" s="1" t="n">
        <v>45901</v>
      </c>
      <c r="D413" t="inlineStr">
        <is>
          <t>NORRBOTTENS LÄN</t>
        </is>
      </c>
      <c r="E413" t="inlineStr">
        <is>
          <t>GÄLLIVARE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47048-2023</t>
        </is>
      </c>
      <c r="B414" s="1" t="n">
        <v>45201</v>
      </c>
      <c r="C414" s="1" t="n">
        <v>45901</v>
      </c>
      <c r="D414" t="inlineStr">
        <is>
          <t>NORRBOTTENS LÄN</t>
        </is>
      </c>
      <c r="E414" t="inlineStr">
        <is>
          <t>GÄLLIVARE</t>
        </is>
      </c>
      <c r="G414" t="n">
        <v>2.6</v>
      </c>
      <c r="H414" t="n">
        <v>0</v>
      </c>
      <c r="I414" t="n">
        <v>0</v>
      </c>
      <c r="J414" t="n">
        <v>0</v>
      </c>
      <c r="K414" t="n">
        <v>0</v>
      </c>
      <c r="L414" t="n">
        <v>0</v>
      </c>
      <c r="M414" t="n">
        <v>0</v>
      </c>
      <c r="N414" t="n">
        <v>0</v>
      </c>
      <c r="O414" t="n">
        <v>0</v>
      </c>
      <c r="P414" t="n">
        <v>0</v>
      </c>
      <c r="Q414" t="n">
        <v>0</v>
      </c>
      <c r="R414" s="2" t="inlineStr"/>
    </row>
    <row r="415" ht="15" customHeight="1">
      <c r="A415" t="inlineStr">
        <is>
          <t>A 57208-2021</t>
        </is>
      </c>
      <c r="B415" s="1" t="n">
        <v>44482.94003472223</v>
      </c>
      <c r="C415" s="1" t="n">
        <v>45901</v>
      </c>
      <c r="D415" t="inlineStr">
        <is>
          <t>NORRBOTTENS LÄN</t>
        </is>
      </c>
      <c r="E415" t="inlineStr">
        <is>
          <t>GÄLLIVARE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25935-2024</t>
        </is>
      </c>
      <c r="B416" s="1" t="n">
        <v>45467</v>
      </c>
      <c r="C416" s="1" t="n">
        <v>45901</v>
      </c>
      <c r="D416" t="inlineStr">
        <is>
          <t>NORRBOTTENS LÄN</t>
        </is>
      </c>
      <c r="E416" t="inlineStr">
        <is>
          <t>GÄLLIVARE</t>
        </is>
      </c>
      <c r="F416" t="inlineStr">
        <is>
          <t>Allmännings- och besparingsskogar</t>
        </is>
      </c>
      <c r="G416" t="n">
        <v>11</v>
      </c>
      <c r="H416" t="n">
        <v>0</v>
      </c>
      <c r="I416" t="n">
        <v>0</v>
      </c>
      <c r="J416" t="n">
        <v>0</v>
      </c>
      <c r="K416" t="n">
        <v>0</v>
      </c>
      <c r="L416" t="n">
        <v>0</v>
      </c>
      <c r="M416" t="n">
        <v>0</v>
      </c>
      <c r="N416" t="n">
        <v>0</v>
      </c>
      <c r="O416" t="n">
        <v>0</v>
      </c>
      <c r="P416" t="n">
        <v>0</v>
      </c>
      <c r="Q416" t="n">
        <v>0</v>
      </c>
      <c r="R416" s="2" t="inlineStr"/>
    </row>
    <row r="417" ht="15" customHeight="1">
      <c r="A417" t="inlineStr">
        <is>
          <t>A 36554-2025</t>
        </is>
      </c>
      <c r="B417" s="1" t="n">
        <v>45870</v>
      </c>
      <c r="C417" s="1" t="n">
        <v>45901</v>
      </c>
      <c r="D417" t="inlineStr">
        <is>
          <t>NORRBOTTENS LÄN</t>
        </is>
      </c>
      <c r="E417" t="inlineStr">
        <is>
          <t>GÄLLIVARE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35449-2025</t>
        </is>
      </c>
      <c r="B418" s="1" t="n">
        <v>45855</v>
      </c>
      <c r="C418" s="1" t="n">
        <v>45901</v>
      </c>
      <c r="D418" t="inlineStr">
        <is>
          <t>NORRBOTTENS LÄN</t>
        </is>
      </c>
      <c r="E418" t="inlineStr">
        <is>
          <t>GÄLLIVARE</t>
        </is>
      </c>
      <c r="F418" t="inlineStr">
        <is>
          <t>Allmännings- och besparingsskogar</t>
        </is>
      </c>
      <c r="G418" t="n">
        <v>31.5</v>
      </c>
      <c r="H418" t="n">
        <v>0</v>
      </c>
      <c r="I418" t="n">
        <v>0</v>
      </c>
      <c r="J418" t="n">
        <v>0</v>
      </c>
      <c r="K418" t="n">
        <v>0</v>
      </c>
      <c r="L418" t="n">
        <v>0</v>
      </c>
      <c r="M418" t="n">
        <v>0</v>
      </c>
      <c r="N418" t="n">
        <v>0</v>
      </c>
      <c r="O418" t="n">
        <v>0</v>
      </c>
      <c r="P418" t="n">
        <v>0</v>
      </c>
      <c r="Q418" t="n">
        <v>0</v>
      </c>
      <c r="R418" s="2" t="inlineStr"/>
    </row>
    <row r="419" ht="15" customHeight="1">
      <c r="A419" t="inlineStr">
        <is>
          <t>A 35474-2025</t>
        </is>
      </c>
      <c r="B419" s="1" t="n">
        <v>45855</v>
      </c>
      <c r="C419" s="1" t="n">
        <v>45901</v>
      </c>
      <c r="D419" t="inlineStr">
        <is>
          <t>NORRBOTTENS LÄN</t>
        </is>
      </c>
      <c r="E419" t="inlineStr">
        <is>
          <t>GÄLLIVARE</t>
        </is>
      </c>
      <c r="F419" t="inlineStr">
        <is>
          <t>Allmännings- och besparingsskogar</t>
        </is>
      </c>
      <c r="G419" t="n">
        <v>28.5</v>
      </c>
      <c r="H419" t="n">
        <v>0</v>
      </c>
      <c r="I419" t="n">
        <v>0</v>
      </c>
      <c r="J419" t="n">
        <v>0</v>
      </c>
      <c r="K419" t="n">
        <v>0</v>
      </c>
      <c r="L419" t="n">
        <v>0</v>
      </c>
      <c r="M419" t="n">
        <v>0</v>
      </c>
      <c r="N419" t="n">
        <v>0</v>
      </c>
      <c r="O419" t="n">
        <v>0</v>
      </c>
      <c r="P419" t="n">
        <v>0</v>
      </c>
      <c r="Q419" t="n">
        <v>0</v>
      </c>
      <c r="R419" s="2" t="inlineStr"/>
    </row>
    <row r="420" ht="15" customHeight="1">
      <c r="A420" t="inlineStr">
        <is>
          <t>A 35470-2025</t>
        </is>
      </c>
      <c r="B420" s="1" t="n">
        <v>45855</v>
      </c>
      <c r="C420" s="1" t="n">
        <v>45901</v>
      </c>
      <c r="D420" t="inlineStr">
        <is>
          <t>NORRBOTTENS LÄN</t>
        </is>
      </c>
      <c r="E420" t="inlineStr">
        <is>
          <t>GÄLLIVARE</t>
        </is>
      </c>
      <c r="F420" t="inlineStr">
        <is>
          <t>Allmännings- och besparingsskogar</t>
        </is>
      </c>
      <c r="G420" t="n">
        <v>9.4</v>
      </c>
      <c r="H420" t="n">
        <v>0</v>
      </c>
      <c r="I420" t="n">
        <v>0</v>
      </c>
      <c r="J420" t="n">
        <v>0</v>
      </c>
      <c r="K420" t="n">
        <v>0</v>
      </c>
      <c r="L420" t="n">
        <v>0</v>
      </c>
      <c r="M420" t="n">
        <v>0</v>
      </c>
      <c r="N420" t="n">
        <v>0</v>
      </c>
      <c r="O420" t="n">
        <v>0</v>
      </c>
      <c r="P420" t="n">
        <v>0</v>
      </c>
      <c r="Q420" t="n">
        <v>0</v>
      </c>
      <c r="R420" s="2" t="inlineStr"/>
    </row>
    <row r="421" ht="15" customHeight="1">
      <c r="A421" t="inlineStr">
        <is>
          <t>A 35472-2025</t>
        </is>
      </c>
      <c r="B421" s="1" t="n">
        <v>45855</v>
      </c>
      <c r="C421" s="1" t="n">
        <v>45901</v>
      </c>
      <c r="D421" t="inlineStr">
        <is>
          <t>NORRBOTTENS LÄN</t>
        </is>
      </c>
      <c r="E421" t="inlineStr">
        <is>
          <t>GÄLLIVARE</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40956-2025</t>
        </is>
      </c>
      <c r="B422" s="1" t="n">
        <v>45897.67803240741</v>
      </c>
      <c r="C422" s="1" t="n">
        <v>45901</v>
      </c>
      <c r="D422" t="inlineStr">
        <is>
          <t>NORRBOTTENS LÄN</t>
        </is>
      </c>
      <c r="E422" t="inlineStr">
        <is>
          <t>GÄLLIVARE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35471-2025</t>
        </is>
      </c>
      <c r="B423" s="1" t="n">
        <v>45855</v>
      </c>
      <c r="C423" s="1" t="n">
        <v>45901</v>
      </c>
      <c r="D423" t="inlineStr">
        <is>
          <t>NORRBOTTENS LÄN</t>
        </is>
      </c>
      <c r="E423" t="inlineStr">
        <is>
          <t>GÄLLIVARE</t>
        </is>
      </c>
      <c r="F423" t="inlineStr">
        <is>
          <t>Allmännings- och besparingsskogar</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41165-2025</t>
        </is>
      </c>
      <c r="B424" s="1" t="n">
        <v>45898.53658564815</v>
      </c>
      <c r="C424" s="1" t="n">
        <v>45901</v>
      </c>
      <c r="D424" t="inlineStr">
        <is>
          <t>NORRBOTTENS LÄN</t>
        </is>
      </c>
      <c r="E424" t="inlineStr">
        <is>
          <t>GÄLLIVARE</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41169-2025</t>
        </is>
      </c>
      <c r="B425" s="1" t="n">
        <v>45898.54578703704</v>
      </c>
      <c r="C425" s="1" t="n">
        <v>45901</v>
      </c>
      <c r="D425" t="inlineStr">
        <is>
          <t>NORRBOTTENS LÄN</t>
        </is>
      </c>
      <c r="E425" t="inlineStr">
        <is>
          <t>GÄLLIVARE</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4918-2025</t>
        </is>
      </c>
      <c r="B426" s="1" t="n">
        <v>45688.68222222223</v>
      </c>
      <c r="C426" s="1" t="n">
        <v>45901</v>
      </c>
      <c r="D426" t="inlineStr">
        <is>
          <t>NORRBOTTENS LÄN</t>
        </is>
      </c>
      <c r="E426" t="inlineStr">
        <is>
          <t>GÄLLIVARE</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25923-2024</t>
        </is>
      </c>
      <c r="B427" s="1" t="n">
        <v>45467</v>
      </c>
      <c r="C427" s="1" t="n">
        <v>45901</v>
      </c>
      <c r="D427" t="inlineStr">
        <is>
          <t>NORRBOTTENS LÄN</t>
        </is>
      </c>
      <c r="E427" t="inlineStr">
        <is>
          <t>GÄLLIVARE</t>
        </is>
      </c>
      <c r="F427" t="inlineStr">
        <is>
          <t>Allmännings- och besparingsskogar</t>
        </is>
      </c>
      <c r="G427" t="n">
        <v>15.1</v>
      </c>
      <c r="H427" t="n">
        <v>0</v>
      </c>
      <c r="I427" t="n">
        <v>0</v>
      </c>
      <c r="J427" t="n">
        <v>0</v>
      </c>
      <c r="K427" t="n">
        <v>0</v>
      </c>
      <c r="L427" t="n">
        <v>0</v>
      </c>
      <c r="M427" t="n">
        <v>0</v>
      </c>
      <c r="N427" t="n">
        <v>0</v>
      </c>
      <c r="O427" t="n">
        <v>0</v>
      </c>
      <c r="P427" t="n">
        <v>0</v>
      </c>
      <c r="Q427" t="n">
        <v>0</v>
      </c>
      <c r="R427" s="2" t="inlineStr"/>
    </row>
    <row r="428" ht="15" customHeight="1">
      <c r="A428" t="inlineStr">
        <is>
          <t>A 36249-2023</t>
        </is>
      </c>
      <c r="B428" s="1" t="n">
        <v>45150.9416087963</v>
      </c>
      <c r="C428" s="1" t="n">
        <v>45901</v>
      </c>
      <c r="D428" t="inlineStr">
        <is>
          <t>NORRBOTTENS LÄN</t>
        </is>
      </c>
      <c r="E428" t="inlineStr">
        <is>
          <t>GÄLLIVARE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36250-2023</t>
        </is>
      </c>
      <c r="B429" s="1" t="n">
        <v>45150.94170138889</v>
      </c>
      <c r="C429" s="1" t="n">
        <v>45901</v>
      </c>
      <c r="D429" t="inlineStr">
        <is>
          <t>NORRBOTTENS LÄN</t>
        </is>
      </c>
      <c r="E429" t="inlineStr">
        <is>
          <t>GÄLLIVARE</t>
        </is>
      </c>
      <c r="F429" t="inlineStr">
        <is>
          <t>SCA</t>
        </is>
      </c>
      <c r="G429" t="n">
        <v>14.6</v>
      </c>
      <c r="H429" t="n">
        <v>0</v>
      </c>
      <c r="I429" t="n">
        <v>0</v>
      </c>
      <c r="J429" t="n">
        <v>0</v>
      </c>
      <c r="K429" t="n">
        <v>0</v>
      </c>
      <c r="L429" t="n">
        <v>0</v>
      </c>
      <c r="M429" t="n">
        <v>0</v>
      </c>
      <c r="N429" t="n">
        <v>0</v>
      </c>
      <c r="O429" t="n">
        <v>0</v>
      </c>
      <c r="P429" t="n">
        <v>0</v>
      </c>
      <c r="Q429" t="n">
        <v>0</v>
      </c>
      <c r="R429" s="2" t="inlineStr"/>
    </row>
    <row r="430" ht="15" customHeight="1">
      <c r="A430" t="inlineStr">
        <is>
          <t>A 61468-2024</t>
        </is>
      </c>
      <c r="B430" s="1" t="n">
        <v>45646</v>
      </c>
      <c r="C430" s="1" t="n">
        <v>45901</v>
      </c>
      <c r="D430" t="inlineStr">
        <is>
          <t>NORRBOTTENS LÄN</t>
        </is>
      </c>
      <c r="E430" t="inlineStr">
        <is>
          <t>GÄLLIVARE</t>
        </is>
      </c>
      <c r="G430" t="n">
        <v>1.5</v>
      </c>
      <c r="H430" t="n">
        <v>0</v>
      </c>
      <c r="I430" t="n">
        <v>0</v>
      </c>
      <c r="J430" t="n">
        <v>0</v>
      </c>
      <c r="K430" t="n">
        <v>0</v>
      </c>
      <c r="L430" t="n">
        <v>0</v>
      </c>
      <c r="M430" t="n">
        <v>0</v>
      </c>
      <c r="N430" t="n">
        <v>0</v>
      </c>
      <c r="O430" t="n">
        <v>0</v>
      </c>
      <c r="P430" t="n">
        <v>0</v>
      </c>
      <c r="Q430" t="n">
        <v>0</v>
      </c>
      <c r="R430" s="2" t="inlineStr"/>
    </row>
    <row r="431" ht="15" customHeight="1">
      <c r="A431" t="inlineStr">
        <is>
          <t>A 8149-2025</t>
        </is>
      </c>
      <c r="B431" s="1" t="n">
        <v>45708</v>
      </c>
      <c r="C431" s="1" t="n">
        <v>45901</v>
      </c>
      <c r="D431" t="inlineStr">
        <is>
          <t>NORRBOTTENS LÄN</t>
        </is>
      </c>
      <c r="E431" t="inlineStr">
        <is>
          <t>GÄLLIVARE</t>
        </is>
      </c>
      <c r="F431" t="inlineStr">
        <is>
          <t>Sveaskog</t>
        </is>
      </c>
      <c r="G431" t="n">
        <v>33.3</v>
      </c>
      <c r="H431" t="n">
        <v>0</v>
      </c>
      <c r="I431" t="n">
        <v>0</v>
      </c>
      <c r="J431" t="n">
        <v>0</v>
      </c>
      <c r="K431" t="n">
        <v>0</v>
      </c>
      <c r="L431" t="n">
        <v>0</v>
      </c>
      <c r="M431" t="n">
        <v>0</v>
      </c>
      <c r="N431" t="n">
        <v>0</v>
      </c>
      <c r="O431" t="n">
        <v>0</v>
      </c>
      <c r="P431" t="n">
        <v>0</v>
      </c>
      <c r="Q431" t="n">
        <v>0</v>
      </c>
      <c r="R431" s="2" t="inlineStr"/>
    </row>
    <row r="432" ht="15" customHeight="1">
      <c r="A432" t="inlineStr">
        <is>
          <t>A 5776-2025</t>
        </is>
      </c>
      <c r="B432" s="1" t="n">
        <v>45694</v>
      </c>
      <c r="C432" s="1" t="n">
        <v>45901</v>
      </c>
      <c r="D432" t="inlineStr">
        <is>
          <t>NORRBOTTENS LÄN</t>
        </is>
      </c>
      <c r="E432" t="inlineStr">
        <is>
          <t>GÄLLIVARE</t>
        </is>
      </c>
      <c r="F432" t="inlineStr">
        <is>
          <t>SCA</t>
        </is>
      </c>
      <c r="G432" t="n">
        <v>14.5</v>
      </c>
      <c r="H432" t="n">
        <v>0</v>
      </c>
      <c r="I432" t="n">
        <v>0</v>
      </c>
      <c r="J432" t="n">
        <v>0</v>
      </c>
      <c r="K432" t="n">
        <v>0</v>
      </c>
      <c r="L432" t="n">
        <v>0</v>
      </c>
      <c r="M432" t="n">
        <v>0</v>
      </c>
      <c r="N432" t="n">
        <v>0</v>
      </c>
      <c r="O432" t="n">
        <v>0</v>
      </c>
      <c r="P432" t="n">
        <v>0</v>
      </c>
      <c r="Q432" t="n">
        <v>0</v>
      </c>
      <c r="R432" s="2" t="inlineStr"/>
    </row>
    <row r="433" ht="15" customHeight="1">
      <c r="A433" t="inlineStr">
        <is>
          <t>A 55259-2024</t>
        </is>
      </c>
      <c r="B433" s="1" t="n">
        <v>45621</v>
      </c>
      <c r="C433" s="1" t="n">
        <v>45901</v>
      </c>
      <c r="D433" t="inlineStr">
        <is>
          <t>NORRBOTTENS LÄN</t>
        </is>
      </c>
      <c r="E433" t="inlineStr">
        <is>
          <t>GÄLLIVARE</t>
        </is>
      </c>
      <c r="G433" t="n">
        <v>17.9</v>
      </c>
      <c r="H433" t="n">
        <v>0</v>
      </c>
      <c r="I433" t="n">
        <v>0</v>
      </c>
      <c r="J433" t="n">
        <v>0</v>
      </c>
      <c r="K433" t="n">
        <v>0</v>
      </c>
      <c r="L433" t="n">
        <v>0</v>
      </c>
      <c r="M433" t="n">
        <v>0</v>
      </c>
      <c r="N433" t="n">
        <v>0</v>
      </c>
      <c r="O433" t="n">
        <v>0</v>
      </c>
      <c r="P433" t="n">
        <v>0</v>
      </c>
      <c r="Q433" t="n">
        <v>0</v>
      </c>
      <c r="R433" s="2" t="inlineStr"/>
    </row>
    <row r="434" ht="15" customHeight="1">
      <c r="A434" t="inlineStr">
        <is>
          <t>A 30367-2024</t>
        </is>
      </c>
      <c r="B434" s="1" t="n">
        <v>45491</v>
      </c>
      <c r="C434" s="1" t="n">
        <v>45901</v>
      </c>
      <c r="D434" t="inlineStr">
        <is>
          <t>NORRBOTTENS LÄN</t>
        </is>
      </c>
      <c r="E434" t="inlineStr">
        <is>
          <t>GÄLLIVARE</t>
        </is>
      </c>
      <c r="G434" t="n">
        <v>8</v>
      </c>
      <c r="H434" t="n">
        <v>0</v>
      </c>
      <c r="I434" t="n">
        <v>0</v>
      </c>
      <c r="J434" t="n">
        <v>0</v>
      </c>
      <c r="K434" t="n">
        <v>0</v>
      </c>
      <c r="L434" t="n">
        <v>0</v>
      </c>
      <c r="M434" t="n">
        <v>0</v>
      </c>
      <c r="N434" t="n">
        <v>0</v>
      </c>
      <c r="O434" t="n">
        <v>0</v>
      </c>
      <c r="P434" t="n">
        <v>0</v>
      </c>
      <c r="Q434" t="n">
        <v>0</v>
      </c>
      <c r="R434" s="2" t="inlineStr"/>
    </row>
    <row r="435" ht="15" customHeight="1">
      <c r="A435" t="inlineStr">
        <is>
          <t>A 44983-2023</t>
        </is>
      </c>
      <c r="B435" s="1" t="n">
        <v>45190</v>
      </c>
      <c r="C435" s="1" t="n">
        <v>45901</v>
      </c>
      <c r="D435" t="inlineStr">
        <is>
          <t>NORRBOTTENS LÄN</t>
        </is>
      </c>
      <c r="E435" t="inlineStr">
        <is>
          <t>GÄLLIVARE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45901</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29253-2024</t>
        </is>
      </c>
      <c r="B437" s="1" t="n">
        <v>45482</v>
      </c>
      <c r="C437" s="1" t="n">
        <v>45901</v>
      </c>
      <c r="D437" t="inlineStr">
        <is>
          <t>NORRBOTTENS LÄN</t>
        </is>
      </c>
      <c r="E437" t="inlineStr">
        <is>
          <t>GÄLLIVARE</t>
        </is>
      </c>
      <c r="F437" t="inlineStr">
        <is>
          <t>SCA</t>
        </is>
      </c>
      <c r="G437" t="n">
        <v>5.4</v>
      </c>
      <c r="H437" t="n">
        <v>0</v>
      </c>
      <c r="I437" t="n">
        <v>0</v>
      </c>
      <c r="J437" t="n">
        <v>0</v>
      </c>
      <c r="K437" t="n">
        <v>0</v>
      </c>
      <c r="L437" t="n">
        <v>0</v>
      </c>
      <c r="M437" t="n">
        <v>0</v>
      </c>
      <c r="N437" t="n">
        <v>0</v>
      </c>
      <c r="O437" t="n">
        <v>0</v>
      </c>
      <c r="P437" t="n">
        <v>0</v>
      </c>
      <c r="Q437" t="n">
        <v>0</v>
      </c>
      <c r="R437" s="2" t="inlineStr"/>
    </row>
    <row r="438" ht="15" customHeight="1">
      <c r="A438" t="inlineStr">
        <is>
          <t>A 14660-2025</t>
        </is>
      </c>
      <c r="B438" s="1" t="n">
        <v>45742</v>
      </c>
      <c r="C438" s="1" t="n">
        <v>45901</v>
      </c>
      <c r="D438" t="inlineStr">
        <is>
          <t>NORRBOTTENS LÄN</t>
        </is>
      </c>
      <c r="E438" t="inlineStr">
        <is>
          <t>GÄLLIVARE</t>
        </is>
      </c>
      <c r="G438" t="n">
        <v>10.3</v>
      </c>
      <c r="H438" t="n">
        <v>0</v>
      </c>
      <c r="I438" t="n">
        <v>0</v>
      </c>
      <c r="J438" t="n">
        <v>0</v>
      </c>
      <c r="K438" t="n">
        <v>0</v>
      </c>
      <c r="L438" t="n">
        <v>0</v>
      </c>
      <c r="M438" t="n">
        <v>0</v>
      </c>
      <c r="N438" t="n">
        <v>0</v>
      </c>
      <c r="O438" t="n">
        <v>0</v>
      </c>
      <c r="P438" t="n">
        <v>0</v>
      </c>
      <c r="Q438" t="n">
        <v>0</v>
      </c>
      <c r="R438" s="2" t="inlineStr"/>
    </row>
    <row r="439" ht="15" customHeight="1">
      <c r="A439" t="inlineStr">
        <is>
          <t>A 18804-2025</t>
        </is>
      </c>
      <c r="B439" s="1" t="n">
        <v>45764.35172453704</v>
      </c>
      <c r="C439" s="1" t="n">
        <v>45901</v>
      </c>
      <c r="D439" t="inlineStr">
        <is>
          <t>NORRBOTTENS LÄN</t>
        </is>
      </c>
      <c r="E439" t="inlineStr">
        <is>
          <t>GÄLLIVARE</t>
        </is>
      </c>
      <c r="G439" t="n">
        <v>6.5</v>
      </c>
      <c r="H439" t="n">
        <v>0</v>
      </c>
      <c r="I439" t="n">
        <v>0</v>
      </c>
      <c r="J439" t="n">
        <v>0</v>
      </c>
      <c r="K439" t="n">
        <v>0</v>
      </c>
      <c r="L439" t="n">
        <v>0</v>
      </c>
      <c r="M439" t="n">
        <v>0</v>
      </c>
      <c r="N439" t="n">
        <v>0</v>
      </c>
      <c r="O439" t="n">
        <v>0</v>
      </c>
      <c r="P439" t="n">
        <v>0</v>
      </c>
      <c r="Q439" t="n">
        <v>0</v>
      </c>
      <c r="R439" s="2" t="inlineStr"/>
    </row>
    <row r="440" ht="15" customHeight="1">
      <c r="A440" t="inlineStr">
        <is>
          <t>A 20259-2025</t>
        </is>
      </c>
      <c r="B440" s="1" t="n">
        <v>45773.344375</v>
      </c>
      <c r="C440" s="1" t="n">
        <v>45901</v>
      </c>
      <c r="D440" t="inlineStr">
        <is>
          <t>NORRBOTTENS LÄN</t>
        </is>
      </c>
      <c r="E440" t="inlineStr">
        <is>
          <t>GÄLLIVARE</t>
        </is>
      </c>
      <c r="F440" t="inlineStr">
        <is>
          <t>SCA</t>
        </is>
      </c>
      <c r="G440" t="n">
        <v>25.2</v>
      </c>
      <c r="H440" t="n">
        <v>0</v>
      </c>
      <c r="I440" t="n">
        <v>0</v>
      </c>
      <c r="J440" t="n">
        <v>0</v>
      </c>
      <c r="K440" t="n">
        <v>0</v>
      </c>
      <c r="L440" t="n">
        <v>0</v>
      </c>
      <c r="M440" t="n">
        <v>0</v>
      </c>
      <c r="N440" t="n">
        <v>0</v>
      </c>
      <c r="O440" t="n">
        <v>0</v>
      </c>
      <c r="P440" t="n">
        <v>0</v>
      </c>
      <c r="Q440" t="n">
        <v>0</v>
      </c>
      <c r="R440" s="2" t="inlineStr"/>
    </row>
    <row r="441" ht="15" customHeight="1">
      <c r="A441" t="inlineStr">
        <is>
          <t>A 4636-2025</t>
        </is>
      </c>
      <c r="B441" s="1" t="n">
        <v>45687.64724537037</v>
      </c>
      <c r="C441" s="1" t="n">
        <v>45901</v>
      </c>
      <c r="D441" t="inlineStr">
        <is>
          <t>NORRBOTTENS LÄN</t>
        </is>
      </c>
      <c r="E441" t="inlineStr">
        <is>
          <t>GÄLLIVARE</t>
        </is>
      </c>
      <c r="G441" t="n">
        <v>1.4</v>
      </c>
      <c r="H441" t="n">
        <v>0</v>
      </c>
      <c r="I441" t="n">
        <v>0</v>
      </c>
      <c r="J441" t="n">
        <v>0</v>
      </c>
      <c r="K441" t="n">
        <v>0</v>
      </c>
      <c r="L441" t="n">
        <v>0</v>
      </c>
      <c r="M441" t="n">
        <v>0</v>
      </c>
      <c r="N441" t="n">
        <v>0</v>
      </c>
      <c r="O441" t="n">
        <v>0</v>
      </c>
      <c r="P441" t="n">
        <v>0</v>
      </c>
      <c r="Q441" t="n">
        <v>0</v>
      </c>
      <c r="R441" s="2" t="inlineStr"/>
    </row>
    <row r="442" ht="15" customHeight="1">
      <c r="A442" t="inlineStr">
        <is>
          <t>A 46271-2023</t>
        </is>
      </c>
      <c r="B442" s="1" t="n">
        <v>45196</v>
      </c>
      <c r="C442" s="1" t="n">
        <v>45901</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14666-2025</t>
        </is>
      </c>
      <c r="B443" s="1" t="n">
        <v>45742</v>
      </c>
      <c r="C443" s="1" t="n">
        <v>45901</v>
      </c>
      <c r="D443" t="inlineStr">
        <is>
          <t>NORRBOTTENS LÄN</t>
        </is>
      </c>
      <c r="E443" t="inlineStr">
        <is>
          <t>GÄLLIVARE</t>
        </is>
      </c>
      <c r="G443" t="n">
        <v>3.7</v>
      </c>
      <c r="H443" t="n">
        <v>0</v>
      </c>
      <c r="I443" t="n">
        <v>0</v>
      </c>
      <c r="J443" t="n">
        <v>0</v>
      </c>
      <c r="K443" t="n">
        <v>0</v>
      </c>
      <c r="L443" t="n">
        <v>0</v>
      </c>
      <c r="M443" t="n">
        <v>0</v>
      </c>
      <c r="N443" t="n">
        <v>0</v>
      </c>
      <c r="O443" t="n">
        <v>0</v>
      </c>
      <c r="P443" t="n">
        <v>0</v>
      </c>
      <c r="Q443" t="n">
        <v>0</v>
      </c>
      <c r="R443" s="2" t="inlineStr"/>
    </row>
    <row r="444" ht="15" customHeight="1">
      <c r="A444" t="inlineStr">
        <is>
          <t>A 55407-2023</t>
        </is>
      </c>
      <c r="B444" s="1" t="n">
        <v>45231</v>
      </c>
      <c r="C444" s="1" t="n">
        <v>45901</v>
      </c>
      <c r="D444" t="inlineStr">
        <is>
          <t>NORRBOTTENS LÄN</t>
        </is>
      </c>
      <c r="E444" t="inlineStr">
        <is>
          <t>GÄLLIVARE</t>
        </is>
      </c>
      <c r="G444" t="n">
        <v>6.3</v>
      </c>
      <c r="H444" t="n">
        <v>0</v>
      </c>
      <c r="I444" t="n">
        <v>0</v>
      </c>
      <c r="J444" t="n">
        <v>0</v>
      </c>
      <c r="K444" t="n">
        <v>0</v>
      </c>
      <c r="L444" t="n">
        <v>0</v>
      </c>
      <c r="M444" t="n">
        <v>0</v>
      </c>
      <c r="N444" t="n">
        <v>0</v>
      </c>
      <c r="O444" t="n">
        <v>0</v>
      </c>
      <c r="P444" t="n">
        <v>0</v>
      </c>
      <c r="Q444" t="n">
        <v>0</v>
      </c>
      <c r="R444" s="2" t="inlineStr"/>
    </row>
    <row r="445" ht="15" customHeight="1">
      <c r="A445" t="inlineStr">
        <is>
          <t>A 6781-2023</t>
        </is>
      </c>
      <c r="B445" s="1" t="n">
        <v>44966</v>
      </c>
      <c r="C445" s="1" t="n">
        <v>45901</v>
      </c>
      <c r="D445" t="inlineStr">
        <is>
          <t>NORRBOTTENS LÄN</t>
        </is>
      </c>
      <c r="E445" t="inlineStr">
        <is>
          <t>GÄLLIVARE</t>
        </is>
      </c>
      <c r="F445" t="inlineStr">
        <is>
          <t>SCA</t>
        </is>
      </c>
      <c r="G445" t="n">
        <v>14.1</v>
      </c>
      <c r="H445" t="n">
        <v>0</v>
      </c>
      <c r="I445" t="n">
        <v>0</v>
      </c>
      <c r="J445" t="n">
        <v>0</v>
      </c>
      <c r="K445" t="n">
        <v>0</v>
      </c>
      <c r="L445" t="n">
        <v>0</v>
      </c>
      <c r="M445" t="n">
        <v>0</v>
      </c>
      <c r="N445" t="n">
        <v>0</v>
      </c>
      <c r="O445" t="n">
        <v>0</v>
      </c>
      <c r="P445" t="n">
        <v>0</v>
      </c>
      <c r="Q445" t="n">
        <v>0</v>
      </c>
      <c r="R445" s="2" t="inlineStr"/>
    </row>
    <row r="446" ht="15" customHeight="1">
      <c r="A446" t="inlineStr">
        <is>
          <t>A 63155-2021</t>
        </is>
      </c>
      <c r="B446" s="1" t="n">
        <v>44505</v>
      </c>
      <c r="C446" s="1" t="n">
        <v>45901</v>
      </c>
      <c r="D446" t="inlineStr">
        <is>
          <t>NORRBOTTENS LÄN</t>
        </is>
      </c>
      <c r="E446" t="inlineStr">
        <is>
          <t>GÄLLIVARE</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291-2021</t>
        </is>
      </c>
      <c r="B447" s="1" t="n">
        <v>44200</v>
      </c>
      <c r="C447" s="1" t="n">
        <v>45901</v>
      </c>
      <c r="D447" t="inlineStr">
        <is>
          <t>NORRBOTTENS LÄN</t>
        </is>
      </c>
      <c r="E447" t="inlineStr">
        <is>
          <t>GÄLLIVARE</t>
        </is>
      </c>
      <c r="F447" t="inlineStr">
        <is>
          <t>Allmännings- och besparingsskogar</t>
        </is>
      </c>
      <c r="G447" t="n">
        <v>2.6</v>
      </c>
      <c r="H447" t="n">
        <v>0</v>
      </c>
      <c r="I447" t="n">
        <v>0</v>
      </c>
      <c r="J447" t="n">
        <v>0</v>
      </c>
      <c r="K447" t="n">
        <v>0</v>
      </c>
      <c r="L447" t="n">
        <v>0</v>
      </c>
      <c r="M447" t="n">
        <v>0</v>
      </c>
      <c r="N447" t="n">
        <v>0</v>
      </c>
      <c r="O447" t="n">
        <v>0</v>
      </c>
      <c r="P447" t="n">
        <v>0</v>
      </c>
      <c r="Q447" t="n">
        <v>0</v>
      </c>
      <c r="R447" s="2" t="inlineStr"/>
    </row>
    <row r="448" ht="15" customHeight="1">
      <c r="A448" t="inlineStr">
        <is>
          <t>A 6271-2024</t>
        </is>
      </c>
      <c r="B448" s="1" t="n">
        <v>45337</v>
      </c>
      <c r="C448" s="1" t="n">
        <v>45901</v>
      </c>
      <c r="D448" t="inlineStr">
        <is>
          <t>NORRBOTTENS LÄN</t>
        </is>
      </c>
      <c r="E448" t="inlineStr">
        <is>
          <t>GÄLLIVARE</t>
        </is>
      </c>
      <c r="G448" t="n">
        <v>14.7</v>
      </c>
      <c r="H448" t="n">
        <v>0</v>
      </c>
      <c r="I448" t="n">
        <v>0</v>
      </c>
      <c r="J448" t="n">
        <v>0</v>
      </c>
      <c r="K448" t="n">
        <v>0</v>
      </c>
      <c r="L448" t="n">
        <v>0</v>
      </c>
      <c r="M448" t="n">
        <v>0</v>
      </c>
      <c r="N448" t="n">
        <v>0</v>
      </c>
      <c r="O448" t="n">
        <v>0</v>
      </c>
      <c r="P448" t="n">
        <v>0</v>
      </c>
      <c r="Q448" t="n">
        <v>0</v>
      </c>
      <c r="R448" s="2" t="inlineStr"/>
    </row>
    <row r="449" ht="15" customHeight="1">
      <c r="A449" t="inlineStr">
        <is>
          <t>A 6272-2024</t>
        </is>
      </c>
      <c r="B449" s="1" t="n">
        <v>45337</v>
      </c>
      <c r="C449" s="1" t="n">
        <v>45901</v>
      </c>
      <c r="D449" t="inlineStr">
        <is>
          <t>NORRBOTTENS LÄN</t>
        </is>
      </c>
      <c r="E449" t="inlineStr">
        <is>
          <t>GÄLLIVARE</t>
        </is>
      </c>
      <c r="G449" t="n">
        <v>5.3</v>
      </c>
      <c r="H449" t="n">
        <v>0</v>
      </c>
      <c r="I449" t="n">
        <v>0</v>
      </c>
      <c r="J449" t="n">
        <v>0</v>
      </c>
      <c r="K449" t="n">
        <v>0</v>
      </c>
      <c r="L449" t="n">
        <v>0</v>
      </c>
      <c r="M449" t="n">
        <v>0</v>
      </c>
      <c r="N449" t="n">
        <v>0</v>
      </c>
      <c r="O449" t="n">
        <v>0</v>
      </c>
      <c r="P449" t="n">
        <v>0</v>
      </c>
      <c r="Q449" t="n">
        <v>0</v>
      </c>
      <c r="R449" s="2" t="inlineStr"/>
    </row>
    <row r="450" ht="15" customHeight="1">
      <c r="A450" t="inlineStr">
        <is>
          <t>A 53785-2022</t>
        </is>
      </c>
      <c r="B450" s="1" t="n">
        <v>44875</v>
      </c>
      <c r="C450" s="1" t="n">
        <v>45901</v>
      </c>
      <c r="D450" t="inlineStr">
        <is>
          <t>NORRBOTTENS LÄN</t>
        </is>
      </c>
      <c r="E450" t="inlineStr">
        <is>
          <t>GÄLLIVARE</t>
        </is>
      </c>
      <c r="G450" t="n">
        <v>3</v>
      </c>
      <c r="H450" t="n">
        <v>0</v>
      </c>
      <c r="I450" t="n">
        <v>0</v>
      </c>
      <c r="J450" t="n">
        <v>0</v>
      </c>
      <c r="K450" t="n">
        <v>0</v>
      </c>
      <c r="L450" t="n">
        <v>0</v>
      </c>
      <c r="M450" t="n">
        <v>0</v>
      </c>
      <c r="N450" t="n">
        <v>0</v>
      </c>
      <c r="O450" t="n">
        <v>0</v>
      </c>
      <c r="P450" t="n">
        <v>0</v>
      </c>
      <c r="Q450" t="n">
        <v>0</v>
      </c>
      <c r="R450" s="2" t="inlineStr"/>
    </row>
    <row r="451" ht="15" customHeight="1">
      <c r="A451" t="inlineStr">
        <is>
          <t>A 4135-2022</t>
        </is>
      </c>
      <c r="B451" s="1" t="n">
        <v>44588</v>
      </c>
      <c r="C451" s="1" t="n">
        <v>45901</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10652-2022</t>
        </is>
      </c>
      <c r="B452" s="1" t="n">
        <v>44624</v>
      </c>
      <c r="C452" s="1" t="n">
        <v>45901</v>
      </c>
      <c r="D452" t="inlineStr">
        <is>
          <t>NORRBOTTENS LÄN</t>
        </is>
      </c>
      <c r="E452" t="inlineStr">
        <is>
          <t>GÄLLIVARE</t>
        </is>
      </c>
      <c r="G452" t="n">
        <v>7.9</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45901</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45901</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42612-2023</t>
        </is>
      </c>
      <c r="B455" s="1" t="n">
        <v>45176</v>
      </c>
      <c r="C455" s="1" t="n">
        <v>45901</v>
      </c>
      <c r="D455" t="inlineStr">
        <is>
          <t>NORRBOTTENS LÄN</t>
        </is>
      </c>
      <c r="E455" t="inlineStr">
        <is>
          <t>GÄLLIVARE</t>
        </is>
      </c>
      <c r="G455" t="n">
        <v>3.9</v>
      </c>
      <c r="H455" t="n">
        <v>0</v>
      </c>
      <c r="I455" t="n">
        <v>0</v>
      </c>
      <c r="J455" t="n">
        <v>0</v>
      </c>
      <c r="K455" t="n">
        <v>0</v>
      </c>
      <c r="L455" t="n">
        <v>0</v>
      </c>
      <c r="M455" t="n">
        <v>0</v>
      </c>
      <c r="N455" t="n">
        <v>0</v>
      </c>
      <c r="O455" t="n">
        <v>0</v>
      </c>
      <c r="P455" t="n">
        <v>0</v>
      </c>
      <c r="Q455" t="n">
        <v>0</v>
      </c>
      <c r="R455" s="2" t="inlineStr"/>
    </row>
    <row r="456" ht="15" customHeight="1">
      <c r="A456" t="inlineStr">
        <is>
          <t>A 55413-2024</t>
        </is>
      </c>
      <c r="B456" s="1" t="n">
        <v>45622</v>
      </c>
      <c r="C456" s="1" t="n">
        <v>45901</v>
      </c>
      <c r="D456" t="inlineStr">
        <is>
          <t>NORRBOTTENS LÄN</t>
        </is>
      </c>
      <c r="E456" t="inlineStr">
        <is>
          <t>GÄLLIVARE</t>
        </is>
      </c>
      <c r="F456" t="inlineStr">
        <is>
          <t>Sveaskog</t>
        </is>
      </c>
      <c r="G456" t="n">
        <v>40.9</v>
      </c>
      <c r="H456" t="n">
        <v>0</v>
      </c>
      <c r="I456" t="n">
        <v>0</v>
      </c>
      <c r="J456" t="n">
        <v>0</v>
      </c>
      <c r="K456" t="n">
        <v>0</v>
      </c>
      <c r="L456" t="n">
        <v>0</v>
      </c>
      <c r="M456" t="n">
        <v>0</v>
      </c>
      <c r="N456" t="n">
        <v>0</v>
      </c>
      <c r="O456" t="n">
        <v>0</v>
      </c>
      <c r="P456" t="n">
        <v>0</v>
      </c>
      <c r="Q456" t="n">
        <v>0</v>
      </c>
      <c r="R456" s="2" t="inlineStr"/>
    </row>
    <row r="457" ht="15" customHeight="1">
      <c r="A457" t="inlineStr">
        <is>
          <t>A 41653-2023</t>
        </is>
      </c>
      <c r="B457" s="1" t="n">
        <v>45175.95738425926</v>
      </c>
      <c r="C457" s="1" t="n">
        <v>45901</v>
      </c>
      <c r="D457" t="inlineStr">
        <is>
          <t>NORRBOTTENS LÄN</t>
        </is>
      </c>
      <c r="E457" t="inlineStr">
        <is>
          <t>GÄLLIVARE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16068-2023</t>
        </is>
      </c>
      <c r="B458" s="1" t="n">
        <v>45027</v>
      </c>
      <c r="C458" s="1" t="n">
        <v>45901</v>
      </c>
      <c r="D458" t="inlineStr">
        <is>
          <t>NORRBOTTENS LÄN</t>
        </is>
      </c>
      <c r="E458" t="inlineStr">
        <is>
          <t>GÄLLIVARE</t>
        </is>
      </c>
      <c r="G458" t="n">
        <v>4.1</v>
      </c>
      <c r="H458" t="n">
        <v>0</v>
      </c>
      <c r="I458" t="n">
        <v>0</v>
      </c>
      <c r="J458" t="n">
        <v>0</v>
      </c>
      <c r="K458" t="n">
        <v>0</v>
      </c>
      <c r="L458" t="n">
        <v>0</v>
      </c>
      <c r="M458" t="n">
        <v>0</v>
      </c>
      <c r="N458" t="n">
        <v>0</v>
      </c>
      <c r="O458" t="n">
        <v>0</v>
      </c>
      <c r="P458" t="n">
        <v>0</v>
      </c>
      <c r="Q458" t="n">
        <v>0</v>
      </c>
      <c r="R458" s="2" t="inlineStr"/>
    </row>
    <row r="459" ht="15" customHeight="1">
      <c r="A459" t="inlineStr">
        <is>
          <t>A 7649-2025</t>
        </is>
      </c>
      <c r="B459" s="1" t="n">
        <v>45705</v>
      </c>
      <c r="C459" s="1" t="n">
        <v>45901</v>
      </c>
      <c r="D459" t="inlineStr">
        <is>
          <t>NORRBOTTENS LÄN</t>
        </is>
      </c>
      <c r="E459" t="inlineStr">
        <is>
          <t>GÄLLIVARE</t>
        </is>
      </c>
      <c r="G459" t="n">
        <v>0.9</v>
      </c>
      <c r="H459" t="n">
        <v>0</v>
      </c>
      <c r="I459" t="n">
        <v>0</v>
      </c>
      <c r="J459" t="n">
        <v>0</v>
      </c>
      <c r="K459" t="n">
        <v>0</v>
      </c>
      <c r="L459" t="n">
        <v>0</v>
      </c>
      <c r="M459" t="n">
        <v>0</v>
      </c>
      <c r="N459" t="n">
        <v>0</v>
      </c>
      <c r="O459" t="n">
        <v>0</v>
      </c>
      <c r="P459" t="n">
        <v>0</v>
      </c>
      <c r="Q459" t="n">
        <v>0</v>
      </c>
      <c r="R459" s="2" t="inlineStr"/>
    </row>
    <row r="460" ht="15" customHeight="1">
      <c r="A460" t="inlineStr">
        <is>
          <t>A 41927-2024</t>
        </is>
      </c>
      <c r="B460" s="1" t="n">
        <v>45561.55981481481</v>
      </c>
      <c r="C460" s="1" t="n">
        <v>45901</v>
      </c>
      <c r="D460" t="inlineStr">
        <is>
          <t>NORRBOTTENS LÄN</t>
        </is>
      </c>
      <c r="E460" t="inlineStr">
        <is>
          <t>GÄLLIVARE</t>
        </is>
      </c>
      <c r="G460" t="n">
        <v>11.2</v>
      </c>
      <c r="H460" t="n">
        <v>0</v>
      </c>
      <c r="I460" t="n">
        <v>0</v>
      </c>
      <c r="J460" t="n">
        <v>0</v>
      </c>
      <c r="K460" t="n">
        <v>0</v>
      </c>
      <c r="L460" t="n">
        <v>0</v>
      </c>
      <c r="M460" t="n">
        <v>0</v>
      </c>
      <c r="N460" t="n">
        <v>0</v>
      </c>
      <c r="O460" t="n">
        <v>0</v>
      </c>
      <c r="P460" t="n">
        <v>0</v>
      </c>
      <c r="Q460" t="n">
        <v>0</v>
      </c>
      <c r="R460" s="2" t="inlineStr"/>
    </row>
    <row r="461" ht="15" customHeight="1">
      <c r="A461" t="inlineStr">
        <is>
          <t>A 2538-2021</t>
        </is>
      </c>
      <c r="B461" s="1" t="n">
        <v>44214</v>
      </c>
      <c r="C461" s="1" t="n">
        <v>45901</v>
      </c>
      <c r="D461" t="inlineStr">
        <is>
          <t>NORRBOTTENS LÄN</t>
        </is>
      </c>
      <c r="E461" t="inlineStr">
        <is>
          <t>GÄLLIVARE</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6459-2023</t>
        </is>
      </c>
      <c r="B462" s="1" t="n">
        <v>44965</v>
      </c>
      <c r="C462" s="1" t="n">
        <v>45901</v>
      </c>
      <c r="D462" t="inlineStr">
        <is>
          <t>NORRBOTTENS LÄN</t>
        </is>
      </c>
      <c r="E462" t="inlineStr">
        <is>
          <t>GÄLLIVARE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8516-2025</t>
        </is>
      </c>
      <c r="B463" s="1" t="n">
        <v>45709</v>
      </c>
      <c r="C463" s="1" t="n">
        <v>45901</v>
      </c>
      <c r="D463" t="inlineStr">
        <is>
          <t>NORRBOTTENS LÄN</t>
        </is>
      </c>
      <c r="E463" t="inlineStr">
        <is>
          <t>GÄLLIVARE</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2548-2021</t>
        </is>
      </c>
      <c r="B464" s="1" t="n">
        <v>44214</v>
      </c>
      <c r="C464" s="1" t="n">
        <v>45901</v>
      </c>
      <c r="D464" t="inlineStr">
        <is>
          <t>NORRBOTTENS LÄN</t>
        </is>
      </c>
      <c r="E464" t="inlineStr">
        <is>
          <t>GÄLLIVARE</t>
        </is>
      </c>
      <c r="G464" t="n">
        <v>6.6</v>
      </c>
      <c r="H464" t="n">
        <v>0</v>
      </c>
      <c r="I464" t="n">
        <v>0</v>
      </c>
      <c r="J464" t="n">
        <v>0</v>
      </c>
      <c r="K464" t="n">
        <v>0</v>
      </c>
      <c r="L464" t="n">
        <v>0</v>
      </c>
      <c r="M464" t="n">
        <v>0</v>
      </c>
      <c r="N464" t="n">
        <v>0</v>
      </c>
      <c r="O464" t="n">
        <v>0</v>
      </c>
      <c r="P464" t="n">
        <v>0</v>
      </c>
      <c r="Q464" t="n">
        <v>0</v>
      </c>
      <c r="R464" s="2" t="inlineStr"/>
    </row>
    <row r="465" ht="15" customHeight="1">
      <c r="A465" t="inlineStr">
        <is>
          <t>A 51570-2024</t>
        </is>
      </c>
      <c r="B465" s="1" t="n">
        <v>45604</v>
      </c>
      <c r="C465" s="1" t="n">
        <v>45901</v>
      </c>
      <c r="D465" t="inlineStr">
        <is>
          <t>NORRBOTTENS LÄN</t>
        </is>
      </c>
      <c r="E465" t="inlineStr">
        <is>
          <t>GÄLLIVARE</t>
        </is>
      </c>
      <c r="G465" t="n">
        <v>6.1</v>
      </c>
      <c r="H465" t="n">
        <v>0</v>
      </c>
      <c r="I465" t="n">
        <v>0</v>
      </c>
      <c r="J465" t="n">
        <v>0</v>
      </c>
      <c r="K465" t="n">
        <v>0</v>
      </c>
      <c r="L465" t="n">
        <v>0</v>
      </c>
      <c r="M465" t="n">
        <v>0</v>
      </c>
      <c r="N465" t="n">
        <v>0</v>
      </c>
      <c r="O465" t="n">
        <v>0</v>
      </c>
      <c r="P465" t="n">
        <v>0</v>
      </c>
      <c r="Q465" t="n">
        <v>0</v>
      </c>
      <c r="R465" s="2" t="inlineStr"/>
    </row>
    <row r="466" ht="15" customHeight="1">
      <c r="A466" t="inlineStr">
        <is>
          <t>A 55044-2023</t>
        </is>
      </c>
      <c r="B466" s="1" t="n">
        <v>45237</v>
      </c>
      <c r="C466" s="1" t="n">
        <v>45901</v>
      </c>
      <c r="D466" t="inlineStr">
        <is>
          <t>NORRBOTTENS LÄN</t>
        </is>
      </c>
      <c r="E466" t="inlineStr">
        <is>
          <t>GÄLLIVARE</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55050-2023</t>
        </is>
      </c>
      <c r="B467" s="1" t="n">
        <v>45237</v>
      </c>
      <c r="C467" s="1" t="n">
        <v>45901</v>
      </c>
      <c r="D467" t="inlineStr">
        <is>
          <t>NORRBOTTENS LÄN</t>
        </is>
      </c>
      <c r="E467" t="inlineStr">
        <is>
          <t>GÄLLIVARE</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61476-2024</t>
        </is>
      </c>
      <c r="B468" s="1" t="n">
        <v>45646</v>
      </c>
      <c r="C468" s="1" t="n">
        <v>45901</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55644-2023</t>
        </is>
      </c>
      <c r="B469" s="1" t="n">
        <v>45238</v>
      </c>
      <c r="C469" s="1" t="n">
        <v>45901</v>
      </c>
      <c r="D469" t="inlineStr">
        <is>
          <t>NORRBOTTENS LÄN</t>
        </is>
      </c>
      <c r="E469" t="inlineStr">
        <is>
          <t>GÄLLIVARE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54725-2023</t>
        </is>
      </c>
      <c r="B470" s="1" t="n">
        <v>45229</v>
      </c>
      <c r="C470" s="1" t="n">
        <v>45901</v>
      </c>
      <c r="D470" t="inlineStr">
        <is>
          <t>NORRBOTTENS LÄN</t>
        </is>
      </c>
      <c r="E470" t="inlineStr">
        <is>
          <t>GÄLLIVARE</t>
        </is>
      </c>
      <c r="G470" t="n">
        <v>2.5</v>
      </c>
      <c r="H470" t="n">
        <v>0</v>
      </c>
      <c r="I470" t="n">
        <v>0</v>
      </c>
      <c r="J470" t="n">
        <v>0</v>
      </c>
      <c r="K470" t="n">
        <v>0</v>
      </c>
      <c r="L470" t="n">
        <v>0</v>
      </c>
      <c r="M470" t="n">
        <v>0</v>
      </c>
      <c r="N470" t="n">
        <v>0</v>
      </c>
      <c r="O470" t="n">
        <v>0</v>
      </c>
      <c r="P470" t="n">
        <v>0</v>
      </c>
      <c r="Q470" t="n">
        <v>0</v>
      </c>
      <c r="R470" s="2" t="inlineStr"/>
    </row>
    <row r="471" ht="15" customHeight="1">
      <c r="A471" t="inlineStr">
        <is>
          <t>A 24591-2024</t>
        </is>
      </c>
      <c r="B471" s="1" t="n">
        <v>45460</v>
      </c>
      <c r="C471" s="1" t="n">
        <v>45901</v>
      </c>
      <c r="D471" t="inlineStr">
        <is>
          <t>NORRBOTTENS LÄN</t>
        </is>
      </c>
      <c r="E471" t="inlineStr">
        <is>
          <t>GÄLLIVARE</t>
        </is>
      </c>
      <c r="F471" t="inlineStr">
        <is>
          <t>Allmännings- och besparingsskogar</t>
        </is>
      </c>
      <c r="G471" t="n">
        <v>25.5</v>
      </c>
      <c r="H471" t="n">
        <v>0</v>
      </c>
      <c r="I471" t="n">
        <v>0</v>
      </c>
      <c r="J471" t="n">
        <v>0</v>
      </c>
      <c r="K471" t="n">
        <v>0</v>
      </c>
      <c r="L471" t="n">
        <v>0</v>
      </c>
      <c r="M471" t="n">
        <v>0</v>
      </c>
      <c r="N471" t="n">
        <v>0</v>
      </c>
      <c r="O471" t="n">
        <v>0</v>
      </c>
      <c r="P471" t="n">
        <v>0</v>
      </c>
      <c r="Q471" t="n">
        <v>0</v>
      </c>
      <c r="R471" s="2" t="inlineStr"/>
    </row>
    <row r="472" ht="15" customHeight="1">
      <c r="A472" t="inlineStr">
        <is>
          <t>A 60584-2023</t>
        </is>
      </c>
      <c r="B472" s="1" t="n">
        <v>45259</v>
      </c>
      <c r="C472" s="1" t="n">
        <v>45901</v>
      </c>
      <c r="D472" t="inlineStr">
        <is>
          <t>NORRBOTTENS LÄN</t>
        </is>
      </c>
      <c r="E472" t="inlineStr">
        <is>
          <t>GÄLLIVARE</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47862-2024</t>
        </is>
      </c>
      <c r="B473" s="1" t="n">
        <v>45588</v>
      </c>
      <c r="C473" s="1" t="n">
        <v>45901</v>
      </c>
      <c r="D473" t="inlineStr">
        <is>
          <t>NORRBOTTENS LÄN</t>
        </is>
      </c>
      <c r="E473" t="inlineStr">
        <is>
          <t>GÄLLIVARE</t>
        </is>
      </c>
      <c r="F473" t="inlineStr">
        <is>
          <t>Allmännings- och besparingsskogar</t>
        </is>
      </c>
      <c r="G473" t="n">
        <v>5.8</v>
      </c>
      <c r="H473" t="n">
        <v>0</v>
      </c>
      <c r="I473" t="n">
        <v>0</v>
      </c>
      <c r="J473" t="n">
        <v>0</v>
      </c>
      <c r="K473" t="n">
        <v>0</v>
      </c>
      <c r="L473" t="n">
        <v>0</v>
      </c>
      <c r="M473" t="n">
        <v>0</v>
      </c>
      <c r="N473" t="n">
        <v>0</v>
      </c>
      <c r="O473" t="n">
        <v>0</v>
      </c>
      <c r="P473" t="n">
        <v>0</v>
      </c>
      <c r="Q473" t="n">
        <v>0</v>
      </c>
      <c r="R473" s="2" t="inlineStr"/>
    </row>
    <row r="474" ht="15" customHeight="1">
      <c r="A474" t="inlineStr">
        <is>
          <t>A 36039-2023</t>
        </is>
      </c>
      <c r="B474" s="1" t="n">
        <v>45148</v>
      </c>
      <c r="C474" s="1" t="n">
        <v>45901</v>
      </c>
      <c r="D474" t="inlineStr">
        <is>
          <t>NORRBOTTENS LÄN</t>
        </is>
      </c>
      <c r="E474" t="inlineStr">
        <is>
          <t>GÄLLIVARE</t>
        </is>
      </c>
      <c r="F474" t="inlineStr">
        <is>
          <t>Allmännings- och besparingsskogar</t>
        </is>
      </c>
      <c r="G474" t="n">
        <v>24.3</v>
      </c>
      <c r="H474" t="n">
        <v>0</v>
      </c>
      <c r="I474" t="n">
        <v>0</v>
      </c>
      <c r="J474" t="n">
        <v>0</v>
      </c>
      <c r="K474" t="n">
        <v>0</v>
      </c>
      <c r="L474" t="n">
        <v>0</v>
      </c>
      <c r="M474" t="n">
        <v>0</v>
      </c>
      <c r="N474" t="n">
        <v>0</v>
      </c>
      <c r="O474" t="n">
        <v>0</v>
      </c>
      <c r="P474" t="n">
        <v>0</v>
      </c>
      <c r="Q474" t="n">
        <v>0</v>
      </c>
      <c r="R474" s="2" t="inlineStr"/>
    </row>
    <row r="475" ht="15" customHeight="1">
      <c r="A475" t="inlineStr">
        <is>
          <t>A 5708-2023</t>
        </is>
      </c>
      <c r="B475" s="1" t="n">
        <v>44960</v>
      </c>
      <c r="C475" s="1" t="n">
        <v>45901</v>
      </c>
      <c r="D475" t="inlineStr">
        <is>
          <t>NORRBOTTENS LÄN</t>
        </is>
      </c>
      <c r="E475" t="inlineStr">
        <is>
          <t>GÄLLIVARE</t>
        </is>
      </c>
      <c r="F475" t="inlineStr">
        <is>
          <t>SCA</t>
        </is>
      </c>
      <c r="G475" t="n">
        <v>15.3</v>
      </c>
      <c r="H475" t="n">
        <v>0</v>
      </c>
      <c r="I475" t="n">
        <v>0</v>
      </c>
      <c r="J475" t="n">
        <v>0</v>
      </c>
      <c r="K475" t="n">
        <v>0</v>
      </c>
      <c r="L475" t="n">
        <v>0</v>
      </c>
      <c r="M475" t="n">
        <v>0</v>
      </c>
      <c r="N475" t="n">
        <v>0</v>
      </c>
      <c r="O475" t="n">
        <v>0</v>
      </c>
      <c r="P475" t="n">
        <v>0</v>
      </c>
      <c r="Q475" t="n">
        <v>0</v>
      </c>
      <c r="R475" s="2" t="inlineStr"/>
    </row>
    <row r="476" ht="15" customHeight="1">
      <c r="A476" t="inlineStr">
        <is>
          <t>A 4238-2023</t>
        </is>
      </c>
      <c r="B476" s="1" t="n">
        <v>44953</v>
      </c>
      <c r="C476" s="1" t="n">
        <v>45901</v>
      </c>
      <c r="D476" t="inlineStr">
        <is>
          <t>NORRBOTTENS LÄN</t>
        </is>
      </c>
      <c r="E476" t="inlineStr">
        <is>
          <t>GÄLLIVARE</t>
        </is>
      </c>
      <c r="G476" t="n">
        <v>5.1</v>
      </c>
      <c r="H476" t="n">
        <v>0</v>
      </c>
      <c r="I476" t="n">
        <v>0</v>
      </c>
      <c r="J476" t="n">
        <v>0</v>
      </c>
      <c r="K476" t="n">
        <v>0</v>
      </c>
      <c r="L476" t="n">
        <v>0</v>
      </c>
      <c r="M476" t="n">
        <v>0</v>
      </c>
      <c r="N476" t="n">
        <v>0</v>
      </c>
      <c r="O476" t="n">
        <v>0</v>
      </c>
      <c r="P476" t="n">
        <v>0</v>
      </c>
      <c r="Q476" t="n">
        <v>0</v>
      </c>
      <c r="R476" s="2" t="inlineStr"/>
    </row>
    <row r="477" ht="15" customHeight="1">
      <c r="A477" t="inlineStr">
        <is>
          <t>A 41870-2024</t>
        </is>
      </c>
      <c r="B477" s="1" t="n">
        <v>45561</v>
      </c>
      <c r="C477" s="1" t="n">
        <v>45901</v>
      </c>
      <c r="D477" t="inlineStr">
        <is>
          <t>NORRBOTTENS LÄN</t>
        </is>
      </c>
      <c r="E477" t="inlineStr">
        <is>
          <t>GÄLLIVARE</t>
        </is>
      </c>
      <c r="G477" t="n">
        <v>1.8</v>
      </c>
      <c r="H477" t="n">
        <v>0</v>
      </c>
      <c r="I477" t="n">
        <v>0</v>
      </c>
      <c r="J477" t="n">
        <v>0</v>
      </c>
      <c r="K477" t="n">
        <v>0</v>
      </c>
      <c r="L477" t="n">
        <v>0</v>
      </c>
      <c r="M477" t="n">
        <v>0</v>
      </c>
      <c r="N477" t="n">
        <v>0</v>
      </c>
      <c r="O477" t="n">
        <v>0</v>
      </c>
      <c r="P477" t="n">
        <v>0</v>
      </c>
      <c r="Q477" t="n">
        <v>0</v>
      </c>
      <c r="R477" s="2" t="inlineStr"/>
    </row>
    <row r="478" ht="15" customHeight="1">
      <c r="A478" t="inlineStr">
        <is>
          <t>A 44326-2024</t>
        </is>
      </c>
      <c r="B478" s="1" t="n">
        <v>45573.59427083333</v>
      </c>
      <c r="C478" s="1" t="n">
        <v>45901</v>
      </c>
      <c r="D478" t="inlineStr">
        <is>
          <t>NORRBOTTENS LÄN</t>
        </is>
      </c>
      <c r="E478" t="inlineStr">
        <is>
          <t>GÄLLIVARE</t>
        </is>
      </c>
      <c r="G478" t="n">
        <v>1.7</v>
      </c>
      <c r="H478" t="n">
        <v>0</v>
      </c>
      <c r="I478" t="n">
        <v>0</v>
      </c>
      <c r="J478" t="n">
        <v>0</v>
      </c>
      <c r="K478" t="n">
        <v>0</v>
      </c>
      <c r="L478" t="n">
        <v>0</v>
      </c>
      <c r="M478" t="n">
        <v>0</v>
      </c>
      <c r="N478" t="n">
        <v>0</v>
      </c>
      <c r="O478" t="n">
        <v>0</v>
      </c>
      <c r="P478" t="n">
        <v>0</v>
      </c>
      <c r="Q478" t="n">
        <v>0</v>
      </c>
      <c r="R478" s="2" t="inlineStr"/>
    </row>
    <row r="479" ht="15" customHeight="1">
      <c r="A479" t="inlineStr">
        <is>
          <t>A 7693-2022</t>
        </is>
      </c>
      <c r="B479" s="1" t="n">
        <v>44607</v>
      </c>
      <c r="C479" s="1" t="n">
        <v>45901</v>
      </c>
      <c r="D479" t="inlineStr">
        <is>
          <t>NORRBOTTENS LÄN</t>
        </is>
      </c>
      <c r="E479" t="inlineStr">
        <is>
          <t>GÄLLIVARE</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44981-2023</t>
        </is>
      </c>
      <c r="B480" s="1" t="n">
        <v>45190.95791666667</v>
      </c>
      <c r="C480" s="1" t="n">
        <v>45901</v>
      </c>
      <c r="D480" t="inlineStr">
        <is>
          <t>NORRBOTTENS LÄN</t>
        </is>
      </c>
      <c r="E480" t="inlineStr">
        <is>
          <t>GÄLLIVARE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25503-2024</t>
        </is>
      </c>
      <c r="B481" s="1" t="n">
        <v>45463.48306712963</v>
      </c>
      <c r="C481" s="1" t="n">
        <v>45901</v>
      </c>
      <c r="D481" t="inlineStr">
        <is>
          <t>NORRBOTTENS LÄN</t>
        </is>
      </c>
      <c r="E481" t="inlineStr">
        <is>
          <t>GÄLLIVARE</t>
        </is>
      </c>
      <c r="G481" t="n">
        <v>3.2</v>
      </c>
      <c r="H481" t="n">
        <v>0</v>
      </c>
      <c r="I481" t="n">
        <v>0</v>
      </c>
      <c r="J481" t="n">
        <v>0</v>
      </c>
      <c r="K481" t="n">
        <v>0</v>
      </c>
      <c r="L481" t="n">
        <v>0</v>
      </c>
      <c r="M481" t="n">
        <v>0</v>
      </c>
      <c r="N481" t="n">
        <v>0</v>
      </c>
      <c r="O481" t="n">
        <v>0</v>
      </c>
      <c r="P481" t="n">
        <v>0</v>
      </c>
      <c r="Q481" t="n">
        <v>0</v>
      </c>
      <c r="R481" s="2" t="inlineStr"/>
    </row>
    <row r="482" ht="15" customHeight="1">
      <c r="A482" t="inlineStr">
        <is>
          <t>A 54281-2024</t>
        </is>
      </c>
      <c r="B482" s="1" t="n">
        <v>45616</v>
      </c>
      <c r="C482" s="1" t="n">
        <v>45901</v>
      </c>
      <c r="D482" t="inlineStr">
        <is>
          <t>NORRBOTTENS LÄN</t>
        </is>
      </c>
      <c r="E482" t="inlineStr">
        <is>
          <t>GÄLLIVARE</t>
        </is>
      </c>
      <c r="G482" t="n">
        <v>0.3</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44942.46430555556</v>
      </c>
      <c r="C483" s="1" t="n">
        <v>45901</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45110.31878472222</v>
      </c>
      <c r="C484" s="1" t="n">
        <v>45901</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46056-2023</t>
        </is>
      </c>
      <c r="B485" s="1" t="n">
        <v>45196</v>
      </c>
      <c r="C485" s="1" t="n">
        <v>45901</v>
      </c>
      <c r="D485" t="inlineStr">
        <is>
          <t>NORRBOTTENS LÄN</t>
        </is>
      </c>
      <c r="E485" t="inlineStr">
        <is>
          <t>GÄLLIVARE</t>
        </is>
      </c>
      <c r="G485" t="n">
        <v>3.9</v>
      </c>
      <c r="H485" t="n">
        <v>0</v>
      </c>
      <c r="I485" t="n">
        <v>0</v>
      </c>
      <c r="J485" t="n">
        <v>0</v>
      </c>
      <c r="K485" t="n">
        <v>0</v>
      </c>
      <c r="L485" t="n">
        <v>0</v>
      </c>
      <c r="M485" t="n">
        <v>0</v>
      </c>
      <c r="N485" t="n">
        <v>0</v>
      </c>
      <c r="O485" t="n">
        <v>0</v>
      </c>
      <c r="P485" t="n">
        <v>0</v>
      </c>
      <c r="Q485" t="n">
        <v>0</v>
      </c>
      <c r="R485" s="2" t="inlineStr"/>
    </row>
    <row r="486" ht="15" customHeight="1">
      <c r="A486" t="inlineStr">
        <is>
          <t>A 49873-2023</t>
        </is>
      </c>
      <c r="B486" s="1" t="n">
        <v>45212</v>
      </c>
      <c r="C486" s="1" t="n">
        <v>45901</v>
      </c>
      <c r="D486" t="inlineStr">
        <is>
          <t>NORRBOTTENS LÄN</t>
        </is>
      </c>
      <c r="E486" t="inlineStr">
        <is>
          <t>GÄLLIVARE</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59697-2024</t>
        </is>
      </c>
      <c r="B487" s="1" t="n">
        <v>45639</v>
      </c>
      <c r="C487" s="1" t="n">
        <v>45901</v>
      </c>
      <c r="D487" t="inlineStr">
        <is>
          <t>NORRBOTTENS LÄN</t>
        </is>
      </c>
      <c r="E487" t="inlineStr">
        <is>
          <t>GÄLLIVARE</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64237-2023</t>
        </is>
      </c>
      <c r="B488" s="1" t="n">
        <v>45279.92658564815</v>
      </c>
      <c r="C488" s="1" t="n">
        <v>45901</v>
      </c>
      <c r="D488" t="inlineStr">
        <is>
          <t>NORRBOTTENS LÄN</t>
        </is>
      </c>
      <c r="E488" t="inlineStr">
        <is>
          <t>GÄLLIVARE</t>
        </is>
      </c>
      <c r="G488" t="n">
        <v>3.1</v>
      </c>
      <c r="H488" t="n">
        <v>0</v>
      </c>
      <c r="I488" t="n">
        <v>0</v>
      </c>
      <c r="J488" t="n">
        <v>0</v>
      </c>
      <c r="K488" t="n">
        <v>0</v>
      </c>
      <c r="L488" t="n">
        <v>0</v>
      </c>
      <c r="M488" t="n">
        <v>0</v>
      </c>
      <c r="N488" t="n">
        <v>0</v>
      </c>
      <c r="O488" t="n">
        <v>0</v>
      </c>
      <c r="P488" t="n">
        <v>0</v>
      </c>
      <c r="Q488" t="n">
        <v>0</v>
      </c>
      <c r="R488" s="2" t="inlineStr"/>
    </row>
    <row r="489" ht="15" customHeight="1">
      <c r="A489" t="inlineStr">
        <is>
          <t>A 4390-2025</t>
        </is>
      </c>
      <c r="B489" s="1" t="n">
        <v>45686.41289351852</v>
      </c>
      <c r="C489" s="1" t="n">
        <v>45901</v>
      </c>
      <c r="D489" t="inlineStr">
        <is>
          <t>NORRBOTTENS LÄN</t>
        </is>
      </c>
      <c r="E489" t="inlineStr">
        <is>
          <t>GÄLLIVARE</t>
        </is>
      </c>
      <c r="F489" t="inlineStr">
        <is>
          <t>Sveaskog</t>
        </is>
      </c>
      <c r="G489" t="n">
        <v>12.7</v>
      </c>
      <c r="H489" t="n">
        <v>0</v>
      </c>
      <c r="I489" t="n">
        <v>0</v>
      </c>
      <c r="J489" t="n">
        <v>0</v>
      </c>
      <c r="K489" t="n">
        <v>0</v>
      </c>
      <c r="L489" t="n">
        <v>0</v>
      </c>
      <c r="M489" t="n">
        <v>0</v>
      </c>
      <c r="N489" t="n">
        <v>0</v>
      </c>
      <c r="O489" t="n">
        <v>0</v>
      </c>
      <c r="P489" t="n">
        <v>0</v>
      </c>
      <c r="Q489" t="n">
        <v>0</v>
      </c>
      <c r="R489" s="2" t="inlineStr"/>
    </row>
    <row r="490" ht="15" customHeight="1">
      <c r="A490" t="inlineStr">
        <is>
          <t>A 404-2023</t>
        </is>
      </c>
      <c r="B490" s="1" t="n">
        <v>44923</v>
      </c>
      <c r="C490" s="1" t="n">
        <v>45901</v>
      </c>
      <c r="D490" t="inlineStr">
        <is>
          <t>NORRBOTTENS LÄN</t>
        </is>
      </c>
      <c r="E490" t="inlineStr">
        <is>
          <t>GÄLLIVARE</t>
        </is>
      </c>
      <c r="G490" t="n">
        <v>1</v>
      </c>
      <c r="H490" t="n">
        <v>0</v>
      </c>
      <c r="I490" t="n">
        <v>0</v>
      </c>
      <c r="J490" t="n">
        <v>0</v>
      </c>
      <c r="K490" t="n">
        <v>0</v>
      </c>
      <c r="L490" t="n">
        <v>0</v>
      </c>
      <c r="M490" t="n">
        <v>0</v>
      </c>
      <c r="N490" t="n">
        <v>0</v>
      </c>
      <c r="O490" t="n">
        <v>0</v>
      </c>
      <c r="P490" t="n">
        <v>0</v>
      </c>
      <c r="Q490" t="n">
        <v>0</v>
      </c>
      <c r="R490" s="2" t="inlineStr"/>
    </row>
    <row r="491" ht="15" customHeight="1">
      <c r="A491" t="inlineStr">
        <is>
          <t>A 59695-2024</t>
        </is>
      </c>
      <c r="B491" s="1" t="n">
        <v>45639</v>
      </c>
      <c r="C491" s="1" t="n">
        <v>45901</v>
      </c>
      <c r="D491" t="inlineStr">
        <is>
          <t>NORRBOTTENS LÄN</t>
        </is>
      </c>
      <c r="E491" t="inlineStr">
        <is>
          <t>GÄLLIVARE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59232-2024</t>
        </is>
      </c>
      <c r="B492" s="1" t="n">
        <v>45637</v>
      </c>
      <c r="C492" s="1" t="n">
        <v>45901</v>
      </c>
      <c r="D492" t="inlineStr">
        <is>
          <t>NORRBOTTENS LÄN</t>
        </is>
      </c>
      <c r="E492" t="inlineStr">
        <is>
          <t>GÄLLIVARE</t>
        </is>
      </c>
      <c r="G492" t="n">
        <v>2.5</v>
      </c>
      <c r="H492" t="n">
        <v>0</v>
      </c>
      <c r="I492" t="n">
        <v>0</v>
      </c>
      <c r="J492" t="n">
        <v>0</v>
      </c>
      <c r="K492" t="n">
        <v>0</v>
      </c>
      <c r="L492" t="n">
        <v>0</v>
      </c>
      <c r="M492" t="n">
        <v>0</v>
      </c>
      <c r="N492" t="n">
        <v>0</v>
      </c>
      <c r="O492" t="n">
        <v>0</v>
      </c>
      <c r="P492" t="n">
        <v>0</v>
      </c>
      <c r="Q492" t="n">
        <v>0</v>
      </c>
      <c r="R492" s="2" t="inlineStr"/>
    </row>
    <row r="493" ht="15" customHeight="1">
      <c r="A493" t="inlineStr">
        <is>
          <t>A 33373-2023</t>
        </is>
      </c>
      <c r="B493" s="1" t="n">
        <v>45117</v>
      </c>
      <c r="C493" s="1" t="n">
        <v>45901</v>
      </c>
      <c r="D493" t="inlineStr">
        <is>
          <t>NORRBOTTENS LÄN</t>
        </is>
      </c>
      <c r="E493" t="inlineStr">
        <is>
          <t>GÄLLIVARE</t>
        </is>
      </c>
      <c r="F493" t="inlineStr">
        <is>
          <t>Allmännings- och besparingsskogar</t>
        </is>
      </c>
      <c r="G493" t="n">
        <v>3</v>
      </c>
      <c r="H493" t="n">
        <v>0</v>
      </c>
      <c r="I493" t="n">
        <v>0</v>
      </c>
      <c r="J493" t="n">
        <v>0</v>
      </c>
      <c r="K493" t="n">
        <v>0</v>
      </c>
      <c r="L493" t="n">
        <v>0</v>
      </c>
      <c r="M493" t="n">
        <v>0</v>
      </c>
      <c r="N493" t="n">
        <v>0</v>
      </c>
      <c r="O493" t="n">
        <v>0</v>
      </c>
      <c r="P493" t="n">
        <v>0</v>
      </c>
      <c r="Q493" t="n">
        <v>0</v>
      </c>
      <c r="R493" s="2" t="inlineStr"/>
    </row>
    <row r="494" ht="15" customHeight="1">
      <c r="A494" t="inlineStr">
        <is>
          <t>A 15151-2025</t>
        </is>
      </c>
      <c r="B494" s="1" t="n">
        <v>45744</v>
      </c>
      <c r="C494" s="1" t="n">
        <v>45901</v>
      </c>
      <c r="D494" t="inlineStr">
        <is>
          <t>NORRBOTTENS LÄN</t>
        </is>
      </c>
      <c r="E494" t="inlineStr">
        <is>
          <t>GÄLLIVARE</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3270-2025</t>
        </is>
      </c>
      <c r="B495" s="1" t="n">
        <v>45679</v>
      </c>
      <c r="C495" s="1" t="n">
        <v>45901</v>
      </c>
      <c r="D495" t="inlineStr">
        <is>
          <t>NORRBOTTENS LÄN</t>
        </is>
      </c>
      <c r="E495" t="inlineStr">
        <is>
          <t>GÄLLIVARE</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9650-2024</t>
        </is>
      </c>
      <c r="B496" s="1" t="n">
        <v>45362</v>
      </c>
      <c r="C496" s="1" t="n">
        <v>45901</v>
      </c>
      <c r="D496" t="inlineStr">
        <is>
          <t>NORRBOTTENS LÄN</t>
        </is>
      </c>
      <c r="E496" t="inlineStr">
        <is>
          <t>GÄLLIVARE</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16952-2023</t>
        </is>
      </c>
      <c r="B497" s="1" t="n">
        <v>45033</v>
      </c>
      <c r="C497" s="1" t="n">
        <v>45901</v>
      </c>
      <c r="D497" t="inlineStr">
        <is>
          <t>NORRBOTTENS LÄN</t>
        </is>
      </c>
      <c r="E497" t="inlineStr">
        <is>
          <t>GÄLLIVARE</t>
        </is>
      </c>
      <c r="G497" t="n">
        <v>0.5</v>
      </c>
      <c r="H497" t="n">
        <v>0</v>
      </c>
      <c r="I497" t="n">
        <v>0</v>
      </c>
      <c r="J497" t="n">
        <v>0</v>
      </c>
      <c r="K497" t="n">
        <v>0</v>
      </c>
      <c r="L497" t="n">
        <v>0</v>
      </c>
      <c r="M497" t="n">
        <v>0</v>
      </c>
      <c r="N497" t="n">
        <v>0</v>
      </c>
      <c r="O497" t="n">
        <v>0</v>
      </c>
      <c r="P497" t="n">
        <v>0</v>
      </c>
      <c r="Q497" t="n">
        <v>0</v>
      </c>
      <c r="R497" s="2" t="inlineStr"/>
    </row>
    <row r="498" ht="15" customHeight="1">
      <c r="A498" t="inlineStr">
        <is>
          <t>A 49875-2023</t>
        </is>
      </c>
      <c r="B498" s="1" t="n">
        <v>45212</v>
      </c>
      <c r="C498" s="1" t="n">
        <v>45901</v>
      </c>
      <c r="D498" t="inlineStr">
        <is>
          <t>NORRBOTTENS LÄN</t>
        </is>
      </c>
      <c r="E498" t="inlineStr">
        <is>
          <t>GÄLLIVARE</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38751-2024</t>
        </is>
      </c>
      <c r="B499" s="1" t="n">
        <v>45547.42896990741</v>
      </c>
      <c r="C499" s="1" t="n">
        <v>45901</v>
      </c>
      <c r="D499" t="inlineStr">
        <is>
          <t>NORRBOTTENS LÄN</t>
        </is>
      </c>
      <c r="E499" t="inlineStr">
        <is>
          <t>GÄLLIVARE</t>
        </is>
      </c>
      <c r="G499" t="n">
        <v>2.3</v>
      </c>
      <c r="H499" t="n">
        <v>0</v>
      </c>
      <c r="I499" t="n">
        <v>0</v>
      </c>
      <c r="J499" t="n">
        <v>0</v>
      </c>
      <c r="K499" t="n">
        <v>0</v>
      </c>
      <c r="L499" t="n">
        <v>0</v>
      </c>
      <c r="M499" t="n">
        <v>0</v>
      </c>
      <c r="N499" t="n">
        <v>0</v>
      </c>
      <c r="O499" t="n">
        <v>0</v>
      </c>
      <c r="P499" t="n">
        <v>0</v>
      </c>
      <c r="Q499" t="n">
        <v>0</v>
      </c>
      <c r="R499" s="2" t="inlineStr"/>
    </row>
    <row r="500" ht="15" customHeight="1">
      <c r="A500" t="inlineStr">
        <is>
          <t>A 23774-2023</t>
        </is>
      </c>
      <c r="B500" s="1" t="n">
        <v>45077</v>
      </c>
      <c r="C500" s="1" t="n">
        <v>45901</v>
      </c>
      <c r="D500" t="inlineStr">
        <is>
          <t>NORRBOTTENS LÄN</t>
        </is>
      </c>
      <c r="E500" t="inlineStr">
        <is>
          <t>GÄLLIVARE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33847-2023</t>
        </is>
      </c>
      <c r="B501" s="1" t="n">
        <v>45121</v>
      </c>
      <c r="C501" s="1" t="n">
        <v>45901</v>
      </c>
      <c r="D501" t="inlineStr">
        <is>
          <t>NORRBOTTENS LÄN</t>
        </is>
      </c>
      <c r="E501" t="inlineStr">
        <is>
          <t>GÄLLIVARE</t>
        </is>
      </c>
      <c r="F501" t="inlineStr">
        <is>
          <t>Övriga statliga verk och myndigheter</t>
        </is>
      </c>
      <c r="G501" t="n">
        <v>3</v>
      </c>
      <c r="H501" t="n">
        <v>0</v>
      </c>
      <c r="I501" t="n">
        <v>0</v>
      </c>
      <c r="J501" t="n">
        <v>0</v>
      </c>
      <c r="K501" t="n">
        <v>0</v>
      </c>
      <c r="L501" t="n">
        <v>0</v>
      </c>
      <c r="M501" t="n">
        <v>0</v>
      </c>
      <c r="N501" t="n">
        <v>0</v>
      </c>
      <c r="O501" t="n">
        <v>0</v>
      </c>
      <c r="P501" t="n">
        <v>0</v>
      </c>
      <c r="Q501" t="n">
        <v>0</v>
      </c>
      <c r="R501" s="2" t="inlineStr"/>
    </row>
    <row r="502" ht="15" customHeight="1">
      <c r="A502" t="inlineStr">
        <is>
          <t>A 44398-2023</t>
        </is>
      </c>
      <c r="B502" s="1" t="n">
        <v>45188</v>
      </c>
      <c r="C502" s="1" t="n">
        <v>45901</v>
      </c>
      <c r="D502" t="inlineStr">
        <is>
          <t>NORRBOTTENS LÄN</t>
        </is>
      </c>
      <c r="E502" t="inlineStr">
        <is>
          <t>GÄLLIVARE</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5481-2025</t>
        </is>
      </c>
      <c r="B503" s="1" t="n">
        <v>45693</v>
      </c>
      <c r="C503" s="1" t="n">
        <v>45901</v>
      </c>
      <c r="D503" t="inlineStr">
        <is>
          <t>NORRBOTTENS LÄN</t>
        </is>
      </c>
      <c r="E503" t="inlineStr">
        <is>
          <t>GÄLLIVARE</t>
        </is>
      </c>
      <c r="F503" t="inlineStr">
        <is>
          <t>SCA</t>
        </is>
      </c>
      <c r="G503" t="n">
        <v>13.1</v>
      </c>
      <c r="H503" t="n">
        <v>0</v>
      </c>
      <c r="I503" t="n">
        <v>0</v>
      </c>
      <c r="J503" t="n">
        <v>0</v>
      </c>
      <c r="K503" t="n">
        <v>0</v>
      </c>
      <c r="L503" t="n">
        <v>0</v>
      </c>
      <c r="M503" t="n">
        <v>0</v>
      </c>
      <c r="N503" t="n">
        <v>0</v>
      </c>
      <c r="O503" t="n">
        <v>0</v>
      </c>
      <c r="P503" t="n">
        <v>0</v>
      </c>
      <c r="Q503" t="n">
        <v>0</v>
      </c>
      <c r="R503" s="2" t="inlineStr"/>
    </row>
    <row r="504" ht="15" customHeight="1">
      <c r="A504" t="inlineStr">
        <is>
          <t>A 59703-2024</t>
        </is>
      </c>
      <c r="B504" s="1" t="n">
        <v>45639</v>
      </c>
      <c r="C504" s="1" t="n">
        <v>45901</v>
      </c>
      <c r="D504" t="inlineStr">
        <is>
          <t>NORRBOTTENS LÄN</t>
        </is>
      </c>
      <c r="E504" t="inlineStr">
        <is>
          <t>GÄLLIVARE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12202-2024</t>
        </is>
      </c>
      <c r="B505" s="1" t="n">
        <v>45377.95069444444</v>
      </c>
      <c r="C505" s="1" t="n">
        <v>45901</v>
      </c>
      <c r="D505" t="inlineStr">
        <is>
          <t>NORRBOTTENS LÄN</t>
        </is>
      </c>
      <c r="E505" t="inlineStr">
        <is>
          <t>GÄLLIVARE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25493-2024</t>
        </is>
      </c>
      <c r="B506" s="1" t="n">
        <v>45463</v>
      </c>
      <c r="C506" s="1" t="n">
        <v>45901</v>
      </c>
      <c r="D506" t="inlineStr">
        <is>
          <t>NORRBOTTENS LÄN</t>
        </is>
      </c>
      <c r="E506" t="inlineStr">
        <is>
          <t>GÄLLIVARE</t>
        </is>
      </c>
      <c r="G506" t="n">
        <v>5.5</v>
      </c>
      <c r="H506" t="n">
        <v>0</v>
      </c>
      <c r="I506" t="n">
        <v>0</v>
      </c>
      <c r="J506" t="n">
        <v>0</v>
      </c>
      <c r="K506" t="n">
        <v>0</v>
      </c>
      <c r="L506" t="n">
        <v>0</v>
      </c>
      <c r="M506" t="n">
        <v>0</v>
      </c>
      <c r="N506" t="n">
        <v>0</v>
      </c>
      <c r="O506" t="n">
        <v>0</v>
      </c>
      <c r="P506" t="n">
        <v>0</v>
      </c>
      <c r="Q506" t="n">
        <v>0</v>
      </c>
      <c r="R506" s="2" t="inlineStr"/>
    </row>
    <row r="507" ht="15" customHeight="1">
      <c r="A507" t="inlineStr">
        <is>
          <t>A 64238-2023</t>
        </is>
      </c>
      <c r="B507" s="1" t="n">
        <v>45279</v>
      </c>
      <c r="C507" s="1" t="n">
        <v>45901</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4891-2025</t>
        </is>
      </c>
      <c r="B508" s="1" t="n">
        <v>45688</v>
      </c>
      <c r="C508" s="1" t="n">
        <v>45901</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48007-2024</t>
        </is>
      </c>
      <c r="B509" s="1" t="n">
        <v>45589</v>
      </c>
      <c r="C509" s="1" t="n">
        <v>45901</v>
      </c>
      <c r="D509" t="inlineStr">
        <is>
          <t>NORRBOTTENS LÄN</t>
        </is>
      </c>
      <c r="E509" t="inlineStr">
        <is>
          <t>GÄLLIVARE</t>
        </is>
      </c>
      <c r="G509" t="n">
        <v>2.9</v>
      </c>
      <c r="H509" t="n">
        <v>0</v>
      </c>
      <c r="I509" t="n">
        <v>0</v>
      </c>
      <c r="J509" t="n">
        <v>0</v>
      </c>
      <c r="K509" t="n">
        <v>0</v>
      </c>
      <c r="L509" t="n">
        <v>0</v>
      </c>
      <c r="M509" t="n">
        <v>0</v>
      </c>
      <c r="N509" t="n">
        <v>0</v>
      </c>
      <c r="O509" t="n">
        <v>0</v>
      </c>
      <c r="P509" t="n">
        <v>0</v>
      </c>
      <c r="Q509" t="n">
        <v>0</v>
      </c>
      <c r="R509" s="2" t="inlineStr"/>
    </row>
    <row r="510" ht="15" customHeight="1">
      <c r="A510" t="inlineStr">
        <is>
          <t>A 4768-2023</t>
        </is>
      </c>
      <c r="B510" s="1" t="n">
        <v>44953</v>
      </c>
      <c r="C510" s="1" t="n">
        <v>45901</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11008-2025</t>
        </is>
      </c>
      <c r="B511" s="1" t="n">
        <v>45723</v>
      </c>
      <c r="C511" s="1" t="n">
        <v>45901</v>
      </c>
      <c r="D511" t="inlineStr">
        <is>
          <t>NORRBOTTENS LÄN</t>
        </is>
      </c>
      <c r="E511" t="inlineStr">
        <is>
          <t>GÄLLIVARE</t>
        </is>
      </c>
      <c r="G511" t="n">
        <v>20.6</v>
      </c>
      <c r="H511" t="n">
        <v>0</v>
      </c>
      <c r="I511" t="n">
        <v>0</v>
      </c>
      <c r="J511" t="n">
        <v>0</v>
      </c>
      <c r="K511" t="n">
        <v>0</v>
      </c>
      <c r="L511" t="n">
        <v>0</v>
      </c>
      <c r="M511" t="n">
        <v>0</v>
      </c>
      <c r="N511" t="n">
        <v>0</v>
      </c>
      <c r="O511" t="n">
        <v>0</v>
      </c>
      <c r="P511" t="n">
        <v>0</v>
      </c>
      <c r="Q511" t="n">
        <v>0</v>
      </c>
      <c r="R511" s="2" t="inlineStr"/>
    </row>
    <row r="512" ht="15" customHeight="1">
      <c r="A512" t="inlineStr">
        <is>
          <t>A 55466-2023</t>
        </is>
      </c>
      <c r="B512" s="1" t="n">
        <v>45238</v>
      </c>
      <c r="C512" s="1" t="n">
        <v>45901</v>
      </c>
      <c r="D512" t="inlineStr">
        <is>
          <t>NORRBOTTENS LÄN</t>
        </is>
      </c>
      <c r="E512" t="inlineStr">
        <is>
          <t>GÄLLIVARE</t>
        </is>
      </c>
      <c r="G512" t="n">
        <v>5.1</v>
      </c>
      <c r="H512" t="n">
        <v>0</v>
      </c>
      <c r="I512" t="n">
        <v>0</v>
      </c>
      <c r="J512" t="n">
        <v>0</v>
      </c>
      <c r="K512" t="n">
        <v>0</v>
      </c>
      <c r="L512" t="n">
        <v>0</v>
      </c>
      <c r="M512" t="n">
        <v>0</v>
      </c>
      <c r="N512" t="n">
        <v>0</v>
      </c>
      <c r="O512" t="n">
        <v>0</v>
      </c>
      <c r="P512" t="n">
        <v>0</v>
      </c>
      <c r="Q512" t="n">
        <v>0</v>
      </c>
      <c r="R512" s="2" t="inlineStr"/>
    </row>
    <row r="513" ht="15" customHeight="1">
      <c r="A513" t="inlineStr">
        <is>
          <t>A 62949-2023</t>
        </is>
      </c>
      <c r="B513" s="1" t="n">
        <v>45272.54651620371</v>
      </c>
      <c r="C513" s="1" t="n">
        <v>45901</v>
      </c>
      <c r="D513" t="inlineStr">
        <is>
          <t>NORRBOTTENS LÄN</t>
        </is>
      </c>
      <c r="E513" t="inlineStr">
        <is>
          <t>GÄLLIVARE</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51451-2023</t>
        </is>
      </c>
      <c r="B514" s="1" t="n">
        <v>45215</v>
      </c>
      <c r="C514" s="1" t="n">
        <v>45901</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c r="A515" t="inlineStr">
        <is>
          <t>A 50553-2024</t>
        </is>
      </c>
      <c r="B515" s="1" t="n">
        <v>45601.59490740741</v>
      </c>
      <c r="C515" s="1" t="n">
        <v>45901</v>
      </c>
      <c r="D515" t="inlineStr">
        <is>
          <t>NORRBOTTENS LÄN</t>
        </is>
      </c>
      <c r="E515" t="inlineStr">
        <is>
          <t>GÄLLIVARE</t>
        </is>
      </c>
      <c r="F515" t="inlineStr">
        <is>
          <t>SCA</t>
        </is>
      </c>
      <c r="G515" t="n">
        <v>4.1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2025-09-01T08:33:09Z</dcterms:created>
  <dcterms:modified xmlns:dcterms="http://purl.org/dc/terms/" xmlns:xsi="http://www.w3.org/2001/XMLSchema-instance" xsi:type="dcterms:W3CDTF">2025-09-01T08:33:10Z</dcterms:modified>
</cp:coreProperties>
</file>