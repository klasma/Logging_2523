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46314</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46314</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46314</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46314</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46314</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46314</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46314</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46314</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46314</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46314</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46314</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46314</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46314</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46314</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46314</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15155-2025</t>
        </is>
      </c>
      <c r="B18" t="inlineStr">
        <is>
          <t>avverkningsanmälan</t>
        </is>
      </c>
      <c r="C18" t="inlineStr">
        <is>
          <t>Avverkning för annat ändamål</t>
        </is>
      </c>
      <c r="D18" s="1" t="n">
        <v>45744</v>
      </c>
      <c r="E18" s="1" t="n">
        <v>46314</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51108-2025</t>
        </is>
      </c>
      <c r="B19" t="inlineStr">
        <is>
          <t>avverkningsanmälan</t>
        </is>
      </c>
      <c r="C19" t="inlineStr">
        <is>
          <t>Föryngringsavverkning</t>
        </is>
      </c>
      <c r="D19" s="1" t="n">
        <v>45947</v>
      </c>
      <c r="E19" s="1" t="n">
        <v>46314</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46314</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46314</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46314</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46314</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46314</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46314</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46314</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46314</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46314</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46314</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40956-2025</t>
        </is>
      </c>
      <c r="B30" t="inlineStr">
        <is>
          <t>avverkningsanmälan</t>
        </is>
      </c>
      <c r="C30" t="inlineStr">
        <is>
          <t>Föryngringsavverkning</t>
        </is>
      </c>
      <c r="D30" s="1" t="n">
        <v>45897</v>
      </c>
      <c r="E30" s="1" t="n">
        <v>46314</v>
      </c>
      <c r="F30" t="inlineStr">
        <is>
          <t>NORRBOTTENS LÄN</t>
        </is>
      </c>
      <c r="G30" t="inlineStr">
        <is>
          <t>GÄLLIVARE</t>
        </is>
      </c>
      <c r="H30" t="inlineStr">
        <is>
          <t>SCA</t>
        </is>
      </c>
      <c r="I30" t="n">
        <v>0.4</v>
      </c>
      <c r="J30" t="n">
        <v>1</v>
      </c>
      <c r="K30" t="n">
        <v>1</v>
      </c>
      <c r="L30" t="n">
        <v>2</v>
      </c>
      <c r="M30" t="n">
        <v>1</v>
      </c>
      <c r="N30" t="n">
        <v>0</v>
      </c>
      <c r="O30" t="n">
        <v>0</v>
      </c>
      <c r="P30" t="n">
        <v>0</v>
      </c>
      <c r="Q30" t="n">
        <v>3</v>
      </c>
      <c r="R30" t="n">
        <v>1</v>
      </c>
      <c r="S30" t="n">
        <v>5</v>
      </c>
      <c r="T30" t="n">
        <v>5</v>
      </c>
      <c r="U30" t="n">
        <v>2</v>
      </c>
      <c r="V30" s="2" t="inlineStr">
        <is>
          <t>Skrovlig taggsvamp
Motaggsvamp
Orange taggsvamp
Vågbandad barkbock
Revlummer</t>
        </is>
      </c>
      <c r="W30">
        <f>HYPERLINK("https://klasma.github.io/Logging_2523/artfynd/A 40956-2025 artfynd.xlsx", "A 40956-2025")</f>
        <v/>
      </c>
      <c r="X30">
        <f>HYPERLINK("https://klasma.github.io/Logging_2523/kartor/A 40956-2025 karta.png", "A 40956-2025")</f>
        <v/>
      </c>
      <c r="Y30">
        <f>HYPERLINK("https://klasma.github.io/Logging_2523/kartor_geotiff/A 40956-2025 georefererad karta.tif", "A 40956-2025")</f>
        <v/>
      </c>
      <c r="AA30">
        <f>HYPERLINK("https://klasma.github.io/Logging_2523/klagomål/A 40956-2025 FSC-klagomål.docx", "A 40956-2025")</f>
        <v/>
      </c>
      <c r="AB30">
        <f>HYPERLINK("https://klasma.github.io/Logging_2523/klagomålsmail/A 40956-2025 FSC-klagomål mail.docx", "A 40956-2025")</f>
        <v/>
      </c>
      <c r="AC30">
        <f>HYPERLINK("https://klasma.github.io/Logging_2523/tillsyn/A 40956-2025 tillsynsbegäran.docx", "A 40956-2025")</f>
        <v/>
      </c>
      <c r="AD30">
        <f>HYPERLINK("https://klasma.github.io/Logging_2523/tillsynsmail/A 40956-2025 tillsynsbegäran mail.docx", "A 40956-2025")</f>
        <v/>
      </c>
    </row>
    <row r="31" ht="15" customHeight="1">
      <c r="A31" t="inlineStr">
        <is>
          <t>A 28460-2026</t>
        </is>
      </c>
      <c r="B31" t="inlineStr">
        <is>
          <t>avverkningsanmälan</t>
        </is>
      </c>
      <c r="C31" t="inlineStr">
        <is>
          <t>Föryngringsavverkning</t>
        </is>
      </c>
      <c r="D31" s="1" t="n">
        <v>46197</v>
      </c>
      <c r="E31" s="1" t="n">
        <v>46314</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46314</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31005-2026</t>
        </is>
      </c>
      <c r="B33" t="inlineStr">
        <is>
          <t>avverkningsanmälan</t>
        </is>
      </c>
      <c r="C33" t="inlineStr">
        <is>
          <t>Föryngringsavverkning</t>
        </is>
      </c>
      <c r="D33" s="1" t="n">
        <v>46213</v>
      </c>
      <c r="E33" s="1" t="n">
        <v>46314</v>
      </c>
      <c r="F33" t="inlineStr">
        <is>
          <t>NORRBOTTENS LÄN</t>
        </is>
      </c>
      <c r="G33" t="inlineStr">
        <is>
          <t>GÄLLIVARE</t>
        </is>
      </c>
      <c r="H33" t="inlineStr">
        <is>
          <t>Sveaskog</t>
        </is>
      </c>
      <c r="I33" t="n">
        <v>53.3</v>
      </c>
      <c r="J33" t="n">
        <v>1</v>
      </c>
      <c r="K33" t="n">
        <v>1</v>
      </c>
      <c r="L33" t="n">
        <v>3</v>
      </c>
      <c r="M33" t="n">
        <v>1</v>
      </c>
      <c r="N33" t="n">
        <v>0</v>
      </c>
      <c r="O33" t="n">
        <v>0</v>
      </c>
      <c r="P33" t="n">
        <v>0</v>
      </c>
      <c r="Q33" t="n">
        <v>4</v>
      </c>
      <c r="R33" t="n">
        <v>1</v>
      </c>
      <c r="S33" t="n">
        <v>5</v>
      </c>
      <c r="T33" t="n">
        <v>8</v>
      </c>
      <c r="U33" t="n">
        <v>0</v>
      </c>
      <c r="V33" s="2" t="inlineStr">
        <is>
          <t>Ostticka
Lunglav
Rosenticka
Stjärntagging
Spindelblomster</t>
        </is>
      </c>
      <c r="W33">
        <f>HYPERLINK("https://klasma.github.io/Logging_2523/artfynd/A 31005-2026 artfynd.xlsx", "A 31005-2026")</f>
        <v/>
      </c>
      <c r="X33">
        <f>HYPERLINK("https://klasma.github.io/Logging_2523/kartor/A 31005-2026 karta.png", "A 31005-2026")</f>
        <v/>
      </c>
      <c r="Y33">
        <f>HYPERLINK("https://klasma.github.io/Logging_2523/kartor_geotiff/A 31005-2026 georefererad karta.tif", "A 31005-2026")</f>
        <v/>
      </c>
      <c r="AA33">
        <f>HYPERLINK("https://klasma.github.io/Logging_2523/klagomål/A 31005-2026 FSC-klagomål.docx", "A 31005-2026")</f>
        <v/>
      </c>
      <c r="AB33">
        <f>HYPERLINK("https://klasma.github.io/Logging_2523/klagomålsmail/A 31005-2026 FSC-klagomål mail.docx", "A 31005-2026")</f>
        <v/>
      </c>
      <c r="AC33">
        <f>HYPERLINK("https://klasma.github.io/Logging_2523/tillsyn/A 31005-2026 tillsynsbegäran.docx", "A 31005-2026")</f>
        <v/>
      </c>
      <c r="AD33">
        <f>HYPERLINK("https://klasma.github.io/Logging_2523/tillsynsmail/A 31005-2026 tillsynsbegäran mail.docx", "A 31005-2026")</f>
        <v/>
      </c>
    </row>
    <row r="34" ht="15" customHeight="1">
      <c r="A34" t="inlineStr">
        <is>
          <t>A 5288-2023</t>
        </is>
      </c>
      <c r="B34" t="inlineStr">
        <is>
          <t>avverkningsanmälan</t>
        </is>
      </c>
      <c r="C34" t="inlineStr">
        <is>
          <t>Föryngringsavverkning</t>
        </is>
      </c>
      <c r="D34" s="1" t="n">
        <v>44959</v>
      </c>
      <c r="E34" s="1" t="n">
        <v>46314</v>
      </c>
      <c r="F34" t="inlineStr">
        <is>
          <t>NORRBOTTENS LÄN</t>
        </is>
      </c>
      <c r="G34" t="inlineStr">
        <is>
          <t>GÄLLIVARE</t>
        </is>
      </c>
      <c r="H34" t="inlineStr">
        <is>
          <t>SCA</t>
        </is>
      </c>
      <c r="I34" t="n">
        <v>12.2</v>
      </c>
      <c r="J34" t="n">
        <v>2</v>
      </c>
      <c r="K34" t="n">
        <v>2</v>
      </c>
      <c r="L34" t="n">
        <v>0</v>
      </c>
      <c r="M34" t="n">
        <v>2</v>
      </c>
      <c r="N34" t="n">
        <v>0</v>
      </c>
      <c r="O34" t="n">
        <v>0</v>
      </c>
      <c r="P34" t="n">
        <v>0</v>
      </c>
      <c r="Q34" t="n">
        <v>2</v>
      </c>
      <c r="R34" t="n">
        <v>2</v>
      </c>
      <c r="S34" t="n">
        <v>5</v>
      </c>
      <c r="T34" t="n">
        <v>5</v>
      </c>
      <c r="U34" t="n">
        <v>3</v>
      </c>
      <c r="V34" s="2" t="inlineStr">
        <is>
          <t>Smultronkantarell
Tallstocksticka
Spindelblomster
Stuplav
Tjäder</t>
        </is>
      </c>
      <c r="W34">
        <f>HYPERLINK("https://klasma.github.io/Logging_2523/artfynd/A 5288-2023 artfynd.xlsx", "A 5288-2023")</f>
        <v/>
      </c>
      <c r="X34">
        <f>HYPERLINK("https://klasma.github.io/Logging_2523/kartor/A 5288-2023 karta.png", "A 5288-2023")</f>
        <v/>
      </c>
      <c r="Y34">
        <f>HYPERLINK("https://klasma.github.io/Logging_2523/kartor_geotiff/A 5288-2023 georefererad karta.tif", "A 5288-2023")</f>
        <v/>
      </c>
      <c r="AA34">
        <f>HYPERLINK("https://klasma.github.io/Logging_2523/klagomål/A 5288-2023 FSC-klagomål.docx", "A 5288-2023")</f>
        <v/>
      </c>
      <c r="AB34">
        <f>HYPERLINK("https://klasma.github.io/Logging_2523/klagomålsmail/A 5288-2023 FSC-klagomål mail.docx", "A 5288-2023")</f>
        <v/>
      </c>
      <c r="AC34">
        <f>HYPERLINK("https://klasma.github.io/Logging_2523/tillsyn/A 5288-2023 tillsynsbegäran.docx", "A 5288-2023")</f>
        <v/>
      </c>
      <c r="AD34">
        <f>HYPERLINK("https://klasma.github.io/Logging_2523/tillsynsmail/A 5288-2023 tillsynsbegäran mail.docx", "A 5288-2023")</f>
        <v/>
      </c>
      <c r="AE34">
        <f>HYPERLINK("https://klasma.github.io/Logging_2523/fåglar/A 5288-2023 prioriterade fågelarter.docx", "A 5288-2023")</f>
        <v/>
      </c>
    </row>
    <row r="35" ht="15" customHeight="1">
      <c r="A35" t="inlineStr">
        <is>
          <t>A 25467-2026</t>
        </is>
      </c>
      <c r="B35" t="inlineStr">
        <is>
          <t>avverkningsanmälan</t>
        </is>
      </c>
      <c r="C35" t="inlineStr">
        <is>
          <t>Föryngringsavverkning</t>
        </is>
      </c>
      <c r="D35" s="1" t="n">
        <v>46177</v>
      </c>
      <c r="E35" s="1" t="n">
        <v>46314</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46314</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46314</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24185-2025</t>
        </is>
      </c>
      <c r="B38" t="inlineStr">
        <is>
          <t>avverkningsanmälan</t>
        </is>
      </c>
      <c r="C38" t="inlineStr">
        <is>
          <t>Föryngringsavverkning</t>
        </is>
      </c>
      <c r="D38" s="1" t="n">
        <v>45796</v>
      </c>
      <c r="E38" s="1" t="n">
        <v>46314</v>
      </c>
      <c r="F38" t="inlineStr">
        <is>
          <t>NORRBOTTENS LÄN</t>
        </is>
      </c>
      <c r="G38" t="inlineStr">
        <is>
          <t>GÄLLIVARE</t>
        </is>
      </c>
      <c r="H38" t="inlineStr">
        <is>
          <t>Allmännings- och besparingsskogar</t>
        </is>
      </c>
      <c r="I38" t="n">
        <v>10.6</v>
      </c>
      <c r="J38" t="n">
        <v>1</v>
      </c>
      <c r="K38" t="n">
        <v>2</v>
      </c>
      <c r="L38" t="n">
        <v>0</v>
      </c>
      <c r="M38" t="n">
        <v>1</v>
      </c>
      <c r="N38" t="n">
        <v>0</v>
      </c>
      <c r="O38" t="n">
        <v>0</v>
      </c>
      <c r="P38" t="n">
        <v>0</v>
      </c>
      <c r="Q38" t="n">
        <v>1</v>
      </c>
      <c r="R38" t="n">
        <v>1</v>
      </c>
      <c r="S38" t="n">
        <v>4</v>
      </c>
      <c r="T38" t="n">
        <v>7</v>
      </c>
      <c r="U38" t="n">
        <v>0</v>
      </c>
      <c r="V38" s="2" t="inlineStr">
        <is>
          <t>Garnlav
Grönpyrola
Nästlav
Revlummer</t>
        </is>
      </c>
      <c r="W38">
        <f>HYPERLINK("https://klasma.github.io/Logging_2523/artfynd/A 24185-2025 artfynd.xlsx", "A 24185-2025")</f>
        <v/>
      </c>
      <c r="X38">
        <f>HYPERLINK("https://klasma.github.io/Logging_2523/kartor/A 24185-2025 karta.png", "A 24185-2025")</f>
        <v/>
      </c>
      <c r="Y38">
        <f>HYPERLINK("https://klasma.github.io/Logging_2523/kartor_geotiff/A 24185-2025 georefererad karta.tif", "A 24185-2025")</f>
        <v/>
      </c>
      <c r="AA38">
        <f>HYPERLINK("https://klasma.github.io/Logging_2523/klagomål/A 24185-2025 FSC-klagomål.docx", "A 24185-2025")</f>
        <v/>
      </c>
      <c r="AB38">
        <f>HYPERLINK("https://klasma.github.io/Logging_2523/klagomålsmail/A 24185-2025 FSC-klagomål mail.docx", "A 24185-2025")</f>
        <v/>
      </c>
      <c r="AC38">
        <f>HYPERLINK("https://klasma.github.io/Logging_2523/tillsyn/A 24185-2025 tillsynsbegäran.docx", "A 24185-2025")</f>
        <v/>
      </c>
      <c r="AD38">
        <f>HYPERLINK("https://klasma.github.io/Logging_2523/tillsynsmail/A 24185-2025 tillsynsbegäran mail.docx", "A 24185-2025")</f>
        <v/>
      </c>
    </row>
    <row r="39" ht="15" customHeight="1">
      <c r="A39" t="inlineStr">
        <is>
          <t>A 36014-2026</t>
        </is>
      </c>
      <c r="B39" t="inlineStr">
        <is>
          <t>avverkningsanmälan</t>
        </is>
      </c>
      <c r="C39" t="inlineStr">
        <is>
          <t>Föryngringsavverkning</t>
        </is>
      </c>
      <c r="D39" s="1" t="n">
        <v>46266</v>
      </c>
      <c r="E39" s="1" t="n">
        <v>46314</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46314</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46314</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57369-2025</t>
        </is>
      </c>
      <c r="B42" t="inlineStr">
        <is>
          <t>avverkningsanmälan</t>
        </is>
      </c>
      <c r="C42" t="inlineStr">
        <is>
          <t>Föryngringsavverkning</t>
        </is>
      </c>
      <c r="D42" s="1" t="n">
        <v>45980</v>
      </c>
      <c r="E42" s="1" t="n">
        <v>46314</v>
      </c>
      <c r="F42" t="inlineStr">
        <is>
          <t>NORRBOTTENS LÄN</t>
        </is>
      </c>
      <c r="G42" t="inlineStr">
        <is>
          <t>GÄLLIVARE</t>
        </is>
      </c>
      <c r="I42" t="n">
        <v>2.7</v>
      </c>
      <c r="J42" t="n">
        <v>3</v>
      </c>
      <c r="K42" t="n">
        <v>0</v>
      </c>
      <c r="L42" t="n">
        <v>1</v>
      </c>
      <c r="M42" t="n">
        <v>0</v>
      </c>
      <c r="N42" t="n">
        <v>0</v>
      </c>
      <c r="O42" t="n">
        <v>0</v>
      </c>
      <c r="P42" t="n">
        <v>0</v>
      </c>
      <c r="Q42" t="n">
        <v>1</v>
      </c>
      <c r="R42" t="n">
        <v>0</v>
      </c>
      <c r="S42" t="n">
        <v>3</v>
      </c>
      <c r="T42" t="n">
        <v>3</v>
      </c>
      <c r="U42" t="n">
        <v>0</v>
      </c>
      <c r="V42" s="2" t="inlineStr">
        <is>
          <t>Lavskrika
Spillkråka
Tjäder</t>
        </is>
      </c>
      <c r="W42">
        <f>HYPERLINK("https://klasma.github.io/Logging_2523/artfynd/A 57369-2025 artfynd.xlsx", "A 57369-2025")</f>
        <v/>
      </c>
      <c r="X42">
        <f>HYPERLINK("https://klasma.github.io/Logging_2523/kartor/A 57369-2025 karta.png", "A 57369-2025")</f>
        <v/>
      </c>
      <c r="Y42">
        <f>HYPERLINK("https://klasma.github.io/Logging_2523/kartor_geotiff/A 57369-2025 georefererad karta.tif", "A 57369-2025")</f>
        <v/>
      </c>
      <c r="AA42">
        <f>HYPERLINK("https://klasma.github.io/Logging_2523/klagomål/A 57369-2025 FSC-klagomål.docx", "A 57369-2025")</f>
        <v/>
      </c>
      <c r="AB42">
        <f>HYPERLINK("https://klasma.github.io/Logging_2523/klagomålsmail/A 57369-2025 FSC-klagomål mail.docx", "A 57369-2025")</f>
        <v/>
      </c>
      <c r="AC42">
        <f>HYPERLINK("https://klasma.github.io/Logging_2523/tillsyn/A 57369-2025 tillsynsbegäran.docx", "A 57369-2025")</f>
        <v/>
      </c>
      <c r="AD42">
        <f>HYPERLINK("https://klasma.github.io/Logging_2523/tillsynsmail/A 57369-2025 tillsynsbegäran mail.docx", "A 57369-2025")</f>
        <v/>
      </c>
      <c r="AE42">
        <f>HYPERLINK("https://klasma.github.io/Logging_2523/fåglar/A 57369-2025 prioriterade fågelarter.docx", "A 57369-2025")</f>
        <v/>
      </c>
    </row>
    <row r="43" ht="15" customHeight="1">
      <c r="A43" t="inlineStr">
        <is>
          <t>A 36981-2023</t>
        </is>
      </c>
      <c r="B43" t="inlineStr">
        <is>
          <t>avverkningsanmälan</t>
        </is>
      </c>
      <c r="C43" t="inlineStr">
        <is>
          <t>Föryngringsavverkning</t>
        </is>
      </c>
      <c r="D43" s="1" t="n">
        <v>45154</v>
      </c>
      <c r="E43" s="1" t="n">
        <v>46314</v>
      </c>
      <c r="F43" t="inlineStr">
        <is>
          <t>NORRBOTTENS LÄN</t>
        </is>
      </c>
      <c r="G43" t="inlineStr">
        <is>
          <t>GÄLLIVARE</t>
        </is>
      </c>
      <c r="H43" t="inlineStr">
        <is>
          <t>SCA</t>
        </is>
      </c>
      <c r="I43" t="n">
        <v>18.9</v>
      </c>
      <c r="J43" t="n">
        <v>3</v>
      </c>
      <c r="K43" t="n">
        <v>2</v>
      </c>
      <c r="L43" t="n">
        <v>0</v>
      </c>
      <c r="M43" t="n">
        <v>0</v>
      </c>
      <c r="N43" t="n">
        <v>0</v>
      </c>
      <c r="O43" t="n">
        <v>0</v>
      </c>
      <c r="P43" t="n">
        <v>0</v>
      </c>
      <c r="Q43" t="n">
        <v>0</v>
      </c>
      <c r="R43" t="n">
        <v>0</v>
      </c>
      <c r="S43" t="n">
        <v>3</v>
      </c>
      <c r="T43" t="n">
        <v>6</v>
      </c>
      <c r="U43" t="n">
        <v>6</v>
      </c>
      <c r="V43" s="2" t="inlineStr">
        <is>
          <t>Plattlummer
Spindelblomster
Revlummer</t>
        </is>
      </c>
      <c r="W43">
        <f>HYPERLINK("https://klasma.github.io/Logging_2523/artfynd/A 36981-2023 artfynd.xlsx", "A 36981-2023")</f>
        <v/>
      </c>
      <c r="X43">
        <f>HYPERLINK("https://klasma.github.io/Logging_2523/kartor/A 36981-2023 karta.png", "A 36981-2023")</f>
        <v/>
      </c>
      <c r="Y43">
        <f>HYPERLINK("https://klasma.github.io/Logging_2523/kartor_geotiff/A 36981-2023 georefererad karta.tif", "A 36981-2023")</f>
        <v/>
      </c>
      <c r="AA43">
        <f>HYPERLINK("https://klasma.github.io/Logging_2523/klagomål/A 36981-2023 FSC-klagomål.docx", "A 36981-2023")</f>
        <v/>
      </c>
      <c r="AB43">
        <f>HYPERLINK("https://klasma.github.io/Logging_2523/klagomålsmail/A 36981-2023 FSC-klagomål mail.docx", "A 36981-2023")</f>
        <v/>
      </c>
      <c r="AC43">
        <f>HYPERLINK("https://klasma.github.io/Logging_2523/tillsyn/A 36981-2023 tillsynsbegäran.docx", "A 36981-2023")</f>
        <v/>
      </c>
      <c r="AD43">
        <f>HYPERLINK("https://klasma.github.io/Logging_2523/tillsynsmail/A 36981-2023 tillsynsbegäran mail.docx", "A 36981-2023")</f>
        <v/>
      </c>
    </row>
    <row r="44" ht="15" customHeight="1">
      <c r="A44" t="inlineStr">
        <is>
          <t>A 14482-2023</t>
        </is>
      </c>
      <c r="B44" t="inlineStr">
        <is>
          <t>avverkningsanmälan</t>
        </is>
      </c>
      <c r="C44" t="inlineStr">
        <is>
          <t>Föryngringsavverkning</t>
        </is>
      </c>
      <c r="D44" s="1" t="n">
        <v>45012</v>
      </c>
      <c r="E44" s="1" t="n">
        <v>46314</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29837-2026</t>
        </is>
      </c>
      <c r="B45" t="inlineStr">
        <is>
          <t>avverkningsanmälan</t>
        </is>
      </c>
      <c r="C45" t="inlineStr">
        <is>
          <t>Föryngringsavverkning</t>
        </is>
      </c>
      <c r="D45" s="1" t="n">
        <v>46205</v>
      </c>
      <c r="E45" s="1" t="n">
        <v>46314</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26435-2024</t>
        </is>
      </c>
      <c r="B46" t="inlineStr">
        <is>
          <t>avverkningsanmälan</t>
        </is>
      </c>
      <c r="C46" t="inlineStr">
        <is>
          <t>Föryngringsavverkning</t>
        </is>
      </c>
      <c r="D46" s="1" t="n">
        <v>45469</v>
      </c>
      <c r="E46" s="1" t="n">
        <v>46314</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10666-2026</t>
        </is>
      </c>
      <c r="B47" t="inlineStr">
        <is>
          <t>avverkningsanmälan</t>
        </is>
      </c>
      <c r="C47" t="inlineStr">
        <is>
          <t>Föryngringsavverkning</t>
        </is>
      </c>
      <c r="D47" s="1" t="n">
        <v>46078</v>
      </c>
      <c r="E47" s="1" t="n">
        <v>46314</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33889-2026</t>
        </is>
      </c>
      <c r="B48" t="inlineStr">
        <is>
          <t>avverkningsanmälan</t>
        </is>
      </c>
      <c r="C48" t="inlineStr">
        <is>
          <t>Föryngringsavverkning</t>
        </is>
      </c>
      <c r="D48" s="1" t="n">
        <v>46251</v>
      </c>
      <c r="E48" s="1" t="n">
        <v>46314</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23578-2025</t>
        </is>
      </c>
      <c r="B49" t="inlineStr">
        <is>
          <t>avverkningsanmälan</t>
        </is>
      </c>
      <c r="C49" t="inlineStr">
        <is>
          <t>Föryngringsavverkning</t>
        </is>
      </c>
      <c r="D49" s="1" t="n">
        <v>45792</v>
      </c>
      <c r="E49" s="1" t="n">
        <v>46314</v>
      </c>
      <c r="F49" t="inlineStr">
        <is>
          <t>NORRBOTTENS LÄN</t>
        </is>
      </c>
      <c r="G49" t="inlineStr">
        <is>
          <t>GÄLLIVARE</t>
        </is>
      </c>
      <c r="H49" t="inlineStr">
        <is>
          <t>Allmännings- och besparingsskogar</t>
        </is>
      </c>
      <c r="I49" t="n">
        <v>51.6</v>
      </c>
      <c r="J49" t="n">
        <v>1</v>
      </c>
      <c r="K49" t="n">
        <v>0</v>
      </c>
      <c r="L49" t="n">
        <v>2</v>
      </c>
      <c r="M49" t="n">
        <v>1</v>
      </c>
      <c r="N49" t="n">
        <v>0</v>
      </c>
      <c r="O49" t="n">
        <v>0</v>
      </c>
      <c r="P49" t="n">
        <v>0</v>
      </c>
      <c r="Q49" t="n">
        <v>3</v>
      </c>
      <c r="R49" t="n">
        <v>1</v>
      </c>
      <c r="S49" t="n">
        <v>3</v>
      </c>
      <c r="T49" t="n">
        <v>3</v>
      </c>
      <c r="U49" t="n">
        <v>0</v>
      </c>
      <c r="V49" s="2" t="inlineStr">
        <is>
          <t>Garnlav
Talltita
Vedflamlav</t>
        </is>
      </c>
      <c r="W49">
        <f>HYPERLINK("https://klasma.github.io/Logging_2523/artfynd/A 23578-2025 artfynd.xlsx", "A 23578-2025")</f>
        <v/>
      </c>
      <c r="X49">
        <f>HYPERLINK("https://klasma.github.io/Logging_2523/kartor/A 23578-2025 karta.png", "A 23578-2025")</f>
        <v/>
      </c>
      <c r="Y49">
        <f>HYPERLINK("https://klasma.github.io/Logging_2523/kartor_geotiff/A 23578-2025 georefererad karta.tif", "A 23578-2025")</f>
        <v/>
      </c>
      <c r="AA49">
        <f>HYPERLINK("https://klasma.github.io/Logging_2523/klagomål/A 23578-2025 FSC-klagomål.docx", "A 23578-2025")</f>
        <v/>
      </c>
      <c r="AB49">
        <f>HYPERLINK("https://klasma.github.io/Logging_2523/klagomålsmail/A 23578-2025 FSC-klagomål mail.docx", "A 23578-2025")</f>
        <v/>
      </c>
      <c r="AC49">
        <f>HYPERLINK("https://klasma.github.io/Logging_2523/tillsyn/A 23578-2025 tillsynsbegäran.docx", "A 23578-2025")</f>
        <v/>
      </c>
      <c r="AD49">
        <f>HYPERLINK("https://klasma.github.io/Logging_2523/tillsynsmail/A 23578-2025 tillsynsbegäran mail.docx", "A 23578-2025")</f>
        <v/>
      </c>
      <c r="AE49">
        <f>HYPERLINK("https://klasma.github.io/Logging_2523/fåglar/A 23578-2025 prioriterade fågelarter.docx", "A 23578-2025")</f>
        <v/>
      </c>
    </row>
    <row r="50" ht="15" customHeight="1">
      <c r="A50" t="inlineStr">
        <is>
          <t>A 32830-2026</t>
        </is>
      </c>
      <c r="B50" t="inlineStr">
        <is>
          <t>avverkningsanmälan</t>
        </is>
      </c>
      <c r="C50" t="inlineStr">
        <is>
          <t>Föryngringsavverkning</t>
        </is>
      </c>
      <c r="D50" s="1" t="n">
        <v>46243</v>
      </c>
      <c r="E50" s="1" t="n">
        <v>46314</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36479-2025</t>
        </is>
      </c>
      <c r="B51" t="inlineStr">
        <is>
          <t>avverkningsanmälan</t>
        </is>
      </c>
      <c r="C51" t="inlineStr">
        <is>
          <t>Föryngringsavverkning</t>
        </is>
      </c>
      <c r="D51" s="1" t="n">
        <v>45869</v>
      </c>
      <c r="E51" s="1" t="n">
        <v>46314</v>
      </c>
      <c r="F51" t="inlineStr">
        <is>
          <t>NORRBOTTENS LÄN</t>
        </is>
      </c>
      <c r="G51" t="inlineStr">
        <is>
          <t>GÄLLIVARE</t>
        </is>
      </c>
      <c r="H51" t="inlineStr">
        <is>
          <t>Sveaskog</t>
        </is>
      </c>
      <c r="I51" t="n">
        <v>2.1</v>
      </c>
      <c r="J51" t="n">
        <v>2</v>
      </c>
      <c r="K51" t="n">
        <v>1</v>
      </c>
      <c r="L51" t="n">
        <v>0</v>
      </c>
      <c r="M51" t="n">
        <v>2</v>
      </c>
      <c r="N51" t="n">
        <v>0</v>
      </c>
      <c r="O51" t="n">
        <v>0</v>
      </c>
      <c r="P51" t="n">
        <v>0</v>
      </c>
      <c r="Q51" t="n">
        <v>2</v>
      </c>
      <c r="R51" t="n">
        <v>2</v>
      </c>
      <c r="S51" t="n">
        <v>3</v>
      </c>
      <c r="T51" t="n">
        <v>3</v>
      </c>
      <c r="U51" t="n">
        <v>1</v>
      </c>
      <c r="V51" s="2" t="inlineStr">
        <is>
          <t>Doftticka
Knärot
Stuplav</t>
        </is>
      </c>
      <c r="W51">
        <f>HYPERLINK("https://klasma.github.io/Logging_2523/artfynd/A 36479-2025 artfynd.xlsx", "A 36479-2025")</f>
        <v/>
      </c>
      <c r="X51">
        <f>HYPERLINK("https://klasma.github.io/Logging_2523/kartor/A 36479-2025 karta.png", "A 36479-2025")</f>
        <v/>
      </c>
      <c r="Y51">
        <f>HYPERLINK("https://klasma.github.io/Logging_2523/kartor_geotiff/A 36479-2025 georefererad karta.tif", "A 36479-2025")</f>
        <v/>
      </c>
      <c r="Z51">
        <f>HYPERLINK("https://klasma.github.io/Logging_2523/knärot/A 36479-2025 karta knärot.png", "A 36479-2025")</f>
        <v/>
      </c>
      <c r="AA51">
        <f>HYPERLINK("https://klasma.github.io/Logging_2523/klagomål/A 36479-2025 FSC-klagomål.docx", "A 36479-2025")</f>
        <v/>
      </c>
      <c r="AB51">
        <f>HYPERLINK("https://klasma.github.io/Logging_2523/klagomålsmail/A 36479-2025 FSC-klagomål mail.docx", "A 36479-2025")</f>
        <v/>
      </c>
      <c r="AC51">
        <f>HYPERLINK("https://klasma.github.io/Logging_2523/tillsyn/A 36479-2025 tillsynsbegäran.docx", "A 36479-2025")</f>
        <v/>
      </c>
      <c r="AD51">
        <f>HYPERLINK("https://klasma.github.io/Logging_2523/tillsynsmail/A 36479-2025 tillsynsbegäran mail.docx", "A 36479-2025")</f>
        <v/>
      </c>
    </row>
    <row r="52" ht="15" customHeight="1">
      <c r="A52" t="inlineStr">
        <is>
          <t>A 36289-2022</t>
        </is>
      </c>
      <c r="B52" t="inlineStr">
        <is>
          <t>avverkningsanmälan</t>
        </is>
      </c>
      <c r="C52" t="inlineStr">
        <is>
          <t>Föryngringsavverkning</t>
        </is>
      </c>
      <c r="D52" s="1" t="n">
        <v>44803</v>
      </c>
      <c r="E52" s="1" t="n">
        <v>46314</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46314</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5793-2025</t>
        </is>
      </c>
      <c r="B54" t="inlineStr">
        <is>
          <t>avverkningsanmälan</t>
        </is>
      </c>
      <c r="C54" t="inlineStr">
        <is>
          <t>Föryngringsavverkning</t>
        </is>
      </c>
      <c r="D54" s="1" t="n">
        <v>45694</v>
      </c>
      <c r="E54" s="1" t="n">
        <v>46314</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t="n">
        <v>0</v>
      </c>
      <c r="V54" s="2" t="inlineStr">
        <is>
          <t>Garnlav
Gammelgransskål</t>
        </is>
      </c>
      <c r="W54">
        <f>HYPERLINK("https://klasma.github.io/Logging_2523/artfynd/A 5793-2025 artfynd.xlsx", "A 5793-2025")</f>
        <v/>
      </c>
      <c r="X54">
        <f>HYPERLINK("https://klasma.github.io/Logging_2523/kartor/A 5793-2025 karta.png", "A 5793-2025")</f>
        <v/>
      </c>
      <c r="Y54">
        <f>HYPERLINK("https://klasma.github.io/Logging_2523/kartor_geotiff/A 5793-2025 georefererad karta.tif", "A 5793-2025")</f>
        <v/>
      </c>
      <c r="AA54">
        <f>HYPERLINK("https://klasma.github.io/Logging_2523/klagomål/A 5793-2025 FSC-klagomål.docx", "A 5793-2025")</f>
        <v/>
      </c>
      <c r="AB54">
        <f>HYPERLINK("https://klasma.github.io/Logging_2523/klagomålsmail/A 5793-2025 FSC-klagomål mail.docx", "A 5793-2025")</f>
        <v/>
      </c>
      <c r="AC54">
        <f>HYPERLINK("https://klasma.github.io/Logging_2523/tillsyn/A 5793-2025 tillsynsbegäran.docx", "A 5793-2025")</f>
        <v/>
      </c>
      <c r="AD54">
        <f>HYPERLINK("https://klasma.github.io/Logging_2523/tillsynsmail/A 5793-2025 tillsynsbegäran mail.docx", "A 5793-2025")</f>
        <v/>
      </c>
    </row>
    <row r="55" ht="15" customHeight="1">
      <c r="A55" t="inlineStr">
        <is>
          <t>A 41134-2025</t>
        </is>
      </c>
      <c r="B55" t="inlineStr">
        <is>
          <t>avverkningsanmälan</t>
        </is>
      </c>
      <c r="C55" t="inlineStr">
        <is>
          <t>Avverkning för att bevara och utveckla /försöksver</t>
        </is>
      </c>
      <c r="D55" s="1" t="n">
        <v>45898</v>
      </c>
      <c r="E55" s="1" t="n">
        <v>46314</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46314</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5776-2025</t>
        </is>
      </c>
      <c r="B57" t="inlineStr">
        <is>
          <t>avverkningsanmälan</t>
        </is>
      </c>
      <c r="C57" t="inlineStr">
        <is>
          <t>Föryngringsavverkning</t>
        </is>
      </c>
      <c r="D57" s="1" t="n">
        <v>45694</v>
      </c>
      <c r="E57" s="1" t="n">
        <v>46314</v>
      </c>
      <c r="F57" t="inlineStr">
        <is>
          <t>NORRBOTTENS LÄN</t>
        </is>
      </c>
      <c r="G57" t="inlineStr">
        <is>
          <t>GÄLLIVARE</t>
        </is>
      </c>
      <c r="H57" t="inlineStr">
        <is>
          <t>SCA</t>
        </is>
      </c>
      <c r="I57" t="n">
        <v>14.5</v>
      </c>
      <c r="J57" t="n">
        <v>1</v>
      </c>
      <c r="K57" t="n">
        <v>0</v>
      </c>
      <c r="L57" t="n">
        <v>1</v>
      </c>
      <c r="M57" t="n">
        <v>1</v>
      </c>
      <c r="N57" t="n">
        <v>0</v>
      </c>
      <c r="O57" t="n">
        <v>0</v>
      </c>
      <c r="P57" t="n">
        <v>0</v>
      </c>
      <c r="Q57" t="n">
        <v>2</v>
      </c>
      <c r="R57" t="n">
        <v>1</v>
      </c>
      <c r="S57" t="n">
        <v>2</v>
      </c>
      <c r="T57" t="n">
        <v>4</v>
      </c>
      <c r="U57" t="n">
        <v>0</v>
      </c>
      <c r="V57" s="2" t="inlineStr">
        <is>
          <t>Garnlav
Lavskrika</t>
        </is>
      </c>
      <c r="W57">
        <f>HYPERLINK("https://klasma.github.io/Logging_2523/artfynd/A 5776-2025 artfynd.xlsx", "A 5776-2025")</f>
        <v/>
      </c>
      <c r="X57">
        <f>HYPERLINK("https://klasma.github.io/Logging_2523/kartor/A 5776-2025 karta.png", "A 5776-2025")</f>
        <v/>
      </c>
      <c r="Y57">
        <f>HYPERLINK("https://klasma.github.io/Logging_2523/kartor_geotiff/A 5776-2025 georefererad karta.tif", "A 5776-2025")</f>
        <v/>
      </c>
      <c r="AA57">
        <f>HYPERLINK("https://klasma.github.io/Logging_2523/klagomål/A 5776-2025 FSC-klagomål.docx", "A 5776-2025")</f>
        <v/>
      </c>
      <c r="AB57">
        <f>HYPERLINK("https://klasma.github.io/Logging_2523/klagomålsmail/A 5776-2025 FSC-klagomål mail.docx", "A 5776-2025")</f>
        <v/>
      </c>
      <c r="AC57">
        <f>HYPERLINK("https://klasma.github.io/Logging_2523/tillsyn/A 5776-2025 tillsynsbegäran.docx", "A 5776-2025")</f>
        <v/>
      </c>
      <c r="AD57">
        <f>HYPERLINK("https://klasma.github.io/Logging_2523/tillsynsmail/A 5776-2025 tillsynsbegäran mail.docx", "A 5776-2025")</f>
        <v/>
      </c>
      <c r="AE57">
        <f>HYPERLINK("https://klasma.github.io/Logging_2523/fåglar/A 5776-2025 prioriterade fågelarter.docx", "A 5776-2025")</f>
        <v/>
      </c>
    </row>
    <row r="58" ht="15" customHeight="1">
      <c r="A58" t="inlineStr">
        <is>
          <t>A 5728-2025</t>
        </is>
      </c>
      <c r="B58" t="inlineStr">
        <is>
          <t>avverkningsanmälan</t>
        </is>
      </c>
      <c r="C58" t="inlineStr">
        <is>
          <t>Föryngringsavverkning</t>
        </is>
      </c>
      <c r="D58" s="1" t="n">
        <v>45694</v>
      </c>
      <c r="E58" s="1" t="n">
        <v>46314</v>
      </c>
      <c r="F58" t="inlineStr">
        <is>
          <t>NORRBOTTENS LÄN</t>
        </is>
      </c>
      <c r="G58" t="inlineStr">
        <is>
          <t>GÄLLIVARE</t>
        </is>
      </c>
      <c r="H58" t="inlineStr">
        <is>
          <t>SCA</t>
        </is>
      </c>
      <c r="I58" t="n">
        <v>13.1</v>
      </c>
      <c r="J58" t="n">
        <v>0</v>
      </c>
      <c r="K58" t="n">
        <v>0</v>
      </c>
      <c r="L58" t="n">
        <v>1</v>
      </c>
      <c r="M58" t="n">
        <v>1</v>
      </c>
      <c r="N58" t="n">
        <v>0</v>
      </c>
      <c r="O58" t="n">
        <v>0</v>
      </c>
      <c r="P58" t="n">
        <v>0</v>
      </c>
      <c r="Q58" t="n">
        <v>2</v>
      </c>
      <c r="R58" t="n">
        <v>1</v>
      </c>
      <c r="S58" t="n">
        <v>2</v>
      </c>
      <c r="T58" t="n">
        <v>6</v>
      </c>
      <c r="U58" t="n">
        <v>0</v>
      </c>
      <c r="V58" s="2" t="inlineStr">
        <is>
          <t>Garnlav
Rosenticka</t>
        </is>
      </c>
      <c r="W58">
        <f>HYPERLINK("https://klasma.github.io/Logging_2523/artfynd/A 5728-2025 artfynd.xlsx", "A 5728-2025")</f>
        <v/>
      </c>
      <c r="X58">
        <f>HYPERLINK("https://klasma.github.io/Logging_2523/kartor/A 5728-2025 karta.png", "A 5728-2025")</f>
        <v/>
      </c>
      <c r="Y58">
        <f>HYPERLINK("https://klasma.github.io/Logging_2523/kartor_geotiff/A 5728-2025 georefererad karta.tif", "A 5728-2025")</f>
        <v/>
      </c>
      <c r="AA58">
        <f>HYPERLINK("https://klasma.github.io/Logging_2523/klagomål/A 5728-2025 FSC-klagomål.docx", "A 5728-2025")</f>
        <v/>
      </c>
      <c r="AB58">
        <f>HYPERLINK("https://klasma.github.io/Logging_2523/klagomålsmail/A 5728-2025 FSC-klagomål mail.docx", "A 5728-2025")</f>
        <v/>
      </c>
      <c r="AC58">
        <f>HYPERLINK("https://klasma.github.io/Logging_2523/tillsyn/A 5728-2025 tillsynsbegäran.docx", "A 5728-2025")</f>
        <v/>
      </c>
      <c r="AD58">
        <f>HYPERLINK("https://klasma.github.io/Logging_2523/tillsynsmail/A 5728-2025 tillsynsbegäran mail.docx", "A 5728-2025")</f>
        <v/>
      </c>
    </row>
    <row r="59" ht="15" customHeight="1">
      <c r="A59" t="inlineStr">
        <is>
          <t>A 41650-2023</t>
        </is>
      </c>
      <c r="B59" t="inlineStr">
        <is>
          <t>avverkningsanmälan</t>
        </is>
      </c>
      <c r="C59" t="inlineStr">
        <is>
          <t>Föryngringsavverkning</t>
        </is>
      </c>
      <c r="D59" s="1" t="n">
        <v>45175</v>
      </c>
      <c r="E59" s="1" t="n">
        <v>46314</v>
      </c>
      <c r="F59" t="inlineStr">
        <is>
          <t>NORRBOTTENS LÄN</t>
        </is>
      </c>
      <c r="G59" t="inlineStr">
        <is>
          <t>GÄLLIVARE</t>
        </is>
      </c>
      <c r="H59" t="inlineStr">
        <is>
          <t>SCA</t>
        </is>
      </c>
      <c r="I59" t="n">
        <v>16.1</v>
      </c>
      <c r="J59" t="n">
        <v>0</v>
      </c>
      <c r="K59" t="n">
        <v>0</v>
      </c>
      <c r="L59" t="n">
        <v>1</v>
      </c>
      <c r="M59" t="n">
        <v>1</v>
      </c>
      <c r="N59" t="n">
        <v>0</v>
      </c>
      <c r="O59" t="n">
        <v>0</v>
      </c>
      <c r="P59" t="n">
        <v>0</v>
      </c>
      <c r="Q59" t="n">
        <v>2</v>
      </c>
      <c r="R59" t="n">
        <v>1</v>
      </c>
      <c r="S59" t="n">
        <v>2</v>
      </c>
      <c r="T59" t="n">
        <v>2</v>
      </c>
      <c r="U59" t="n">
        <v>0</v>
      </c>
      <c r="V59" s="2" t="inlineStr">
        <is>
          <t>Gräddporing
Vaddporing</t>
        </is>
      </c>
      <c r="W59">
        <f>HYPERLINK("https://klasma.github.io/Logging_2523/artfynd/A 41650-2023 artfynd.xlsx", "A 41650-2023")</f>
        <v/>
      </c>
      <c r="X59">
        <f>HYPERLINK("https://klasma.github.io/Logging_2523/kartor/A 41650-2023 karta.png", "A 41650-2023")</f>
        <v/>
      </c>
      <c r="Y59">
        <f>HYPERLINK("https://klasma.github.io/Logging_2523/kartor_geotiff/A 41650-2023 georefererad karta.tif", "A 41650-2023")</f>
        <v/>
      </c>
      <c r="AA59">
        <f>HYPERLINK("https://klasma.github.io/Logging_2523/klagomål/A 41650-2023 FSC-klagomål.docx", "A 41650-2023")</f>
        <v/>
      </c>
      <c r="AB59">
        <f>HYPERLINK("https://klasma.github.io/Logging_2523/klagomålsmail/A 41650-2023 FSC-klagomål mail.docx", "A 41650-2023")</f>
        <v/>
      </c>
      <c r="AC59">
        <f>HYPERLINK("https://klasma.github.io/Logging_2523/tillsyn/A 41650-2023 tillsynsbegäran.docx", "A 41650-2023")</f>
        <v/>
      </c>
      <c r="AD59">
        <f>HYPERLINK("https://klasma.github.io/Logging_2523/tillsynsmail/A 41650-2023 tillsynsbegäran mail.docx", "A 41650-2023")</f>
        <v/>
      </c>
    </row>
    <row r="60" ht="15" customHeight="1">
      <c r="A60" t="inlineStr">
        <is>
          <t>A 18408-2026</t>
        </is>
      </c>
      <c r="B60" t="inlineStr">
        <is>
          <t>avverkningsanmälan</t>
        </is>
      </c>
      <c r="C60" t="inlineStr">
        <is>
          <t>Föryngringsavverkning</t>
        </is>
      </c>
      <c r="D60" s="1" t="n">
        <v>46126</v>
      </c>
      <c r="E60" s="1" t="n">
        <v>46314</v>
      </c>
      <c r="F60" t="inlineStr">
        <is>
          <t>NORRBOTTENS LÄN</t>
        </is>
      </c>
      <c r="G60" t="inlineStr">
        <is>
          <t>GÄLLIVARE</t>
        </is>
      </c>
      <c r="H60" t="inlineStr">
        <is>
          <t>SCA</t>
        </is>
      </c>
      <c r="I60" t="n">
        <v>2</v>
      </c>
      <c r="J60" t="n">
        <v>2</v>
      </c>
      <c r="K60" t="n">
        <v>0</v>
      </c>
      <c r="L60" t="n">
        <v>2</v>
      </c>
      <c r="M60" t="n">
        <v>0</v>
      </c>
      <c r="N60" t="n">
        <v>0</v>
      </c>
      <c r="O60" t="n">
        <v>0</v>
      </c>
      <c r="P60" t="n">
        <v>0</v>
      </c>
      <c r="Q60" t="n">
        <v>2</v>
      </c>
      <c r="R60" t="n">
        <v>0</v>
      </c>
      <c r="S60" t="n">
        <v>2</v>
      </c>
      <c r="T60" t="n">
        <v>2</v>
      </c>
      <c r="U60" t="n">
        <v>0</v>
      </c>
      <c r="V60" s="2" t="inlineStr">
        <is>
          <t>Duvhök
Kungsörn</t>
        </is>
      </c>
      <c r="W60">
        <f>HYPERLINK("https://klasma.github.io/Logging_2523/artfynd/A 18408-2026 artfynd.xlsx", "A 18408-2026")</f>
        <v/>
      </c>
      <c r="X60">
        <f>HYPERLINK("https://klasma.github.io/Logging_2523/kartor/A 18408-2026 karta.png", "A 18408-2026")</f>
        <v/>
      </c>
      <c r="Y60">
        <f>HYPERLINK("https://klasma.github.io/Logging_2523/kartor_geotiff/A 18408-2026 georefererad karta.tif", "A 18408-2026")</f>
        <v/>
      </c>
      <c r="AA60">
        <f>HYPERLINK("https://klasma.github.io/Logging_2523/klagomål/A 18408-2026 FSC-klagomål.docx", "A 18408-2026")</f>
        <v/>
      </c>
      <c r="AB60">
        <f>HYPERLINK("https://klasma.github.io/Logging_2523/klagomålsmail/A 18408-2026 FSC-klagomål mail.docx", "A 18408-2026")</f>
        <v/>
      </c>
      <c r="AC60">
        <f>HYPERLINK("https://klasma.github.io/Logging_2523/tillsyn/A 18408-2026 tillsynsbegäran.docx", "A 18408-2026")</f>
        <v/>
      </c>
      <c r="AD60">
        <f>HYPERLINK("https://klasma.github.io/Logging_2523/tillsynsmail/A 18408-2026 tillsynsbegäran mail.docx", "A 18408-2026")</f>
        <v/>
      </c>
      <c r="AE60">
        <f>HYPERLINK("https://klasma.github.io/Logging_2523/fåglar/A 18408-2026 prioriterade fågelarter.docx", "A 18408-2026")</f>
        <v/>
      </c>
    </row>
    <row r="61" ht="15" customHeight="1">
      <c r="A61" t="inlineStr">
        <is>
          <t>A 30930-2026</t>
        </is>
      </c>
      <c r="B61" t="inlineStr">
        <is>
          <t>avverkningsanmälan</t>
        </is>
      </c>
      <c r="C61" t="inlineStr">
        <is>
          <t>Föryngringsavverkning</t>
        </is>
      </c>
      <c r="D61" s="1" t="n">
        <v>46213</v>
      </c>
      <c r="E61" s="1" t="n">
        <v>46314</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31421-2026</t>
        </is>
      </c>
      <c r="B62" t="inlineStr">
        <is>
          <t>avverkningsanmälan</t>
        </is>
      </c>
      <c r="C62" t="inlineStr">
        <is>
          <t>Föryngringsavverkning</t>
        </is>
      </c>
      <c r="D62" s="1" t="n">
        <v>46220</v>
      </c>
      <c r="E62" s="1" t="n">
        <v>46314</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46314</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28046-2024</t>
        </is>
      </c>
      <c r="B64" t="inlineStr">
        <is>
          <t>avverkningsanmälan</t>
        </is>
      </c>
      <c r="C64" t="inlineStr">
        <is>
          <t>Föryngringsavverkning</t>
        </is>
      </c>
      <c r="D64" s="1" t="n">
        <v>45476</v>
      </c>
      <c r="E64" s="1" t="n">
        <v>46314</v>
      </c>
      <c r="F64" t="inlineStr">
        <is>
          <t>NORRBOTTENS LÄN</t>
        </is>
      </c>
      <c r="G64" t="inlineStr">
        <is>
          <t>GÄLLIVARE</t>
        </is>
      </c>
      <c r="H64" t="inlineStr">
        <is>
          <t>Sveaskog</t>
        </is>
      </c>
      <c r="I64" t="n">
        <v>2.3</v>
      </c>
      <c r="J64" t="n">
        <v>1</v>
      </c>
      <c r="K64" t="n">
        <v>0</v>
      </c>
      <c r="L64" t="n">
        <v>1</v>
      </c>
      <c r="M64" t="n">
        <v>1</v>
      </c>
      <c r="N64" t="n">
        <v>0</v>
      </c>
      <c r="O64" t="n">
        <v>0</v>
      </c>
      <c r="P64" t="n">
        <v>0</v>
      </c>
      <c r="Q64" t="n">
        <v>2</v>
      </c>
      <c r="R64" t="n">
        <v>1</v>
      </c>
      <c r="S64" t="n">
        <v>2</v>
      </c>
      <c r="T64" t="n">
        <v>4</v>
      </c>
      <c r="U64" t="n">
        <v>4</v>
      </c>
      <c r="V64" s="2" t="inlineStr">
        <is>
          <t>Doftticka
Lunglav</t>
        </is>
      </c>
      <c r="W64">
        <f>HYPERLINK("https://klasma.github.io/Logging_2523/artfynd/A 28046-2024 artfynd.xlsx", "A 28046-2024")</f>
        <v/>
      </c>
      <c r="X64">
        <f>HYPERLINK("https://klasma.github.io/Logging_2523/kartor/A 28046-2024 karta.png", "A 28046-2024")</f>
        <v/>
      </c>
      <c r="Y64">
        <f>HYPERLINK("https://klasma.github.io/Logging_2523/kartor_geotiff/A 28046-2024 georefererad karta.tif", "A 28046-2024")</f>
        <v/>
      </c>
      <c r="AA64">
        <f>HYPERLINK("https://klasma.github.io/Logging_2523/klagomål/A 28046-2024 FSC-klagomål.docx", "A 28046-2024")</f>
        <v/>
      </c>
      <c r="AB64">
        <f>HYPERLINK("https://klasma.github.io/Logging_2523/klagomålsmail/A 28046-2024 FSC-klagomål mail.docx", "A 28046-2024")</f>
        <v/>
      </c>
      <c r="AC64">
        <f>HYPERLINK("https://klasma.github.io/Logging_2523/tillsyn/A 28046-2024 tillsynsbegäran.docx", "A 28046-2024")</f>
        <v/>
      </c>
      <c r="AD64">
        <f>HYPERLINK("https://klasma.github.io/Logging_2523/tillsynsmail/A 28046-2024 tillsynsbegäran mail.docx", "A 28046-2024")</f>
        <v/>
      </c>
    </row>
    <row r="65" ht="15" customHeight="1">
      <c r="A65" t="inlineStr">
        <is>
          <t>A 35968-2026</t>
        </is>
      </c>
      <c r="B65" t="inlineStr">
        <is>
          <t>avverkningsanmälan</t>
        </is>
      </c>
      <c r="C65" t="inlineStr">
        <is>
          <t>Föryngringsavverkning</t>
        </is>
      </c>
      <c r="D65" s="1" t="n">
        <v>46266</v>
      </c>
      <c r="E65" s="1" t="n">
        <v>46314</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42749-2026</t>
        </is>
      </c>
      <c r="B66" t="inlineStr">
        <is>
          <t>avverkningsanmälan</t>
        </is>
      </c>
      <c r="C66" t="inlineStr">
        <is>
          <t>Föryngringsavverkning</t>
        </is>
      </c>
      <c r="D66" s="1" t="n">
        <v>46309</v>
      </c>
      <c r="E66" s="1" t="n">
        <v>46314</v>
      </c>
      <c r="F66" t="inlineStr">
        <is>
          <t>NORRBOTTENS LÄN</t>
        </is>
      </c>
      <c r="G66" t="inlineStr">
        <is>
          <t>GÄLLIVARE</t>
        </is>
      </c>
      <c r="H66" t="inlineStr">
        <is>
          <t>Sveaskog</t>
        </is>
      </c>
      <c r="I66" t="n">
        <v>10.2</v>
      </c>
      <c r="J66" t="n">
        <v>0</v>
      </c>
      <c r="K66" t="n">
        <v>0</v>
      </c>
      <c r="L66" t="n">
        <v>1</v>
      </c>
      <c r="M66" t="n">
        <v>1</v>
      </c>
      <c r="N66" t="n">
        <v>0</v>
      </c>
      <c r="O66" t="n">
        <v>0</v>
      </c>
      <c r="P66" t="n">
        <v>0</v>
      </c>
      <c r="Q66" t="n">
        <v>2</v>
      </c>
      <c r="R66" t="n">
        <v>1</v>
      </c>
      <c r="S66" t="n">
        <v>2</v>
      </c>
      <c r="T66" t="n">
        <v>4</v>
      </c>
      <c r="U66" t="n">
        <v>1</v>
      </c>
      <c r="V66" s="2" t="inlineStr">
        <is>
          <t>Garnlav
Dropptaggsvamp</t>
        </is>
      </c>
      <c r="W66">
        <f>HYPERLINK("https://klasma.github.io/Logging_2523/artfynd/A 42749-2026 artfynd.xlsx", "A 42749-2026")</f>
        <v/>
      </c>
      <c r="X66">
        <f>HYPERLINK("https://klasma.github.io/Logging_2523/kartor/A 42749-2026 karta.png", "A 42749-2026")</f>
        <v/>
      </c>
      <c r="Y66">
        <f>HYPERLINK("https://klasma.github.io/Logging_2523/kartor_geotiff/A 42749-2026 georefererad karta.tif", "A 42749-2026")</f>
        <v/>
      </c>
      <c r="AA66">
        <f>HYPERLINK("https://klasma.github.io/Logging_2523/klagomål/A 42749-2026 FSC-klagomål.docx", "A 42749-2026")</f>
        <v/>
      </c>
      <c r="AB66">
        <f>HYPERLINK("https://klasma.github.io/Logging_2523/klagomålsmail/A 42749-2026 FSC-klagomål mail.docx", "A 42749-2026")</f>
        <v/>
      </c>
      <c r="AC66">
        <f>HYPERLINK("https://klasma.github.io/Logging_2523/tillsyn/A 42749-2026 tillsynsbegäran.docx", "A 42749-2026")</f>
        <v/>
      </c>
      <c r="AD66">
        <f>HYPERLINK("https://klasma.github.io/Logging_2523/tillsynsmail/A 42749-2026 tillsynsbegäran mail.docx", "A 42749-2026")</f>
        <v/>
      </c>
    </row>
    <row r="67" ht="15" customHeight="1">
      <c r="A67" t="inlineStr">
        <is>
          <t>A 36015-2026</t>
        </is>
      </c>
      <c r="B67" t="inlineStr">
        <is>
          <t>avverkningsanmälan</t>
        </is>
      </c>
      <c r="C67" t="inlineStr">
        <is>
          <t>Föryngringsavverkning</t>
        </is>
      </c>
      <c r="D67" s="1" t="n">
        <v>46266</v>
      </c>
      <c r="E67" s="1" t="n">
        <v>46314</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35674-2026</t>
        </is>
      </c>
      <c r="B68" t="inlineStr">
        <is>
          <t>avverkningsanmälan</t>
        </is>
      </c>
      <c r="C68" t="inlineStr">
        <is>
          <t>Föryngringsavverkning</t>
        </is>
      </c>
      <c r="D68" s="1" t="n">
        <v>46265</v>
      </c>
      <c r="E68" s="1" t="n">
        <v>46314</v>
      </c>
      <c r="F68" t="inlineStr">
        <is>
          <t>NORRBOTTENS LÄN</t>
        </is>
      </c>
      <c r="G68" t="inlineStr">
        <is>
          <t>GÄLLIVARE</t>
        </is>
      </c>
      <c r="I68" t="n">
        <v>1</v>
      </c>
      <c r="J68" t="n">
        <v>1</v>
      </c>
      <c r="K68" t="n">
        <v>0</v>
      </c>
      <c r="L68" t="n">
        <v>1</v>
      </c>
      <c r="M68" t="n">
        <v>0</v>
      </c>
      <c r="N68" t="n">
        <v>0</v>
      </c>
      <c r="O68" t="n">
        <v>0</v>
      </c>
      <c r="P68" t="n">
        <v>0</v>
      </c>
      <c r="Q68" t="n">
        <v>1</v>
      </c>
      <c r="R68" t="n">
        <v>0</v>
      </c>
      <c r="S68" t="n">
        <v>2</v>
      </c>
      <c r="T68" t="n">
        <v>2</v>
      </c>
      <c r="U68" t="n">
        <v>2</v>
      </c>
      <c r="V68" s="2" t="inlineStr">
        <is>
          <t>Veckticka
Revlummer</t>
        </is>
      </c>
      <c r="W68">
        <f>HYPERLINK("https://klasma.github.io/Logging_2523/artfynd/A 35674-2026 artfynd.xlsx", "A 35674-2026")</f>
        <v/>
      </c>
      <c r="X68">
        <f>HYPERLINK("https://klasma.github.io/Logging_2523/kartor/A 35674-2026 karta.png", "A 35674-2026")</f>
        <v/>
      </c>
      <c r="Y68">
        <f>HYPERLINK("https://klasma.github.io/Logging_2523/kartor_geotiff/A 35674-2026 georefererad karta.tif", "A 35674-2026")</f>
        <v/>
      </c>
      <c r="AA68">
        <f>HYPERLINK("https://klasma.github.io/Logging_2523/klagomål/A 35674-2026 FSC-klagomål.docx", "A 35674-2026")</f>
        <v/>
      </c>
      <c r="AB68">
        <f>HYPERLINK("https://klasma.github.io/Logging_2523/klagomålsmail/A 35674-2026 FSC-klagomål mail.docx", "A 35674-2026")</f>
        <v/>
      </c>
      <c r="AC68">
        <f>HYPERLINK("https://klasma.github.io/Logging_2523/tillsyn/A 35674-2026 tillsynsbegäran.docx", "A 35674-2026")</f>
        <v/>
      </c>
      <c r="AD68">
        <f>HYPERLINK("https://klasma.github.io/Logging_2523/tillsynsmail/A 35674-2026 tillsynsbegäran mail.docx", "A 35674-2026")</f>
        <v/>
      </c>
    </row>
    <row r="69" ht="15" customHeight="1">
      <c r="A69" t="inlineStr">
        <is>
          <t>A 33734-2026</t>
        </is>
      </c>
      <c r="B69" t="inlineStr">
        <is>
          <t>avverkningsanmälan</t>
        </is>
      </c>
      <c r="C69" t="inlineStr">
        <is>
          <t>Föryngringsavverkning</t>
        </is>
      </c>
      <c r="D69" s="1" t="n">
        <v>46251</v>
      </c>
      <c r="E69" s="1" t="n">
        <v>46314</v>
      </c>
      <c r="F69" t="inlineStr">
        <is>
          <t>NORRBOTTENS LÄN</t>
        </is>
      </c>
      <c r="G69" t="inlineStr">
        <is>
          <t>GÄLLIVARE</t>
        </is>
      </c>
      <c r="H69" t="inlineStr">
        <is>
          <t>SCA</t>
        </is>
      </c>
      <c r="I69" t="n">
        <v>2.3</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33734-2026 artfynd.xlsx", "A 33734-2026")</f>
        <v/>
      </c>
      <c r="X69">
        <f>HYPERLINK("https://klasma.github.io/Logging_2523/kartor/A 33734-2026 karta.png", "A 33734-2026")</f>
        <v/>
      </c>
      <c r="Y69">
        <f>HYPERLINK("https://klasma.github.io/Logging_2523/kartor_geotiff/A 33734-2026 georefererad karta.tif", "A 33734-2026")</f>
        <v/>
      </c>
      <c r="AA69">
        <f>HYPERLINK("https://klasma.github.io/Logging_2523/klagomål/A 33734-2026 FSC-klagomål.docx", "A 33734-2026")</f>
        <v/>
      </c>
      <c r="AB69">
        <f>HYPERLINK("https://klasma.github.io/Logging_2523/klagomålsmail/A 33734-2026 FSC-klagomål mail.docx", "A 33734-2026")</f>
        <v/>
      </c>
      <c r="AC69">
        <f>HYPERLINK("https://klasma.github.io/Logging_2523/tillsyn/A 33734-2026 tillsynsbegäran.docx", "A 33734-2026")</f>
        <v/>
      </c>
      <c r="AD69">
        <f>HYPERLINK("https://klasma.github.io/Logging_2523/tillsynsmail/A 33734-2026 tillsynsbegäran mail.docx", "A 33734-2026")</f>
        <v/>
      </c>
    </row>
    <row r="70" ht="15" customHeight="1">
      <c r="A70" t="inlineStr">
        <is>
          <t>A 33029-2026</t>
        </is>
      </c>
      <c r="B70" t="inlineStr">
        <is>
          <t>avverkningsanmälan</t>
        </is>
      </c>
      <c r="C70" t="inlineStr">
        <is>
          <t>Föryngringsavverkning</t>
        </is>
      </c>
      <c r="D70" s="1" t="n">
        <v>46244</v>
      </c>
      <c r="E70" s="1" t="n">
        <v>46314</v>
      </c>
      <c r="F70" t="inlineStr">
        <is>
          <t>NORRBOTTENS LÄN</t>
        </is>
      </c>
      <c r="G70" t="inlineStr">
        <is>
          <t>GÄLLIVARE</t>
        </is>
      </c>
      <c r="H70" t="inlineStr">
        <is>
          <t>SCA</t>
        </is>
      </c>
      <c r="I70" t="n">
        <v>6.8</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33029-2026 artfynd.xlsx", "A 33029-2026")</f>
        <v/>
      </c>
      <c r="X70">
        <f>HYPERLINK("https://klasma.github.io/Logging_2523/kartor/A 33029-2026 karta.png", "A 33029-2026")</f>
        <v/>
      </c>
      <c r="Y70">
        <f>HYPERLINK("https://klasma.github.io/Logging_2523/kartor_geotiff/A 33029-2026 georefererad karta.tif", "A 33029-2026")</f>
        <v/>
      </c>
      <c r="AA70">
        <f>HYPERLINK("https://klasma.github.io/Logging_2523/klagomål/A 33029-2026 FSC-klagomål.docx", "A 33029-2026")</f>
        <v/>
      </c>
      <c r="AB70">
        <f>HYPERLINK("https://klasma.github.io/Logging_2523/klagomålsmail/A 33029-2026 FSC-klagomål mail.docx", "A 33029-2026")</f>
        <v/>
      </c>
      <c r="AC70">
        <f>HYPERLINK("https://klasma.github.io/Logging_2523/tillsyn/A 33029-2026 tillsynsbegäran.docx", "A 33029-2026")</f>
        <v/>
      </c>
      <c r="AD70">
        <f>HYPERLINK("https://klasma.github.io/Logging_2523/tillsynsmail/A 33029-2026 tillsynsbegäran mail.docx", "A 33029-2026")</f>
        <v/>
      </c>
    </row>
    <row r="71" ht="15" customHeight="1">
      <c r="A71" t="inlineStr">
        <is>
          <t>A 41511-2026</t>
        </is>
      </c>
      <c r="B71" t="inlineStr">
        <is>
          <t>avverkningsanmälan</t>
        </is>
      </c>
      <c r="C71" t="inlineStr">
        <is>
          <t>Föryngringsavverkning</t>
        </is>
      </c>
      <c r="D71" s="1" t="n">
        <v>46301</v>
      </c>
      <c r="E71" s="1" t="n">
        <v>46314</v>
      </c>
      <c r="F71" t="inlineStr">
        <is>
          <t>NORRBOTTENS LÄN</t>
        </is>
      </c>
      <c r="G71" t="inlineStr">
        <is>
          <t>GÄLLIVARE</t>
        </is>
      </c>
      <c r="H71" t="inlineStr">
        <is>
          <t>SCA</t>
        </is>
      </c>
      <c r="I71" t="n">
        <v>0.7</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41511-2026 artfynd.xlsx", "A 41511-2026")</f>
        <v/>
      </c>
      <c r="X71">
        <f>HYPERLINK("https://klasma.github.io/Logging_2523/kartor/A 41511-2026 karta.png", "A 41511-2026")</f>
        <v/>
      </c>
      <c r="Y71">
        <f>HYPERLINK("https://klasma.github.io/Logging_2523/kartor_geotiff/A 41511-2026 georefererad karta.tif", "A 41511-2026")</f>
        <v/>
      </c>
      <c r="AA71">
        <f>HYPERLINK("https://klasma.github.io/Logging_2523/klagomål/A 41511-2026 FSC-klagomål.docx", "A 41511-2026")</f>
        <v/>
      </c>
      <c r="AB71">
        <f>HYPERLINK("https://klasma.github.io/Logging_2523/klagomålsmail/A 41511-2026 FSC-klagomål mail.docx", "A 41511-2026")</f>
        <v/>
      </c>
      <c r="AC71">
        <f>HYPERLINK("https://klasma.github.io/Logging_2523/tillsyn/A 41511-2026 tillsynsbegäran.docx", "A 41511-2026")</f>
        <v/>
      </c>
      <c r="AD71">
        <f>HYPERLINK("https://klasma.github.io/Logging_2523/tillsynsmail/A 41511-2026 tillsynsbegäran mail.docx", "A 41511-2026")</f>
        <v/>
      </c>
    </row>
    <row r="72" ht="15" customHeight="1">
      <c r="A72" t="inlineStr">
        <is>
          <t>A 5708-2023</t>
        </is>
      </c>
      <c r="B72" t="inlineStr">
        <is>
          <t>avverkningsanmälan</t>
        </is>
      </c>
      <c r="C72" t="inlineStr">
        <is>
          <t>Föryngringsavverkning</t>
        </is>
      </c>
      <c r="D72" s="1" t="n">
        <v>44960</v>
      </c>
      <c r="E72" s="1" t="n">
        <v>46314</v>
      </c>
      <c r="F72" t="inlineStr">
        <is>
          <t>NORRBOTTENS LÄN</t>
        </is>
      </c>
      <c r="G72" t="inlineStr">
        <is>
          <t>GÄLLIVARE</t>
        </is>
      </c>
      <c r="H72" t="inlineStr">
        <is>
          <t>SCA</t>
        </is>
      </c>
      <c r="I72" t="n">
        <v>15.3</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5708-2023 artfynd.xlsx", "A 5708-2023")</f>
        <v/>
      </c>
      <c r="X72">
        <f>HYPERLINK("https://klasma.github.io/Logging_2523/kartor/A 5708-2023 karta.png", "A 5708-2023")</f>
        <v/>
      </c>
      <c r="Y72">
        <f>HYPERLINK("https://klasma.github.io/Logging_2523/kartor_geotiff/A 5708-2023 georefererad karta.tif", "A 5708-2023")</f>
        <v/>
      </c>
      <c r="AA72">
        <f>HYPERLINK("https://klasma.github.io/Logging_2523/klagomål/A 5708-2023 FSC-klagomål.docx", "A 5708-2023")</f>
        <v/>
      </c>
      <c r="AB72">
        <f>HYPERLINK("https://klasma.github.io/Logging_2523/klagomålsmail/A 5708-2023 FSC-klagomål mail.docx", "A 5708-2023")</f>
        <v/>
      </c>
      <c r="AC72">
        <f>HYPERLINK("https://klasma.github.io/Logging_2523/tillsyn/A 5708-2023 tillsynsbegäran.docx", "A 5708-2023")</f>
        <v/>
      </c>
      <c r="AD72">
        <f>HYPERLINK("https://klasma.github.io/Logging_2523/tillsynsmail/A 5708-2023 tillsynsbegäran mail.docx", "A 5708-2023")</f>
        <v/>
      </c>
    </row>
    <row r="73" ht="15" customHeight="1">
      <c r="A73" t="inlineStr">
        <is>
          <t>A 39968-2025</t>
        </is>
      </c>
      <c r="B73" t="inlineStr">
        <is>
          <t>avverkningsanmälan</t>
        </is>
      </c>
      <c r="C73" t="inlineStr">
        <is>
          <t>Föryngringsavverkning</t>
        </is>
      </c>
      <c r="D73" s="1" t="n">
        <v>45892</v>
      </c>
      <c r="E73" s="1" t="n">
        <v>46314</v>
      </c>
      <c r="F73" t="inlineStr">
        <is>
          <t>NORRBOTTENS LÄN</t>
        </is>
      </c>
      <c r="G73" t="inlineStr">
        <is>
          <t>GÄLLIVARE</t>
        </is>
      </c>
      <c r="H73" t="inlineStr">
        <is>
          <t>SCA</t>
        </is>
      </c>
      <c r="I73" t="n">
        <v>3.4</v>
      </c>
      <c r="J73" t="n">
        <v>0</v>
      </c>
      <c r="K73" t="n">
        <v>0</v>
      </c>
      <c r="L73" t="n">
        <v>1</v>
      </c>
      <c r="M73" t="n">
        <v>0</v>
      </c>
      <c r="N73" t="n">
        <v>0</v>
      </c>
      <c r="O73" t="n">
        <v>0</v>
      </c>
      <c r="P73" t="n">
        <v>0</v>
      </c>
      <c r="Q73" t="n">
        <v>1</v>
      </c>
      <c r="R73" t="n">
        <v>0</v>
      </c>
      <c r="S73" t="n">
        <v>1</v>
      </c>
      <c r="T73" t="n">
        <v>1</v>
      </c>
      <c r="U73" t="n">
        <v>1</v>
      </c>
      <c r="V73" s="2" t="inlineStr">
        <is>
          <t>Violmussling</t>
        </is>
      </c>
      <c r="W73">
        <f>HYPERLINK("https://klasma.github.io/Logging_2523/artfynd/A 39968-2025 artfynd.xlsx", "A 39968-2025")</f>
        <v/>
      </c>
      <c r="X73">
        <f>HYPERLINK("https://klasma.github.io/Logging_2523/kartor/A 39968-2025 karta.png", "A 39968-2025")</f>
        <v/>
      </c>
      <c r="Y73">
        <f>HYPERLINK("https://klasma.github.io/Logging_2523/kartor_geotiff/A 39968-2025 georefererad karta.tif", "A 39968-2025")</f>
        <v/>
      </c>
      <c r="AA73">
        <f>HYPERLINK("https://klasma.github.io/Logging_2523/klagomål/A 39968-2025 FSC-klagomål.docx", "A 39968-2025")</f>
        <v/>
      </c>
      <c r="AB73">
        <f>HYPERLINK("https://klasma.github.io/Logging_2523/klagomålsmail/A 39968-2025 FSC-klagomål mail.docx", "A 39968-2025")</f>
        <v/>
      </c>
      <c r="AC73">
        <f>HYPERLINK("https://klasma.github.io/Logging_2523/tillsyn/A 39968-2025 tillsynsbegäran.docx", "A 39968-2025")</f>
        <v/>
      </c>
      <c r="AD73">
        <f>HYPERLINK("https://klasma.github.io/Logging_2523/tillsynsmail/A 39968-2025 tillsynsbegäran mail.docx", "A 39968-2025")</f>
        <v/>
      </c>
    </row>
    <row r="74" ht="15" customHeight="1">
      <c r="A74" t="inlineStr">
        <is>
          <t>A 20138-2026</t>
        </is>
      </c>
      <c r="B74" t="inlineStr">
        <is>
          <t>avverkningsanmälan</t>
        </is>
      </c>
      <c r="C74" t="inlineStr">
        <is>
          <t>Föryngringsavverkning</t>
        </is>
      </c>
      <c r="D74" s="1" t="n">
        <v>46136</v>
      </c>
      <c r="E74" s="1" t="n">
        <v>46314</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16857-2025</t>
        </is>
      </c>
      <c r="B75" t="inlineStr">
        <is>
          <t>avverkningsanmälan</t>
        </is>
      </c>
      <c r="C75" t="inlineStr">
        <is>
          <t>Avverkning för annat ändamål</t>
        </is>
      </c>
      <c r="D75" s="1" t="n">
        <v>45751</v>
      </c>
      <c r="E75" s="1" t="n">
        <v>46314</v>
      </c>
      <c r="F75" t="inlineStr">
        <is>
          <t>NORRBOTTENS LÄN</t>
        </is>
      </c>
      <c r="G75" t="inlineStr">
        <is>
          <t>GÄLLIVARE</t>
        </is>
      </c>
      <c r="I75" t="n">
        <v>1.7</v>
      </c>
      <c r="J75" t="n">
        <v>0</v>
      </c>
      <c r="K75" t="n">
        <v>1</v>
      </c>
      <c r="L75" t="n">
        <v>0</v>
      </c>
      <c r="M75" t="n">
        <v>0</v>
      </c>
      <c r="N75" t="n">
        <v>0</v>
      </c>
      <c r="O75" t="n">
        <v>0</v>
      </c>
      <c r="P75" t="n">
        <v>0</v>
      </c>
      <c r="Q75" t="n">
        <v>0</v>
      </c>
      <c r="R75" t="n">
        <v>0</v>
      </c>
      <c r="S75" t="n">
        <v>1</v>
      </c>
      <c r="T75" t="n">
        <v>1</v>
      </c>
      <c r="U75" t="n">
        <v>1</v>
      </c>
      <c r="V75" s="2" t="inlineStr">
        <is>
          <t>Nästlav</t>
        </is>
      </c>
      <c r="W75">
        <f>HYPERLINK("https://klasma.github.io/Logging_2523/artfynd/A 16857-2025 artfynd.xlsx", "A 16857-2025")</f>
        <v/>
      </c>
      <c r="X75">
        <f>HYPERLINK("https://klasma.github.io/Logging_2523/kartor/A 16857-2025 karta.png", "A 16857-2025")</f>
        <v/>
      </c>
      <c r="Y75">
        <f>HYPERLINK("https://klasma.github.io/Logging_2523/kartor_geotiff/A 16857-2025 georefererad karta.tif", "A 16857-2025")</f>
        <v/>
      </c>
      <c r="AA75">
        <f>HYPERLINK("https://klasma.github.io/Logging_2523/klagomål/A 16857-2025 FSC-klagomål.docx", "A 16857-2025")</f>
        <v/>
      </c>
      <c r="AB75">
        <f>HYPERLINK("https://klasma.github.io/Logging_2523/klagomålsmail/A 16857-2025 FSC-klagomål mail.docx", "A 16857-2025")</f>
        <v/>
      </c>
      <c r="AC75">
        <f>HYPERLINK("https://klasma.github.io/Logging_2523/tillsyn/A 16857-2025 tillsynsbegäran.docx", "A 16857-2025")</f>
        <v/>
      </c>
      <c r="AD75">
        <f>HYPERLINK("https://klasma.github.io/Logging_2523/tillsynsmail/A 16857-2025 tillsynsbegäran mail.docx", "A 16857-2025")</f>
        <v/>
      </c>
    </row>
    <row r="76" ht="15" customHeight="1">
      <c r="A76" t="inlineStr">
        <is>
          <t>A 21159-2023</t>
        </is>
      </c>
      <c r="B76" t="inlineStr">
        <is>
          <t>avverkningsanmälan</t>
        </is>
      </c>
      <c r="C76" t="inlineStr">
        <is>
          <t>Föryngringsavverkning</t>
        </is>
      </c>
      <c r="D76" s="1" t="n">
        <v>45062</v>
      </c>
      <c r="E76" s="1" t="n">
        <v>46314</v>
      </c>
      <c r="F76" t="inlineStr">
        <is>
          <t>NORRBOTTENS LÄN</t>
        </is>
      </c>
      <c r="G76" t="inlineStr">
        <is>
          <t>GÄLLIVARE</t>
        </is>
      </c>
      <c r="H76" t="inlineStr">
        <is>
          <t>Sveaskog</t>
        </is>
      </c>
      <c r="I76" t="n">
        <v>111</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21159-2023 artfynd.xlsx", "A 21159-2023")</f>
        <v/>
      </c>
      <c r="X76">
        <f>HYPERLINK("https://klasma.github.io/Logging_2523/kartor/A 21159-2023 karta.png", "A 21159-2023")</f>
        <v/>
      </c>
      <c r="Y76">
        <f>HYPERLINK("https://klasma.github.io/Logging_2523/kartor_geotiff/A 21159-2023 georefererad karta.tif", "A 21159-2023")</f>
        <v/>
      </c>
      <c r="AA76">
        <f>HYPERLINK("https://klasma.github.io/Logging_2523/klagomål/A 21159-2023 FSC-klagomål.docx", "A 21159-2023")</f>
        <v/>
      </c>
      <c r="AB76">
        <f>HYPERLINK("https://klasma.github.io/Logging_2523/klagomålsmail/A 21159-2023 FSC-klagomål mail.docx", "A 21159-2023")</f>
        <v/>
      </c>
      <c r="AC76">
        <f>HYPERLINK("https://klasma.github.io/Logging_2523/tillsyn/A 21159-2023 tillsynsbegäran.docx", "A 21159-2023")</f>
        <v/>
      </c>
      <c r="AD76">
        <f>HYPERLINK("https://klasma.github.io/Logging_2523/tillsynsmail/A 21159-2023 tillsynsbegäran mail.docx", "A 21159-2023")</f>
        <v/>
      </c>
    </row>
    <row r="77" ht="15" customHeight="1">
      <c r="A77" t="inlineStr">
        <is>
          <t>A 44985-2023</t>
        </is>
      </c>
      <c r="B77" t="inlineStr">
        <is>
          <t>avverkningsanmälan</t>
        </is>
      </c>
      <c r="C77" t="inlineStr">
        <is>
          <t>Föryngringsavverkning</t>
        </is>
      </c>
      <c r="D77" s="1" t="n">
        <v>45190</v>
      </c>
      <c r="E77" s="1" t="n">
        <v>46314</v>
      </c>
      <c r="F77" t="inlineStr">
        <is>
          <t>NORRBOTTENS LÄN</t>
        </is>
      </c>
      <c r="G77" t="inlineStr">
        <is>
          <t>GÄLLIVARE</t>
        </is>
      </c>
      <c r="H77" t="inlineStr">
        <is>
          <t>SCA</t>
        </is>
      </c>
      <c r="I77" t="n">
        <v>2.8</v>
      </c>
      <c r="J77" t="n">
        <v>1</v>
      </c>
      <c r="K77" t="n">
        <v>0</v>
      </c>
      <c r="L77" t="n">
        <v>0</v>
      </c>
      <c r="M77" t="n">
        <v>0</v>
      </c>
      <c r="N77" t="n">
        <v>0</v>
      </c>
      <c r="O77" t="n">
        <v>0</v>
      </c>
      <c r="P77" t="n">
        <v>0</v>
      </c>
      <c r="Q77" t="n">
        <v>0</v>
      </c>
      <c r="R77" t="n">
        <v>0</v>
      </c>
      <c r="S77" t="n">
        <v>1</v>
      </c>
      <c r="T77" t="n">
        <v>1</v>
      </c>
      <c r="U77" t="n">
        <v>1</v>
      </c>
      <c r="V77" s="2" t="inlineStr">
        <is>
          <t>Brudsporre</t>
        </is>
      </c>
      <c r="W77">
        <f>HYPERLINK("https://klasma.github.io/Logging_2523/artfynd/A 44985-2023 artfynd.xlsx", "A 44985-2023")</f>
        <v/>
      </c>
      <c r="X77">
        <f>HYPERLINK("https://klasma.github.io/Logging_2523/kartor/A 44985-2023 karta.png", "A 44985-2023")</f>
        <v/>
      </c>
      <c r="Y77">
        <f>HYPERLINK("https://klasma.github.io/Logging_2523/kartor_geotiff/A 44985-2023 georefererad karta.tif", "A 44985-2023")</f>
        <v/>
      </c>
      <c r="AA77">
        <f>HYPERLINK("https://klasma.github.io/Logging_2523/klagomål/A 44985-2023 FSC-klagomål.docx", "A 44985-2023")</f>
        <v/>
      </c>
      <c r="AB77">
        <f>HYPERLINK("https://klasma.github.io/Logging_2523/klagomålsmail/A 44985-2023 FSC-klagomål mail.docx", "A 44985-2023")</f>
        <v/>
      </c>
      <c r="AC77">
        <f>HYPERLINK("https://klasma.github.io/Logging_2523/tillsyn/A 44985-2023 tillsynsbegäran.docx", "A 44985-2023")</f>
        <v/>
      </c>
      <c r="AD77">
        <f>HYPERLINK("https://klasma.github.io/Logging_2523/tillsynsmail/A 44985-2023 tillsynsbegäran mail.docx", "A 44985-2023")</f>
        <v/>
      </c>
    </row>
    <row r="78" ht="15" customHeight="1">
      <c r="A78" t="inlineStr">
        <is>
          <t>A 8516-2025</t>
        </is>
      </c>
      <c r="B78" t="inlineStr">
        <is>
          <t>avverkningsanmälan</t>
        </is>
      </c>
      <c r="C78" t="inlineStr">
        <is>
          <t>Föryngringsavverkning</t>
        </is>
      </c>
      <c r="D78" s="1" t="n">
        <v>45709</v>
      </c>
      <c r="E78" s="1" t="n">
        <v>46314</v>
      </c>
      <c r="F78" t="inlineStr">
        <is>
          <t>NORRBOTTENS LÄN</t>
        </is>
      </c>
      <c r="G78" t="inlineStr">
        <is>
          <t>GÄLLIVARE</t>
        </is>
      </c>
      <c r="H78" t="inlineStr">
        <is>
          <t>SCA</t>
        </is>
      </c>
      <c r="I78" t="n">
        <v>4.7</v>
      </c>
      <c r="J78" t="n">
        <v>1</v>
      </c>
      <c r="K78" t="n">
        <v>0</v>
      </c>
      <c r="L78" t="n">
        <v>1</v>
      </c>
      <c r="M78" t="n">
        <v>0</v>
      </c>
      <c r="N78" t="n">
        <v>0</v>
      </c>
      <c r="O78" t="n">
        <v>0</v>
      </c>
      <c r="P78" t="n">
        <v>0</v>
      </c>
      <c r="Q78" t="n">
        <v>1</v>
      </c>
      <c r="R78" t="n">
        <v>0</v>
      </c>
      <c r="S78" t="n">
        <v>1</v>
      </c>
      <c r="T78" t="n">
        <v>1</v>
      </c>
      <c r="U78" t="n">
        <v>0</v>
      </c>
      <c r="V78" s="2" t="inlineStr">
        <is>
          <t>Sädesärla</t>
        </is>
      </c>
      <c r="W78">
        <f>HYPERLINK("https://klasma.github.io/Logging_2523/artfynd/A 8516-2025 artfynd.xlsx", "A 8516-2025")</f>
        <v/>
      </c>
      <c r="X78">
        <f>HYPERLINK("https://klasma.github.io/Logging_2523/kartor/A 8516-2025 karta.png", "A 8516-2025")</f>
        <v/>
      </c>
      <c r="Y78">
        <f>HYPERLINK("https://klasma.github.io/Logging_2523/kartor_geotiff/A 8516-2025 georefererad karta.tif", "A 8516-2025")</f>
        <v/>
      </c>
      <c r="AA78">
        <f>HYPERLINK("https://klasma.github.io/Logging_2523/klagomål/A 8516-2025 FSC-klagomål.docx", "A 8516-2025")</f>
        <v/>
      </c>
      <c r="AB78">
        <f>HYPERLINK("https://klasma.github.io/Logging_2523/klagomålsmail/A 8516-2025 FSC-klagomål mail.docx", "A 8516-2025")</f>
        <v/>
      </c>
      <c r="AC78">
        <f>HYPERLINK("https://klasma.github.io/Logging_2523/tillsyn/A 8516-2025 tillsynsbegäran.docx", "A 8516-2025")</f>
        <v/>
      </c>
      <c r="AD78">
        <f>HYPERLINK("https://klasma.github.io/Logging_2523/tillsynsmail/A 8516-2025 tillsynsbegäran mail.docx", "A 8516-2025")</f>
        <v/>
      </c>
      <c r="AE78">
        <f>HYPERLINK("https://klasma.github.io/Logging_2523/fåglar/A 8516-2025 prioriterade fågelarter.docx", "A 8516-2025")</f>
        <v/>
      </c>
    </row>
    <row r="79" ht="15" customHeight="1">
      <c r="A79" t="inlineStr">
        <is>
          <t>A 18043-2024</t>
        </is>
      </c>
      <c r="B79" t="inlineStr">
        <is>
          <t>avverkningsanmälan</t>
        </is>
      </c>
      <c r="C79" t="inlineStr">
        <is>
          <t>Föryngringsavverkning</t>
        </is>
      </c>
      <c r="D79" s="1" t="n">
        <v>45420</v>
      </c>
      <c r="E79" s="1" t="n">
        <v>46314</v>
      </c>
      <c r="F79" t="inlineStr">
        <is>
          <t>NORRBOTTENS LÄN</t>
        </is>
      </c>
      <c r="G79" t="inlineStr">
        <is>
          <t>GÄLLIVARE</t>
        </is>
      </c>
      <c r="I79" t="n">
        <v>35.5</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HYPERLINK("https://klasma.github.io/Logging_2523/artfynd/A 18043-2024 artfynd.xlsx", "A 18043-2024")</f>
        <v/>
      </c>
      <c r="X79">
        <f>HYPERLINK("https://klasma.github.io/Logging_2523/kartor/A 18043-2024 karta.png", "A 18043-2024")</f>
        <v/>
      </c>
      <c r="Y79">
        <f>HYPERLINK("https://klasma.github.io/Logging_2523/kartor_geotiff/A 18043-2024 georefererad karta.tif", "A 18043-2024")</f>
        <v/>
      </c>
      <c r="AA79">
        <f>HYPERLINK("https://klasma.github.io/Logging_2523/klagomål/A 18043-2024 FSC-klagomål.docx", "A 18043-2024")</f>
        <v/>
      </c>
      <c r="AB79">
        <f>HYPERLINK("https://klasma.github.io/Logging_2523/klagomålsmail/A 18043-2024 FSC-klagomål mail.docx", "A 18043-2024")</f>
        <v/>
      </c>
      <c r="AC79">
        <f>HYPERLINK("https://klasma.github.io/Logging_2523/tillsyn/A 18043-2024 tillsynsbegäran.docx", "A 18043-2024")</f>
        <v/>
      </c>
      <c r="AD79">
        <f>HYPERLINK("https://klasma.github.io/Logging_2523/tillsynsmail/A 18043-2024 tillsynsbegäran mail.docx", "A 18043-2024")</f>
        <v/>
      </c>
    </row>
    <row r="80" ht="15" customHeight="1">
      <c r="A80" t="inlineStr">
        <is>
          <t>A 40151-2025</t>
        </is>
      </c>
      <c r="B80" t="inlineStr">
        <is>
          <t>avverkningsanmälan</t>
        </is>
      </c>
      <c r="C80" t="inlineStr">
        <is>
          <t>Avverkning för annat ändamål</t>
        </is>
      </c>
      <c r="D80" s="1" t="n">
        <v>45894</v>
      </c>
      <c r="E80" s="1" t="n">
        <v>46314</v>
      </c>
      <c r="F80" t="inlineStr">
        <is>
          <t>NORRBOTTENS LÄN</t>
        </is>
      </c>
      <c r="G80" t="inlineStr">
        <is>
          <t>GÄLLIVARE</t>
        </is>
      </c>
      <c r="H80" t="inlineStr">
        <is>
          <t>Allmännings- och besparingsskogar</t>
        </is>
      </c>
      <c r="I80" t="n">
        <v>4.5</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HYPERLINK("https://klasma.github.io/Logging_2523/artfynd/A 40151-2025 artfynd.xlsx", "A 40151-2025")</f>
        <v/>
      </c>
      <c r="X80">
        <f>HYPERLINK("https://klasma.github.io/Logging_2523/kartor/A 40151-2025 karta.png", "A 40151-2025")</f>
        <v/>
      </c>
      <c r="Y80">
        <f>HYPERLINK("https://klasma.github.io/Logging_2523/kartor_geotiff/A 40151-2025 georefererad karta.tif", "A 40151-2025")</f>
        <v/>
      </c>
      <c r="AA80">
        <f>HYPERLINK("https://klasma.github.io/Logging_2523/klagomål/A 40151-2025 FSC-klagomål.docx", "A 40151-2025")</f>
        <v/>
      </c>
      <c r="AB80">
        <f>HYPERLINK("https://klasma.github.io/Logging_2523/klagomålsmail/A 40151-2025 FSC-klagomål mail.docx", "A 40151-2025")</f>
        <v/>
      </c>
      <c r="AC80">
        <f>HYPERLINK("https://klasma.github.io/Logging_2523/tillsyn/A 40151-2025 tillsynsbegäran.docx", "A 40151-2025")</f>
        <v/>
      </c>
      <c r="AD80">
        <f>HYPERLINK("https://klasma.github.io/Logging_2523/tillsynsmail/A 40151-2025 tillsynsbegäran mail.docx", "A 40151-2025")</f>
        <v/>
      </c>
    </row>
    <row r="81" ht="15" customHeight="1">
      <c r="A81" t="inlineStr">
        <is>
          <t>A 4891-2025</t>
        </is>
      </c>
      <c r="B81" t="inlineStr">
        <is>
          <t>avverkningsanmälan</t>
        </is>
      </c>
      <c r="C81" t="inlineStr">
        <is>
          <t>Föryngringsavverkning</t>
        </is>
      </c>
      <c r="D81" s="1" t="n">
        <v>45688</v>
      </c>
      <c r="E81" s="1" t="n">
        <v>46314</v>
      </c>
      <c r="F81" t="inlineStr">
        <is>
          <t>NORRBOTTENS LÄN</t>
        </is>
      </c>
      <c r="G81" t="inlineStr">
        <is>
          <t>GÄLLIVARE</t>
        </is>
      </c>
      <c r="H81" t="inlineStr">
        <is>
          <t>SCA</t>
        </is>
      </c>
      <c r="I81" t="n">
        <v>1.3</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HYPERLINK("https://klasma.github.io/Logging_2523/artfynd/A 4891-2025 artfynd.xlsx", "A 4891-2025")</f>
        <v/>
      </c>
      <c r="X81">
        <f>HYPERLINK("https://klasma.github.io/Logging_2523/kartor/A 4891-2025 karta.png", "A 4891-2025")</f>
        <v/>
      </c>
      <c r="Y81">
        <f>HYPERLINK("https://klasma.github.io/Logging_2523/kartor_geotiff/A 4891-2025 georefererad karta.tif", "A 4891-2025")</f>
        <v/>
      </c>
      <c r="AA81">
        <f>HYPERLINK("https://klasma.github.io/Logging_2523/klagomål/A 4891-2025 FSC-klagomål.docx", "A 4891-2025")</f>
        <v/>
      </c>
      <c r="AB81">
        <f>HYPERLINK("https://klasma.github.io/Logging_2523/klagomålsmail/A 4891-2025 FSC-klagomål mail.docx", "A 4891-2025")</f>
        <v/>
      </c>
      <c r="AC81">
        <f>HYPERLINK("https://klasma.github.io/Logging_2523/tillsyn/A 4891-2025 tillsynsbegäran.docx", "A 4891-2025")</f>
        <v/>
      </c>
      <c r="AD81">
        <f>HYPERLINK("https://klasma.github.io/Logging_2523/tillsynsmail/A 4891-2025 tillsynsbegäran mail.docx", "A 4891-2025")</f>
        <v/>
      </c>
    </row>
    <row r="82" ht="15" customHeight="1">
      <c r="A82" t="inlineStr">
        <is>
          <t>A 51389-2023</t>
        </is>
      </c>
      <c r="B82" t="inlineStr">
        <is>
          <t>avverkningsanmälan</t>
        </is>
      </c>
      <c r="C82" t="inlineStr">
        <is>
          <t>Avverkning för annat ändamål</t>
        </is>
      </c>
      <c r="D82" s="1" t="n">
        <v>45213</v>
      </c>
      <c r="E82" s="1" t="n">
        <v>46314</v>
      </c>
      <c r="F82" t="inlineStr">
        <is>
          <t>NORRBOTTENS LÄN</t>
        </is>
      </c>
      <c r="G82" t="inlineStr">
        <is>
          <t>GÄLLIVARE</t>
        </is>
      </c>
      <c r="I82" t="n">
        <v>4.5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HYPERLINK("https://klasma.github.io/Logging_2523/artfynd/A 51389-2023 artfynd.xlsx", "A 51389-2023")</f>
        <v/>
      </c>
      <c r="X82">
        <f>HYPERLINK("https://klasma.github.io/Logging_2523/kartor/A 51389-2023 karta.png", "A 51389-2023")</f>
        <v/>
      </c>
      <c r="Y82">
        <f>HYPERLINK("https://klasma.github.io/Logging_2523/kartor_geotiff/A 51389-2023 georefererad karta.tif", "A 51389-2023")</f>
        <v/>
      </c>
      <c r="AA82">
        <f>HYPERLINK("https://klasma.github.io/Logging_2523/klagomål/A 51389-2023 FSC-klagomål.docx", "A 51389-2023")</f>
        <v/>
      </c>
      <c r="AB82">
        <f>HYPERLINK("https://klasma.github.io/Logging_2523/klagomålsmail/A 51389-2023 FSC-klagomål mail.docx", "A 51389-2023")</f>
        <v/>
      </c>
      <c r="AC82">
        <f>HYPERLINK("https://klasma.github.io/Logging_2523/tillsyn/A 51389-2023 tillsynsbegäran.docx", "A 51389-2023")</f>
        <v/>
      </c>
      <c r="AD82">
        <f>HYPERLINK("https://klasma.github.io/Logging_2523/tillsynsmail/A 51389-2023 tillsynsbegäran mail.docx", "A 51389-2023")</f>
        <v/>
      </c>
      <c r="AE82">
        <f>HYPERLINK("https://klasma.github.io/Logging_2523/fåglar/A 51389-2023 prioriterade fågelarter.docx", "A 51389-2023")</f>
        <v/>
      </c>
    </row>
    <row r="83" ht="15" customHeight="1">
      <c r="A83" t="inlineStr">
        <is>
          <t>A 12833-2026</t>
        </is>
      </c>
      <c r="B83" t="inlineStr">
        <is>
          <t>avverkningsanmälan</t>
        </is>
      </c>
      <c r="C83" t="inlineStr">
        <is>
          <t>Föryngringsavverkning</t>
        </is>
      </c>
      <c r="D83" s="1" t="n">
        <v>46092</v>
      </c>
      <c r="E83" s="1" t="n">
        <v>46314</v>
      </c>
      <c r="F83" t="inlineStr">
        <is>
          <t>NORRBOTTENS LÄN</t>
        </is>
      </c>
      <c r="G83" t="inlineStr">
        <is>
          <t>GÄLLIVARE</t>
        </is>
      </c>
      <c r="I83" t="n">
        <v>12.3</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HYPERLINK("https://klasma.github.io/Logging_2523/artfynd/A 12833-2026 artfynd.xlsx", "A 12833-2026")</f>
        <v/>
      </c>
      <c r="X83">
        <f>HYPERLINK("https://klasma.github.io/Logging_2523/kartor/A 12833-2026 karta.png", "A 12833-2026")</f>
        <v/>
      </c>
      <c r="Y83">
        <f>HYPERLINK("https://klasma.github.io/Logging_2523/kartor_geotiff/A 12833-2026 georefererad karta.tif", "A 12833-2026")</f>
        <v/>
      </c>
      <c r="AA83">
        <f>HYPERLINK("https://klasma.github.io/Logging_2523/klagomål/A 12833-2026 FSC-klagomål.docx", "A 12833-2026")</f>
        <v/>
      </c>
      <c r="AB83">
        <f>HYPERLINK("https://klasma.github.io/Logging_2523/klagomålsmail/A 12833-2026 FSC-klagomål mail.docx", "A 12833-2026")</f>
        <v/>
      </c>
      <c r="AC83">
        <f>HYPERLINK("https://klasma.github.io/Logging_2523/tillsyn/A 12833-2026 tillsynsbegäran.docx", "A 12833-2026")</f>
        <v/>
      </c>
      <c r="AD83">
        <f>HYPERLINK("https://klasma.github.io/Logging_2523/tillsynsmail/A 12833-2026 tillsynsbegäran mail.docx", "A 12833-2026")</f>
        <v/>
      </c>
    </row>
    <row r="84" ht="15" customHeight="1">
      <c r="A84" t="inlineStr">
        <is>
          <t>A 30588-2026</t>
        </is>
      </c>
      <c r="B84" t="inlineStr">
        <is>
          <t>avverkningsanmälan</t>
        </is>
      </c>
      <c r="C84" t="inlineStr">
        <is>
          <t>Föryngringsavverkning</t>
        </is>
      </c>
      <c r="D84" s="1" t="n">
        <v>46210</v>
      </c>
      <c r="E84" s="1" t="n">
        <v>46314</v>
      </c>
      <c r="F84" t="inlineStr">
        <is>
          <t>NORRBOTTENS LÄN</t>
        </is>
      </c>
      <c r="G84" t="inlineStr">
        <is>
          <t>GÄLLIVARE</t>
        </is>
      </c>
      <c r="H84" t="inlineStr">
        <is>
          <t>Sveaskog</t>
        </is>
      </c>
      <c r="I84" t="n">
        <v>1.7</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30588-2026 artfynd.xlsx", "A 30588-2026")</f>
        <v/>
      </c>
      <c r="X84">
        <f>HYPERLINK("https://klasma.github.io/Logging_2523/kartor/A 30588-2026 karta.png", "A 30588-2026")</f>
        <v/>
      </c>
      <c r="Y84">
        <f>HYPERLINK("https://klasma.github.io/Logging_2523/kartor_geotiff/A 30588-2026 georefererad karta.tif", "A 30588-2026")</f>
        <v/>
      </c>
      <c r="AA84">
        <f>HYPERLINK("https://klasma.github.io/Logging_2523/klagomål/A 30588-2026 FSC-klagomål.docx", "A 30588-2026")</f>
        <v/>
      </c>
      <c r="AB84">
        <f>HYPERLINK("https://klasma.github.io/Logging_2523/klagomålsmail/A 30588-2026 FSC-klagomål mail.docx", "A 30588-2026")</f>
        <v/>
      </c>
      <c r="AC84">
        <f>HYPERLINK("https://klasma.github.io/Logging_2523/tillsyn/A 30588-2026 tillsynsbegäran.docx", "A 30588-2026")</f>
        <v/>
      </c>
      <c r="AD84">
        <f>HYPERLINK("https://klasma.github.io/Logging_2523/tillsynsmail/A 30588-2026 tillsynsbegäran mail.docx", "A 30588-2026")</f>
        <v/>
      </c>
    </row>
    <row r="85" ht="15" customHeight="1">
      <c r="A85" t="inlineStr">
        <is>
          <t>A 31414-2026</t>
        </is>
      </c>
      <c r="B85" t="inlineStr">
        <is>
          <t>avverkningsanmälan</t>
        </is>
      </c>
      <c r="C85" t="inlineStr">
        <is>
          <t>Föryngringsavverkning</t>
        </is>
      </c>
      <c r="D85" s="1" t="n">
        <v>46220</v>
      </c>
      <c r="E85" s="1" t="n">
        <v>46314</v>
      </c>
      <c r="F85" t="inlineStr">
        <is>
          <t>NORRBOTTENS LÄN</t>
        </is>
      </c>
      <c r="G85" t="inlineStr">
        <is>
          <t>GÄLLIVARE</t>
        </is>
      </c>
      <c r="H85" t="inlineStr">
        <is>
          <t>Sveaskog</t>
        </is>
      </c>
      <c r="I85" t="n">
        <v>2.1</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HYPERLINK("https://klasma.github.io/Logging_2523/artfynd/A 31414-2026 artfynd.xlsx", "A 31414-2026")</f>
        <v/>
      </c>
      <c r="X85">
        <f>HYPERLINK("https://klasma.github.io/Logging_2523/kartor/A 31414-2026 karta.png", "A 31414-2026")</f>
        <v/>
      </c>
      <c r="Y85">
        <f>HYPERLINK("https://klasma.github.io/Logging_2523/kartor_geotiff/A 31414-2026 georefererad karta.tif", "A 31414-2026")</f>
        <v/>
      </c>
      <c r="Z85">
        <f>HYPERLINK("https://klasma.github.io/Logging_2523/knärot/A 31414-2026 karta knärot.png", "A 31414-2026")</f>
        <v/>
      </c>
      <c r="AA85">
        <f>HYPERLINK("https://klasma.github.io/Logging_2523/klagomål/A 31414-2026 FSC-klagomål.docx", "A 31414-2026")</f>
        <v/>
      </c>
      <c r="AB85">
        <f>HYPERLINK("https://klasma.github.io/Logging_2523/klagomålsmail/A 31414-2026 FSC-klagomål mail.docx", "A 31414-2026")</f>
        <v/>
      </c>
      <c r="AC85">
        <f>HYPERLINK("https://klasma.github.io/Logging_2523/tillsyn/A 31414-2026 tillsynsbegäran.docx", "A 31414-2026")</f>
        <v/>
      </c>
      <c r="AD85">
        <f>HYPERLINK("https://klasma.github.io/Logging_2523/tillsynsmail/A 31414-2026 tillsynsbegäran mail.docx", "A 31414-2026")</f>
        <v/>
      </c>
    </row>
    <row r="86" ht="15" customHeight="1">
      <c r="A86" t="inlineStr">
        <is>
          <t>A 4238-2023</t>
        </is>
      </c>
      <c r="B86" t="inlineStr">
        <is>
          <t>avverkningsanmälan</t>
        </is>
      </c>
      <c r="C86" t="inlineStr">
        <is>
          <t>Föryngringsavverkning</t>
        </is>
      </c>
      <c r="D86" s="1" t="n">
        <v>44953</v>
      </c>
      <c r="E86" s="1" t="n">
        <v>46314</v>
      </c>
      <c r="F86" t="inlineStr">
        <is>
          <t>NORRBOTTENS LÄN</t>
        </is>
      </c>
      <c r="G86" t="inlineStr">
        <is>
          <t>GÄLLIVARE</t>
        </is>
      </c>
      <c r="I86" t="n">
        <v>5.1</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4238-2023 artfynd.xlsx", "A 4238-2023")</f>
        <v/>
      </c>
      <c r="X86">
        <f>HYPERLINK("https://klasma.github.io/Logging_2523/kartor/A 4238-2023 karta.png", "A 4238-2023")</f>
        <v/>
      </c>
      <c r="Y86">
        <f>HYPERLINK("https://klasma.github.io/Logging_2523/kartor_geotiff/A 4238-2023 georefererad karta.tif", "A 4238-2023")</f>
        <v/>
      </c>
      <c r="AA86">
        <f>HYPERLINK("https://klasma.github.io/Logging_2523/klagomål/A 4238-2023 FSC-klagomål.docx", "A 4238-2023")</f>
        <v/>
      </c>
      <c r="AB86">
        <f>HYPERLINK("https://klasma.github.io/Logging_2523/klagomålsmail/A 4238-2023 FSC-klagomål mail.docx", "A 4238-2023")</f>
        <v/>
      </c>
      <c r="AC86">
        <f>HYPERLINK("https://klasma.github.io/Logging_2523/tillsyn/A 4238-2023 tillsynsbegäran.docx", "A 4238-2023")</f>
        <v/>
      </c>
      <c r="AD86">
        <f>HYPERLINK("https://klasma.github.io/Logging_2523/tillsynsmail/A 4238-2023 tillsynsbegäran mail.docx", "A 4238-2023")</f>
        <v/>
      </c>
    </row>
    <row r="87" ht="15" customHeight="1">
      <c r="A87" t="inlineStr">
        <is>
          <t>A 38458-2026</t>
        </is>
      </c>
      <c r="B87" t="inlineStr">
        <is>
          <t>avverkningsanmälan</t>
        </is>
      </c>
      <c r="C87" t="inlineStr">
        <is>
          <t>Föryngringsavverkning</t>
        </is>
      </c>
      <c r="D87" s="1" t="n">
        <v>46282</v>
      </c>
      <c r="E87" s="1" t="n">
        <v>46314</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46314</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16800-2026</t>
        </is>
      </c>
      <c r="B89" t="inlineStr">
        <is>
          <t>avverkningsanmälan</t>
        </is>
      </c>
      <c r="C89" t="inlineStr">
        <is>
          <t>Föryngringsavverkning</t>
        </is>
      </c>
      <c r="D89" s="1" t="n">
        <v>46113</v>
      </c>
      <c r="E89" s="1" t="n">
        <v>46314</v>
      </c>
      <c r="F89" t="inlineStr">
        <is>
          <t>NORRBOTTENS LÄN</t>
        </is>
      </c>
      <c r="G89" t="inlineStr">
        <is>
          <t>GÄLLIVARE</t>
        </is>
      </c>
      <c r="H89" t="inlineStr">
        <is>
          <t>SCA</t>
        </is>
      </c>
      <c r="I89" t="n">
        <v>10.8</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HYPERLINK("https://klasma.github.io/Logging_2523/artfynd/A 16800-2026 artfynd.xlsx", "A 16800-2026")</f>
        <v/>
      </c>
      <c r="X89">
        <f>HYPERLINK("https://klasma.github.io/Logging_2523/kartor/A 16800-2026 karta.png", "A 16800-2026")</f>
        <v/>
      </c>
      <c r="Y89">
        <f>HYPERLINK("https://klasma.github.io/Logging_2523/kartor_geotiff/A 16800-2026 georefererad karta.tif", "A 16800-2026")</f>
        <v/>
      </c>
      <c r="AA89">
        <f>HYPERLINK("https://klasma.github.io/Logging_2523/klagomål/A 16800-2026 FSC-klagomål.docx", "A 16800-2026")</f>
        <v/>
      </c>
      <c r="AB89">
        <f>HYPERLINK("https://klasma.github.io/Logging_2523/klagomålsmail/A 16800-2026 FSC-klagomål mail.docx", "A 16800-2026")</f>
        <v/>
      </c>
      <c r="AC89">
        <f>HYPERLINK("https://klasma.github.io/Logging_2523/tillsyn/A 16800-2026 tillsynsbegäran.docx", "A 16800-2026")</f>
        <v/>
      </c>
      <c r="AD89">
        <f>HYPERLINK("https://klasma.github.io/Logging_2523/tillsynsmail/A 16800-2026 tillsynsbegäran mail.docx", "A 16800-2026")</f>
        <v/>
      </c>
    </row>
    <row r="90" ht="15" customHeight="1">
      <c r="A90" t="inlineStr">
        <is>
          <t>A 40169-2026</t>
        </is>
      </c>
      <c r="B90" t="inlineStr">
        <is>
          <t>avverkningsanmälan</t>
        </is>
      </c>
      <c r="C90" t="inlineStr">
        <is>
          <t>Föryngringsavverkning</t>
        </is>
      </c>
      <c r="D90" s="1" t="n">
        <v>46293</v>
      </c>
      <c r="E90" s="1" t="n">
        <v>46314</v>
      </c>
      <c r="F90" t="inlineStr">
        <is>
          <t>NORRBOTTENS LÄN</t>
        </is>
      </c>
      <c r="G90" t="inlineStr">
        <is>
          <t>GÄLLIVARE</t>
        </is>
      </c>
      <c r="H90" t="inlineStr">
        <is>
          <t>Sveaskog</t>
        </is>
      </c>
      <c r="I90" t="n">
        <v>25.9</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40169-2026 artfynd.xlsx", "A 40169-2026")</f>
        <v/>
      </c>
      <c r="X90">
        <f>HYPERLINK("https://klasma.github.io/Logging_2523/kartor/A 40169-2026 karta.png", "A 40169-2026")</f>
        <v/>
      </c>
      <c r="Y90">
        <f>HYPERLINK("https://klasma.github.io/Logging_2523/kartor_geotiff/A 40169-2026 georefererad karta.tif", "A 40169-2026")</f>
        <v/>
      </c>
      <c r="AA90">
        <f>HYPERLINK("https://klasma.github.io/Logging_2523/klagomål/A 40169-2026 FSC-klagomål.docx", "A 40169-2026")</f>
        <v/>
      </c>
      <c r="AB90">
        <f>HYPERLINK("https://klasma.github.io/Logging_2523/klagomålsmail/A 40169-2026 FSC-klagomål mail.docx", "A 40169-2026")</f>
        <v/>
      </c>
      <c r="AC90">
        <f>HYPERLINK("https://klasma.github.io/Logging_2523/tillsyn/A 40169-2026 tillsynsbegäran.docx", "A 40169-2026")</f>
        <v/>
      </c>
      <c r="AD90">
        <f>HYPERLINK("https://klasma.github.io/Logging_2523/tillsynsmail/A 40169-2026 tillsynsbegäran mail.docx", "A 40169-2026")</f>
        <v/>
      </c>
    </row>
    <row r="91" ht="15" customHeight="1">
      <c r="A91" t="inlineStr">
        <is>
          <t>A 2237-2023</t>
        </is>
      </c>
      <c r="B91" t="inlineStr">
        <is>
          <t>avverkningsanmälan</t>
        </is>
      </c>
      <c r="C91" t="inlineStr">
        <is>
          <t>Föryngringsavverkning</t>
        </is>
      </c>
      <c r="D91" s="1" t="n">
        <v>44942</v>
      </c>
      <c r="E91" s="1" t="n">
        <v>46314</v>
      </c>
      <c r="F91" t="inlineStr">
        <is>
          <t>NORRBOTTENS LÄN</t>
        </is>
      </c>
      <c r="G91" t="inlineStr">
        <is>
          <t>GÄLLIVARE</t>
        </is>
      </c>
      <c r="I91" t="n">
        <v>7</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HYPERLINK("https://klasma.github.io/Logging_2523/artfynd/A 2237-2023 artfynd.xlsx", "A 2237-2023")</f>
        <v/>
      </c>
      <c r="X91">
        <f>HYPERLINK("https://klasma.github.io/Logging_2523/kartor/A 2237-2023 karta.png", "A 2237-2023")</f>
        <v/>
      </c>
      <c r="Y91">
        <f>HYPERLINK("https://klasma.github.io/Logging_2523/kartor_geotiff/A 2237-2023 georefererad karta.tif", "A 2237-2023")</f>
        <v/>
      </c>
      <c r="AA91">
        <f>HYPERLINK("https://klasma.github.io/Logging_2523/klagomål/A 2237-2023 FSC-klagomål.docx", "A 2237-2023")</f>
        <v/>
      </c>
      <c r="AB91">
        <f>HYPERLINK("https://klasma.github.io/Logging_2523/klagomålsmail/A 2237-2023 FSC-klagomål mail.docx", "A 2237-2023")</f>
        <v/>
      </c>
      <c r="AC91">
        <f>HYPERLINK("https://klasma.github.io/Logging_2523/tillsyn/A 2237-2023 tillsynsbegäran.docx", "A 2237-2023")</f>
        <v/>
      </c>
      <c r="AD91">
        <f>HYPERLINK("https://klasma.github.io/Logging_2523/tillsynsmail/A 2237-2023 tillsynsbegäran mail.docx", "A 2237-2023")</f>
        <v/>
      </c>
    </row>
    <row r="92" ht="15" customHeight="1">
      <c r="A92" t="inlineStr">
        <is>
          <t>A 41868-2026</t>
        </is>
      </c>
      <c r="B92" t="inlineStr">
        <is>
          <t>avverkningsanmälan</t>
        </is>
      </c>
      <c r="C92" t="inlineStr">
        <is>
          <t>Föryngringsavverkning</t>
        </is>
      </c>
      <c r="D92" s="1" t="n">
        <v>46303</v>
      </c>
      <c r="E92" s="1" t="n">
        <v>46314</v>
      </c>
      <c r="F92" t="inlineStr">
        <is>
          <t>NORRBOTTENS LÄN</t>
        </is>
      </c>
      <c r="G92" t="inlineStr">
        <is>
          <t>GÄLLIVARE</t>
        </is>
      </c>
      <c r="H92" t="inlineStr">
        <is>
          <t>Sveaskog</t>
        </is>
      </c>
      <c r="I92" t="n">
        <v>20.5</v>
      </c>
      <c r="J92" t="n">
        <v>0</v>
      </c>
      <c r="K92" t="n">
        <v>0</v>
      </c>
      <c r="L92" t="n">
        <v>1</v>
      </c>
      <c r="M92" t="n">
        <v>0</v>
      </c>
      <c r="N92" t="n">
        <v>0</v>
      </c>
      <c r="O92" t="n">
        <v>0</v>
      </c>
      <c r="P92" t="n">
        <v>0</v>
      </c>
      <c r="Q92" t="n">
        <v>1</v>
      </c>
      <c r="R92" t="n">
        <v>0</v>
      </c>
      <c r="S92" t="n">
        <v>1</v>
      </c>
      <c r="T92" t="n">
        <v>1</v>
      </c>
      <c r="U92" t="n">
        <v>0</v>
      </c>
      <c r="V92" s="2" t="inlineStr">
        <is>
          <t>Blå taggsvamp</t>
        </is>
      </c>
      <c r="W92">
        <f>HYPERLINK("https://klasma.github.io/Logging_2523/artfynd/A 41868-2026 artfynd.xlsx", "A 41868-2026")</f>
        <v/>
      </c>
      <c r="X92">
        <f>HYPERLINK("https://klasma.github.io/Logging_2523/kartor/A 41868-2026 karta.png", "A 41868-2026")</f>
        <v/>
      </c>
      <c r="Y92">
        <f>HYPERLINK("https://klasma.github.io/Logging_2523/kartor_geotiff/A 41868-2026 georefererad karta.tif", "A 41868-2026")</f>
        <v/>
      </c>
      <c r="AA92">
        <f>HYPERLINK("https://klasma.github.io/Logging_2523/klagomål/A 41868-2026 FSC-klagomål.docx", "A 41868-2026")</f>
        <v/>
      </c>
      <c r="AB92">
        <f>HYPERLINK("https://klasma.github.io/Logging_2523/klagomålsmail/A 41868-2026 FSC-klagomål mail.docx", "A 41868-2026")</f>
        <v/>
      </c>
      <c r="AC92">
        <f>HYPERLINK("https://klasma.github.io/Logging_2523/tillsyn/A 41868-2026 tillsynsbegäran.docx", "A 41868-2026")</f>
        <v/>
      </c>
      <c r="AD92">
        <f>HYPERLINK("https://klasma.github.io/Logging_2523/tillsynsmail/A 41868-2026 tillsynsbegäran mail.docx", "A 41868-2026")</f>
        <v/>
      </c>
    </row>
    <row r="93" ht="15" customHeight="1">
      <c r="A93" t="inlineStr">
        <is>
          <t>A 42754-2026</t>
        </is>
      </c>
      <c r="B93" t="inlineStr">
        <is>
          <t>avverkningsanmälan</t>
        </is>
      </c>
      <c r="C93" t="inlineStr">
        <is>
          <t>Föryngringsavverkning</t>
        </is>
      </c>
      <c r="D93" s="1" t="n">
        <v>46309</v>
      </c>
      <c r="E93" s="1" t="n">
        <v>46314</v>
      </c>
      <c r="F93" t="inlineStr">
        <is>
          <t>NORRBOTTENS LÄN</t>
        </is>
      </c>
      <c r="G93" t="inlineStr">
        <is>
          <t>GÄLLIVARE</t>
        </is>
      </c>
      <c r="H93" t="inlineStr">
        <is>
          <t>Sveaskog</t>
        </is>
      </c>
      <c r="I93" t="n">
        <v>10.4</v>
      </c>
      <c r="J93" t="n">
        <v>0</v>
      </c>
      <c r="K93" t="n">
        <v>0</v>
      </c>
      <c r="L93" t="n">
        <v>1</v>
      </c>
      <c r="M93" t="n">
        <v>0</v>
      </c>
      <c r="N93" t="n">
        <v>0</v>
      </c>
      <c r="O93" t="n">
        <v>0</v>
      </c>
      <c r="P93" t="n">
        <v>0</v>
      </c>
      <c r="Q93" t="n">
        <v>1</v>
      </c>
      <c r="R93" t="n">
        <v>0</v>
      </c>
      <c r="S93" t="n">
        <v>1</v>
      </c>
      <c r="T93" t="n">
        <v>2</v>
      </c>
      <c r="U93" t="n">
        <v>2</v>
      </c>
      <c r="V93" s="2" t="inlineStr">
        <is>
          <t>Skarp dropptaggsvamp</t>
        </is>
      </c>
      <c r="W93">
        <f>HYPERLINK("https://klasma.github.io/Logging_2523/artfynd/A 42754-2026 artfynd.xlsx", "A 42754-2026")</f>
        <v/>
      </c>
      <c r="X93">
        <f>HYPERLINK("https://klasma.github.io/Logging_2523/kartor/A 42754-2026 karta.png", "A 42754-2026")</f>
        <v/>
      </c>
      <c r="Y93">
        <f>HYPERLINK("https://klasma.github.io/Logging_2523/kartor_geotiff/A 42754-2026 georefererad karta.tif", "A 42754-2026")</f>
        <v/>
      </c>
      <c r="AA93">
        <f>HYPERLINK("https://klasma.github.io/Logging_2523/klagomål/A 42754-2026 FSC-klagomål.docx", "A 42754-2026")</f>
        <v/>
      </c>
      <c r="AB93">
        <f>HYPERLINK("https://klasma.github.io/Logging_2523/klagomålsmail/A 42754-2026 FSC-klagomål mail.docx", "A 42754-2026")</f>
        <v/>
      </c>
      <c r="AC93">
        <f>HYPERLINK("https://klasma.github.io/Logging_2523/tillsyn/A 42754-2026 tillsynsbegäran.docx", "A 42754-2026")</f>
        <v/>
      </c>
      <c r="AD93">
        <f>HYPERLINK("https://klasma.github.io/Logging_2523/tillsynsmail/A 42754-2026 tillsynsbegäran mail.docx", "A 42754-2026")</f>
        <v/>
      </c>
    </row>
    <row r="94" ht="15" customHeight="1">
      <c r="A94" t="inlineStr">
        <is>
          <t>A 35628-2026</t>
        </is>
      </c>
      <c r="B94" t="inlineStr">
        <is>
          <t>avverkningsanmälan</t>
        </is>
      </c>
      <c r="C94" t="inlineStr">
        <is>
          <t>Föryngringsavverkning</t>
        </is>
      </c>
      <c r="D94" s="1" t="n">
        <v>46265</v>
      </c>
      <c r="E94" s="1" t="n">
        <v>46314</v>
      </c>
      <c r="F94" t="inlineStr">
        <is>
          <t>NORRBOTTENS LÄN</t>
        </is>
      </c>
      <c r="G94" t="inlineStr">
        <is>
          <t>GÄLLIVARE</t>
        </is>
      </c>
      <c r="H94" t="inlineStr">
        <is>
          <t>SCA</t>
        </is>
      </c>
      <c r="I94" t="n">
        <v>0.8</v>
      </c>
      <c r="J94" t="n">
        <v>0</v>
      </c>
      <c r="K94" t="n">
        <v>0</v>
      </c>
      <c r="L94" t="n">
        <v>0</v>
      </c>
      <c r="M94" t="n">
        <v>1</v>
      </c>
      <c r="N94" t="n">
        <v>0</v>
      </c>
      <c r="O94" t="n">
        <v>0</v>
      </c>
      <c r="P94" t="n">
        <v>0</v>
      </c>
      <c r="Q94" t="n">
        <v>1</v>
      </c>
      <c r="R94" t="n">
        <v>1</v>
      </c>
      <c r="S94" t="n">
        <v>1</v>
      </c>
      <c r="T94" t="n">
        <v>5</v>
      </c>
      <c r="U94" t="n">
        <v>0</v>
      </c>
      <c r="V94" s="2" t="inlineStr">
        <is>
          <t>Garnlav</t>
        </is>
      </c>
      <c r="W94">
        <f>HYPERLINK("https://klasma.github.io/Logging_2523/artfynd/A 35628-2026 artfynd.xlsx", "A 35628-2026")</f>
        <v/>
      </c>
      <c r="X94">
        <f>HYPERLINK("https://klasma.github.io/Logging_2523/kartor/A 35628-2026 karta.png", "A 35628-2026")</f>
        <v/>
      </c>
      <c r="Y94">
        <f>HYPERLINK("https://klasma.github.io/Logging_2523/kartor_geotiff/A 35628-2026 georefererad karta.tif", "A 35628-2026")</f>
        <v/>
      </c>
      <c r="AA94">
        <f>HYPERLINK("https://klasma.github.io/Logging_2523/klagomål/A 35628-2026 FSC-klagomål.docx", "A 35628-2026")</f>
        <v/>
      </c>
      <c r="AB94">
        <f>HYPERLINK("https://klasma.github.io/Logging_2523/klagomålsmail/A 35628-2026 FSC-klagomål mail.docx", "A 35628-2026")</f>
        <v/>
      </c>
      <c r="AC94">
        <f>HYPERLINK("https://klasma.github.io/Logging_2523/tillsyn/A 35628-2026 tillsynsbegäran.docx", "A 35628-2026")</f>
        <v/>
      </c>
      <c r="AD94">
        <f>HYPERLINK("https://klasma.github.io/Logging_2523/tillsynsmail/A 35628-2026 tillsynsbegäran mail.docx", "A 35628-2026")</f>
        <v/>
      </c>
    </row>
    <row r="95" ht="15" customHeight="1">
      <c r="A95" t="inlineStr">
        <is>
          <t>A 41510-2026</t>
        </is>
      </c>
      <c r="B95" t="inlineStr">
        <is>
          <t>avverkningsanmälan</t>
        </is>
      </c>
      <c r="C95" t="inlineStr">
        <is>
          <t>Föryngringsavverkning</t>
        </is>
      </c>
      <c r="D95" s="1" t="n">
        <v>46301</v>
      </c>
      <c r="E95" s="1" t="n">
        <v>46314</v>
      </c>
      <c r="F95" t="inlineStr">
        <is>
          <t>NORRBOTTENS LÄN</t>
        </is>
      </c>
      <c r="G95" t="inlineStr">
        <is>
          <t>GÄLLIVARE</t>
        </is>
      </c>
      <c r="H95" t="inlineStr">
        <is>
          <t>SCA</t>
        </is>
      </c>
      <c r="I95" t="n">
        <v>2.2</v>
      </c>
      <c r="J95" t="n">
        <v>0</v>
      </c>
      <c r="K95" t="n">
        <v>0</v>
      </c>
      <c r="L95" t="n">
        <v>0</v>
      </c>
      <c r="M95" t="n">
        <v>1</v>
      </c>
      <c r="N95" t="n">
        <v>0</v>
      </c>
      <c r="O95" t="n">
        <v>0</v>
      </c>
      <c r="P95" t="n">
        <v>0</v>
      </c>
      <c r="Q95" t="n">
        <v>1</v>
      </c>
      <c r="R95" t="n">
        <v>1</v>
      </c>
      <c r="S95" t="n">
        <v>1</v>
      </c>
      <c r="T95" t="n">
        <v>4</v>
      </c>
      <c r="U95" t="n">
        <v>0</v>
      </c>
      <c r="V95" s="2" t="inlineStr">
        <is>
          <t>Garnlav</t>
        </is>
      </c>
      <c r="W95">
        <f>HYPERLINK("https://klasma.github.io/Logging_2523/artfynd/A 41510-2026 artfynd.xlsx", "A 41510-2026")</f>
        <v/>
      </c>
      <c r="X95">
        <f>HYPERLINK("https://klasma.github.io/Logging_2523/kartor/A 41510-2026 karta.png", "A 41510-2026")</f>
        <v/>
      </c>
      <c r="Y95">
        <f>HYPERLINK("https://klasma.github.io/Logging_2523/kartor_geotiff/A 41510-2026 georefererad karta.tif", "A 41510-2026")</f>
        <v/>
      </c>
      <c r="AA95">
        <f>HYPERLINK("https://klasma.github.io/Logging_2523/klagomål/A 41510-2026 FSC-klagomål.docx", "A 41510-2026")</f>
        <v/>
      </c>
      <c r="AB95">
        <f>HYPERLINK("https://klasma.github.io/Logging_2523/klagomålsmail/A 41510-2026 FSC-klagomål mail.docx", "A 41510-2026")</f>
        <v/>
      </c>
      <c r="AC95">
        <f>HYPERLINK("https://klasma.github.io/Logging_2523/tillsyn/A 41510-2026 tillsynsbegäran.docx", "A 41510-2026")</f>
        <v/>
      </c>
      <c r="AD95">
        <f>HYPERLINK("https://klasma.github.io/Logging_2523/tillsynsmail/A 41510-2026 tillsynsbegäran mail.docx", "A 41510-2026")</f>
        <v/>
      </c>
    </row>
    <row r="96" ht="15" customHeight="1">
      <c r="A96" t="inlineStr">
        <is>
          <t>A 31651-2025</t>
        </is>
      </c>
      <c r="B96" t="inlineStr">
        <is>
          <t>avverkningsanmälan</t>
        </is>
      </c>
      <c r="C96" t="inlineStr">
        <is>
          <t>Föryngringsavverkning</t>
        </is>
      </c>
      <c r="D96" s="1" t="n">
        <v>45834</v>
      </c>
      <c r="E96" s="1" t="n">
        <v>46314</v>
      </c>
      <c r="F96" t="inlineStr">
        <is>
          <t>NORRBOTTENS LÄN</t>
        </is>
      </c>
      <c r="G96" t="inlineStr">
        <is>
          <t>GÄLLIVARE</t>
        </is>
      </c>
      <c r="H96" t="inlineStr">
        <is>
          <t>SCA</t>
        </is>
      </c>
      <c r="I96" t="n">
        <v>4.4</v>
      </c>
      <c r="J96" t="n">
        <v>0</v>
      </c>
      <c r="K96" t="n">
        <v>0</v>
      </c>
      <c r="L96" t="n">
        <v>1</v>
      </c>
      <c r="M96" t="n">
        <v>0</v>
      </c>
      <c r="N96" t="n">
        <v>0</v>
      </c>
      <c r="O96" t="n">
        <v>0</v>
      </c>
      <c r="P96" t="n">
        <v>0</v>
      </c>
      <c r="Q96" t="n">
        <v>1</v>
      </c>
      <c r="R96" t="n">
        <v>0</v>
      </c>
      <c r="S96" t="n">
        <v>1</v>
      </c>
      <c r="T96" t="n">
        <v>1</v>
      </c>
      <c r="U96" t="n">
        <v>0</v>
      </c>
      <c r="V96" s="2" t="inlineStr">
        <is>
          <t>Talltaggsvamp</t>
        </is>
      </c>
      <c r="W96">
        <f>HYPERLINK("https://klasma.github.io/Logging_2523/artfynd/A 31651-2025 artfynd.xlsx", "A 31651-2025")</f>
        <v/>
      </c>
      <c r="X96">
        <f>HYPERLINK("https://klasma.github.io/Logging_2523/kartor/A 31651-2025 karta.png", "A 31651-2025")</f>
        <v/>
      </c>
      <c r="Y96">
        <f>HYPERLINK("https://klasma.github.io/Logging_2523/kartor_geotiff/A 31651-2025 georefererad karta.tif", "A 31651-2025")</f>
        <v/>
      </c>
      <c r="AA96">
        <f>HYPERLINK("https://klasma.github.io/Logging_2523/klagomål/A 31651-2025 FSC-klagomål.docx", "A 31651-2025")</f>
        <v/>
      </c>
      <c r="AB96">
        <f>HYPERLINK("https://klasma.github.io/Logging_2523/klagomålsmail/A 31651-2025 FSC-klagomål mail.docx", "A 31651-2025")</f>
        <v/>
      </c>
      <c r="AC96">
        <f>HYPERLINK("https://klasma.github.io/Logging_2523/tillsyn/A 31651-2025 tillsynsbegäran.docx", "A 31651-2025")</f>
        <v/>
      </c>
      <c r="AD96">
        <f>HYPERLINK("https://klasma.github.io/Logging_2523/tillsynsmail/A 31651-2025 tillsynsbegäran mail.docx", "A 31651-2025")</f>
        <v/>
      </c>
    </row>
    <row r="97" ht="15" customHeight="1">
      <c r="A97" t="inlineStr">
        <is>
          <t>A 35949-2025</t>
        </is>
      </c>
      <c r="B97" t="inlineStr">
        <is>
          <t>avverkningsanmälan</t>
        </is>
      </c>
      <c r="C97" t="inlineStr">
        <is>
          <t>Avverkning för annat ändamål</t>
        </is>
      </c>
      <c r="D97" s="1" t="n">
        <v>45862</v>
      </c>
      <c r="E97" s="1" t="n">
        <v>46314</v>
      </c>
      <c r="F97" t="inlineStr">
        <is>
          <t>NORRBOTTENS LÄN</t>
        </is>
      </c>
      <c r="G97" t="inlineStr">
        <is>
          <t>GÄLLIVARE</t>
        </is>
      </c>
      <c r="H97" t="inlineStr">
        <is>
          <t>Sveaskog</t>
        </is>
      </c>
      <c r="I97" t="n">
        <v>2.3</v>
      </c>
      <c r="J97" t="n">
        <v>0</v>
      </c>
      <c r="K97" t="n">
        <v>0</v>
      </c>
      <c r="L97" t="n">
        <v>1</v>
      </c>
      <c r="M97" t="n">
        <v>0</v>
      </c>
      <c r="N97" t="n">
        <v>0</v>
      </c>
      <c r="O97" t="n">
        <v>0</v>
      </c>
      <c r="P97" t="n">
        <v>0</v>
      </c>
      <c r="Q97" t="n">
        <v>1</v>
      </c>
      <c r="R97" t="n">
        <v>0</v>
      </c>
      <c r="S97" t="n">
        <v>1</v>
      </c>
      <c r="T97" t="n">
        <v>1</v>
      </c>
      <c r="U97" t="n">
        <v>0</v>
      </c>
      <c r="V97" s="2" t="inlineStr">
        <is>
          <t>Blå taggsvamp</t>
        </is>
      </c>
      <c r="W97">
        <f>HYPERLINK("https://klasma.github.io/Logging_2523/artfynd/A 35949-2025 artfynd.xlsx", "A 35949-2025")</f>
        <v/>
      </c>
      <c r="X97">
        <f>HYPERLINK("https://klasma.github.io/Logging_2523/kartor/A 35949-2025 karta.png", "A 35949-2025")</f>
        <v/>
      </c>
      <c r="Y97">
        <f>HYPERLINK("https://klasma.github.io/Logging_2523/kartor_geotiff/A 35949-2025 georefererad karta.tif", "A 35949-2025")</f>
        <v/>
      </c>
      <c r="AA97">
        <f>HYPERLINK("https://klasma.github.io/Logging_2523/klagomål/A 35949-2025 FSC-klagomål.docx", "A 35949-2025")</f>
        <v/>
      </c>
      <c r="AB97">
        <f>HYPERLINK("https://klasma.github.io/Logging_2523/klagomålsmail/A 35949-2025 FSC-klagomål mail.docx", "A 35949-2025")</f>
        <v/>
      </c>
      <c r="AC97">
        <f>HYPERLINK("https://klasma.github.io/Logging_2523/tillsyn/A 35949-2025 tillsynsbegäran.docx", "A 35949-2025")</f>
        <v/>
      </c>
      <c r="AD97">
        <f>HYPERLINK("https://klasma.github.io/Logging_2523/tillsynsmail/A 35949-2025 tillsynsbegäran mail.docx", "A 35949-2025")</f>
        <v/>
      </c>
    </row>
    <row r="98" ht="15" customHeight="1">
      <c r="A98" t="inlineStr">
        <is>
          <t>S 791-2026</t>
        </is>
      </c>
      <c r="B98" t="inlineStr">
        <is>
          <t>samrådsanmälan</t>
        </is>
      </c>
      <c r="C98" t="inlineStr">
        <is>
          <t>Skogsbilväg</t>
        </is>
      </c>
      <c r="D98" s="1" t="n">
        <v>46099</v>
      </c>
      <c r="E98" s="1" t="n">
        <v>46314</v>
      </c>
      <c r="F98" t="inlineStr">
        <is>
          <t>NORRBOTTENS LÄN</t>
        </is>
      </c>
      <c r="G98" t="inlineStr">
        <is>
          <t>GÄLLIVARE</t>
        </is>
      </c>
      <c r="I98" t="n">
        <v>2.4</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HYPERLINK("https://klasma.github.io/Logging_2523/artfynd/S 791-2026 artfynd.xlsx", "S 791-2026")</f>
        <v/>
      </c>
      <c r="X98">
        <f>HYPERLINK("https://klasma.github.io/Logging_2523/kartor/S 791-2026 karta.png", "S 791-2026")</f>
        <v/>
      </c>
      <c r="Y98">
        <f>HYPERLINK("https://klasma.github.io/Logging_2523/kartor_geotiff/S 791-2026 georefererad karta.tif", "S 791-2026")</f>
        <v/>
      </c>
      <c r="AA98">
        <f>HYPERLINK("https://klasma.github.io/Logging_2523/klagomål/S 791-2026 FSC-klagomål.docx", "S 791-2026")</f>
        <v/>
      </c>
      <c r="AB98">
        <f>HYPERLINK("https://klasma.github.io/Logging_2523/klagomålsmail/S 791-2026 FSC-klagomål mail.docx", "S 791-2026")</f>
        <v/>
      </c>
      <c r="AC98">
        <f>HYPERLINK("https://klasma.github.io/Logging_2523/tillsyn/S 791-2026 tillsynsbegäran.docx", "S 791-2026")</f>
        <v/>
      </c>
      <c r="AD98">
        <f>HYPERLINK("https://klasma.github.io/Logging_2523/tillsynsmail/S 791-2026 tillsynsbegäran mail.docx", "S 791-2026")</f>
        <v/>
      </c>
    </row>
    <row r="99" ht="15" customHeight="1">
      <c r="A99" t="inlineStr">
        <is>
          <t>A 2018-2022</t>
        </is>
      </c>
      <c r="B99" t="inlineStr">
        <is>
          <t>avverkningsanmälan</t>
        </is>
      </c>
      <c r="C99" t="inlineStr">
        <is>
          <t>Föryngringsavverkning</t>
        </is>
      </c>
      <c r="D99" s="1" t="n">
        <v>44575</v>
      </c>
      <c r="E99" s="1" t="n">
        <v>46314</v>
      </c>
      <c r="F99" t="inlineStr">
        <is>
          <t>NORRBOTTENS LÄN</t>
        </is>
      </c>
      <c r="G99" t="inlineStr">
        <is>
          <t>GÄLLIVARE</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18104-2022</t>
        </is>
      </c>
      <c r="B100" t="inlineStr">
        <is>
          <t>avverkningsanmälan</t>
        </is>
      </c>
      <c r="C100" t="inlineStr">
        <is>
          <t>Föryngringsavverkning</t>
        </is>
      </c>
      <c r="D100" s="1" t="n">
        <v>44684</v>
      </c>
      <c r="E100" s="1" t="n">
        <v>46314</v>
      </c>
      <c r="F100" t="inlineStr">
        <is>
          <t>NORRBOTTENS LÄN</t>
        </is>
      </c>
      <c r="G100" t="inlineStr">
        <is>
          <t>GÄLLIVARE</t>
        </is>
      </c>
      <c r="I100" t="n">
        <v>8.4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7690-2022</t>
        </is>
      </c>
      <c r="B101" t="inlineStr">
        <is>
          <t>avverkningsanmälan</t>
        </is>
      </c>
      <c r="C101" t="inlineStr">
        <is>
          <t>Föryngringsavverkning</t>
        </is>
      </c>
      <c r="D101" s="1" t="n">
        <v>44607</v>
      </c>
      <c r="E101" s="1" t="n">
        <v>46314</v>
      </c>
      <c r="F101" t="inlineStr">
        <is>
          <t>NORRBOTTENS LÄN</t>
        </is>
      </c>
      <c r="G101" t="inlineStr">
        <is>
          <t>GÄLLIVARE</t>
        </is>
      </c>
      <c r="H101" t="inlineStr">
        <is>
          <t>SCA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55226-2022</t>
        </is>
      </c>
      <c r="B102" t="inlineStr">
        <is>
          <t>avverkningsanmälan</t>
        </is>
      </c>
      <c r="C102" t="inlineStr">
        <is>
          <t>Föryngringsavverkning</t>
        </is>
      </c>
      <c r="D102" s="1" t="n">
        <v>44886</v>
      </c>
      <c r="E102" s="1" t="n">
        <v>46314</v>
      </c>
      <c r="F102" t="inlineStr">
        <is>
          <t>NORRBOTTENS LÄN</t>
        </is>
      </c>
      <c r="G102" t="inlineStr">
        <is>
          <t>GÄLLIVARE</t>
        </is>
      </c>
      <c r="H102" t="inlineStr">
        <is>
          <t>SCA</t>
        </is>
      </c>
      <c r="I102" t="n">
        <v>8.300000000000001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49869-2022</t>
        </is>
      </c>
      <c r="B103" t="inlineStr">
        <is>
          <t>avverkningsanmälan</t>
        </is>
      </c>
      <c r="C103" t="inlineStr">
        <is>
          <t>Föryngringsavverkning</t>
        </is>
      </c>
      <c r="D103" s="1" t="n">
        <v>44862</v>
      </c>
      <c r="E103" s="1" t="n">
        <v>46314</v>
      </c>
      <c r="F103" t="inlineStr">
        <is>
          <t>NORRBOTTENS LÄN</t>
        </is>
      </c>
      <c r="G103" t="inlineStr">
        <is>
          <t>GÄLLIVARE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47808-2022</t>
        </is>
      </c>
      <c r="B104" t="inlineStr">
        <is>
          <t>avverkningsanmälan</t>
        </is>
      </c>
      <c r="C104" t="inlineStr">
        <is>
          <t>Föryngringsavverkning</t>
        </is>
      </c>
      <c r="D104" s="1" t="n">
        <v>44854</v>
      </c>
      <c r="E104" s="1" t="n">
        <v>46314</v>
      </c>
      <c r="F104" t="inlineStr">
        <is>
          <t>NORRBOTTENS LÄN</t>
        </is>
      </c>
      <c r="G104" t="inlineStr">
        <is>
          <t>GÄLLIVARE</t>
        </is>
      </c>
      <c r="H104" t="inlineStr">
        <is>
          <t>SCA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73341-2021</t>
        </is>
      </c>
      <c r="B105" t="inlineStr">
        <is>
          <t>avverkningsanmälan</t>
        </is>
      </c>
      <c r="C105" t="inlineStr">
        <is>
          <t>Föryngringsavverkning</t>
        </is>
      </c>
      <c r="D105" s="1" t="n">
        <v>44550</v>
      </c>
      <c r="E105" s="1" t="n">
        <v>46314</v>
      </c>
      <c r="F105" t="inlineStr">
        <is>
          <t>NORRBOTTENS LÄN</t>
        </is>
      </c>
      <c r="G105" t="inlineStr">
        <is>
          <t>GÄLLIVARE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7685-2022</t>
        </is>
      </c>
      <c r="B106" t="inlineStr">
        <is>
          <t>avverkningsanmälan</t>
        </is>
      </c>
      <c r="C106" t="inlineStr">
        <is>
          <t>Föryngringsavverkning</t>
        </is>
      </c>
      <c r="D106" s="1" t="n">
        <v>44607</v>
      </c>
      <c r="E106" s="1" t="n">
        <v>46314</v>
      </c>
      <c r="F106" t="inlineStr">
        <is>
          <t>NORRBOTTENS LÄN</t>
        </is>
      </c>
      <c r="G106" t="inlineStr">
        <is>
          <t>GÄLLIVARE</t>
        </is>
      </c>
      <c r="H106" t="inlineStr">
        <is>
          <t>SCA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35579-2022</t>
        </is>
      </c>
      <c r="B107" t="inlineStr">
        <is>
          <t>avverkningsanmälan</t>
        </is>
      </c>
      <c r="C107" t="inlineStr">
        <is>
          <t>Avverkning för annat ändamål</t>
        </is>
      </c>
      <c r="D107" s="1" t="n">
        <v>44799</v>
      </c>
      <c r="E107" s="1" t="n">
        <v>46314</v>
      </c>
      <c r="F107" t="inlineStr">
        <is>
          <t>NORRBOTTENS LÄN</t>
        </is>
      </c>
      <c r="G107" t="inlineStr">
        <is>
          <t>GÄLLIVARE</t>
        </is>
      </c>
      <c r="H107" t="inlineStr">
        <is>
          <t>Allmännings- och besparingsskogar</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47779-2022</t>
        </is>
      </c>
      <c r="B108" t="inlineStr">
        <is>
          <t>avverkningsanmälan</t>
        </is>
      </c>
      <c r="C108" t="inlineStr">
        <is>
          <t>Föryngringsavverkning</t>
        </is>
      </c>
      <c r="D108" s="1" t="n">
        <v>44854</v>
      </c>
      <c r="E108" s="1" t="n">
        <v>46314</v>
      </c>
      <c r="F108" t="inlineStr">
        <is>
          <t>NORRBOTTENS LÄN</t>
        </is>
      </c>
      <c r="G108" t="inlineStr">
        <is>
          <t>GÄLLIVARE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20000-2022</t>
        </is>
      </c>
      <c r="B109" t="inlineStr">
        <is>
          <t>avverkningsanmälan</t>
        </is>
      </c>
      <c r="C109" t="inlineStr">
        <is>
          <t>Föryngringsavverkning</t>
        </is>
      </c>
      <c r="D109" s="1" t="n">
        <v>44697</v>
      </c>
      <c r="E109" s="1" t="n">
        <v>46314</v>
      </c>
      <c r="F109" t="inlineStr">
        <is>
          <t>NORRBOTTENS LÄN</t>
        </is>
      </c>
      <c r="G109" t="inlineStr">
        <is>
          <t>GÄLLIVARE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16549-2022</t>
        </is>
      </c>
      <c r="B110" t="inlineStr">
        <is>
          <t>avverkningsanmälan</t>
        </is>
      </c>
      <c r="C110" t="inlineStr">
        <is>
          <t>Föryngringsavverkning</t>
        </is>
      </c>
      <c r="D110" s="1" t="n">
        <v>44672</v>
      </c>
      <c r="E110" s="1" t="n">
        <v>46314</v>
      </c>
      <c r="F110" t="inlineStr">
        <is>
          <t>NORRBOTTENS LÄN</t>
        </is>
      </c>
      <c r="G110" t="inlineStr">
        <is>
          <t>GÄLLIVARE</t>
        </is>
      </c>
      <c r="I110" t="n">
        <v>25.9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9493-2022</t>
        </is>
      </c>
      <c r="B111" t="inlineStr">
        <is>
          <t>avverkningsanmälan</t>
        </is>
      </c>
      <c r="C111" t="inlineStr">
        <is>
          <t>Föryngringsavverkning</t>
        </is>
      </c>
      <c r="D111" s="1" t="n">
        <v>44616</v>
      </c>
      <c r="E111" s="1" t="n">
        <v>46314</v>
      </c>
      <c r="F111" t="inlineStr">
        <is>
          <t>NORRBOTTENS LÄN</t>
        </is>
      </c>
      <c r="G111" t="inlineStr">
        <is>
          <t>GÄLLIVARE</t>
        </is>
      </c>
      <c r="H111" t="inlineStr">
        <is>
          <t>SCA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9504-2022</t>
        </is>
      </c>
      <c r="B112" t="inlineStr">
        <is>
          <t>avverkningsanmälan</t>
        </is>
      </c>
      <c r="C112" t="inlineStr">
        <is>
          <t>Föryngringsavverkning</t>
        </is>
      </c>
      <c r="D112" s="1" t="n">
        <v>44616</v>
      </c>
      <c r="E112" s="1" t="n">
        <v>46314</v>
      </c>
      <c r="F112" t="inlineStr">
        <is>
          <t>NORRBOTTENS LÄN</t>
        </is>
      </c>
      <c r="G112" t="inlineStr">
        <is>
          <t>GÄLLIVARE</t>
        </is>
      </c>
      <c r="H112" t="inlineStr">
        <is>
          <t>SCA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40427-2022</t>
        </is>
      </c>
      <c r="B113" t="inlineStr">
        <is>
          <t>avverkningsanmälan</t>
        </is>
      </c>
      <c r="C113" t="inlineStr">
        <is>
          <t>Avverkning för annat ändamål</t>
        </is>
      </c>
      <c r="D113" s="1" t="n">
        <v>44823</v>
      </c>
      <c r="E113" s="1" t="n">
        <v>46314</v>
      </c>
      <c r="F113" t="inlineStr">
        <is>
          <t>NORRBOTTENS LÄN</t>
        </is>
      </c>
      <c r="G113" t="inlineStr">
        <is>
          <t>GÄLLIVARE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32196-2022</t>
        </is>
      </c>
      <c r="B114" t="inlineStr">
        <is>
          <t>avverkningsanmälan</t>
        </is>
      </c>
      <c r="C114" t="inlineStr">
        <is>
          <t>Föryngringsavverkning</t>
        </is>
      </c>
      <c r="D114" s="1" t="n">
        <v>44781</v>
      </c>
      <c r="E114" s="1" t="n">
        <v>46314</v>
      </c>
      <c r="F114" t="inlineStr">
        <is>
          <t>NORRBOTTENS LÄN</t>
        </is>
      </c>
      <c r="G114" t="inlineStr">
        <is>
          <t>GÄLLIVARE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33446-2022</t>
        </is>
      </c>
      <c r="B115" t="inlineStr">
        <is>
          <t>avverkningsanmälan</t>
        </is>
      </c>
      <c r="C115" t="inlineStr">
        <is>
          <t>Föryngringsavverkning</t>
        </is>
      </c>
      <c r="D115" s="1" t="n">
        <v>44788</v>
      </c>
      <c r="E115" s="1" t="n">
        <v>46314</v>
      </c>
      <c r="F115" t="inlineStr">
        <is>
          <t>NORRBOTTENS LÄN</t>
        </is>
      </c>
      <c r="G115" t="inlineStr">
        <is>
          <t>GÄLLIVARE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7538-2022</t>
        </is>
      </c>
      <c r="B116" t="inlineStr">
        <is>
          <t>avverkningsanmälan</t>
        </is>
      </c>
      <c r="C116" t="inlineStr">
        <is>
          <t>Föryngringsavverkning</t>
        </is>
      </c>
      <c r="D116" s="1" t="n">
        <v>44607</v>
      </c>
      <c r="E116" s="1" t="n">
        <v>46314</v>
      </c>
      <c r="F116" t="inlineStr">
        <is>
          <t>NORRBOTTENS LÄN</t>
        </is>
      </c>
      <c r="G116" t="inlineStr">
        <is>
          <t>GÄLLIVARE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35362-2023</t>
        </is>
      </c>
      <c r="B117" t="inlineStr">
        <is>
          <t>avverkningsanmälan</t>
        </is>
      </c>
      <c r="C117" t="inlineStr">
        <is>
          <t>Avverkning för annat ändamål</t>
        </is>
      </c>
      <c r="D117" s="1" t="n">
        <v>45146</v>
      </c>
      <c r="E117" s="1" t="n">
        <v>46314</v>
      </c>
      <c r="F117" t="inlineStr">
        <is>
          <t>NORRBOTTENS LÄN</t>
        </is>
      </c>
      <c r="G117" t="inlineStr">
        <is>
          <t>GÄLLIVARE</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53785-2022</t>
        </is>
      </c>
      <c r="B118" t="inlineStr">
        <is>
          <t>avverkningsanmälan</t>
        </is>
      </c>
      <c r="C118" t="inlineStr">
        <is>
          <t>Föryngringsavverkning</t>
        </is>
      </c>
      <c r="D118" s="1" t="n">
        <v>44875</v>
      </c>
      <c r="E118" s="1" t="n">
        <v>46314</v>
      </c>
      <c r="F118" t="inlineStr">
        <is>
          <t>NORRBOTTENS LÄN</t>
        </is>
      </c>
      <c r="G118" t="inlineStr">
        <is>
          <t>GÄLLIVARE</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2135-2024</t>
        </is>
      </c>
      <c r="B119" t="inlineStr">
        <is>
          <t>avverkningsanmälan</t>
        </is>
      </c>
      <c r="C119" t="inlineStr">
        <is>
          <t>Föryngringsavverkning</t>
        </is>
      </c>
      <c r="D119" s="1" t="n">
        <v>45309</v>
      </c>
      <c r="E119" s="1" t="n">
        <v>46314</v>
      </c>
      <c r="F119" t="inlineStr">
        <is>
          <t>NORRBOTTENS LÄN</t>
        </is>
      </c>
      <c r="G119" t="inlineStr">
        <is>
          <t>GÄLLIVARE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23774-2023</t>
        </is>
      </c>
      <c r="B120" t="inlineStr">
        <is>
          <t>avverkningsanmälan</t>
        </is>
      </c>
      <c r="C120" t="inlineStr">
        <is>
          <t>Föryngringsavverkning</t>
        </is>
      </c>
      <c r="D120" s="1" t="n">
        <v>45077</v>
      </c>
      <c r="E120" s="1" t="n">
        <v>46314</v>
      </c>
      <c r="F120" t="inlineStr">
        <is>
          <t>NORRBOTTENS LÄN</t>
        </is>
      </c>
      <c r="G120" t="inlineStr">
        <is>
          <t>GÄLLIVARE</t>
        </is>
      </c>
      <c r="H120" t="inlineStr">
        <is>
          <t>SCA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3270-2025</t>
        </is>
      </c>
      <c r="B121" t="inlineStr">
        <is>
          <t>avverkningsanmälan</t>
        </is>
      </c>
      <c r="C121" t="inlineStr">
        <is>
          <t>Föryngringsavverkning</t>
        </is>
      </c>
      <c r="D121" s="1" t="n">
        <v>45679</v>
      </c>
      <c r="E121" s="1" t="n">
        <v>46314</v>
      </c>
      <c r="F121" t="inlineStr">
        <is>
          <t>NORRBOTTENS LÄN</t>
        </is>
      </c>
      <c r="G121" t="inlineStr">
        <is>
          <t>GÄLLIVARE</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49877-2023</t>
        </is>
      </c>
      <c r="B122" t="inlineStr">
        <is>
          <t>avverkningsanmälan</t>
        </is>
      </c>
      <c r="C122" t="inlineStr">
        <is>
          <t>Föryngringsavverkning</t>
        </is>
      </c>
      <c r="D122" s="1" t="n">
        <v>45212</v>
      </c>
      <c r="E122" s="1" t="n">
        <v>46314</v>
      </c>
      <c r="F122" t="inlineStr">
        <is>
          <t>NORRBOTTENS LÄN</t>
        </is>
      </c>
      <c r="G122" t="inlineStr">
        <is>
          <t>GÄLLIVARE</t>
        </is>
      </c>
      <c r="H122" t="inlineStr">
        <is>
          <t>SCA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23613-2024</t>
        </is>
      </c>
      <c r="B123" t="inlineStr">
        <is>
          <t>avverkningsanmälan</t>
        </is>
      </c>
      <c r="C123" t="inlineStr">
        <is>
          <t>Avverkning för annat ändamål</t>
        </is>
      </c>
      <c r="D123" s="1" t="n">
        <v>45454</v>
      </c>
      <c r="E123" s="1" t="n">
        <v>46314</v>
      </c>
      <c r="F123" t="inlineStr">
        <is>
          <t>NORRBOTTENS LÄN</t>
        </is>
      </c>
      <c r="G123" t="inlineStr">
        <is>
          <t>GÄLLIVARE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62949-2023</t>
        </is>
      </c>
      <c r="B124" t="inlineStr">
        <is>
          <t>avverkningsanmälan</t>
        </is>
      </c>
      <c r="C124" t="inlineStr">
        <is>
          <t>Föryngringsavverkning</t>
        </is>
      </c>
      <c r="D124" s="1" t="n">
        <v>45272</v>
      </c>
      <c r="E124" s="1" t="n">
        <v>46314</v>
      </c>
      <c r="F124" t="inlineStr">
        <is>
          <t>NORRBOTTENS LÄN</t>
        </is>
      </c>
      <c r="G124" t="inlineStr">
        <is>
          <t>GÄLLIVARE</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61783-2023</t>
        </is>
      </c>
      <c r="B125" t="inlineStr">
        <is>
          <t>avverkningsanmälan</t>
        </is>
      </c>
      <c r="C125" t="inlineStr">
        <is>
          <t>Föryngringsavverkning</t>
        </is>
      </c>
      <c r="D125" s="1" t="n">
        <v>45265</v>
      </c>
      <c r="E125" s="1" t="n">
        <v>46314</v>
      </c>
      <c r="F125" t="inlineStr">
        <is>
          <t>NORRBOTTENS LÄN</t>
        </is>
      </c>
      <c r="G125" t="inlineStr">
        <is>
          <t>GÄLLIVARE</t>
        </is>
      </c>
      <c r="H125" t="inlineStr">
        <is>
          <t>SCA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36979-2023</t>
        </is>
      </c>
      <c r="B126" t="inlineStr">
        <is>
          <t>avverkningsanmälan</t>
        </is>
      </c>
      <c r="C126" t="inlineStr">
        <is>
          <t>Föryngringsavverkning</t>
        </is>
      </c>
      <c r="D126" s="1" t="n">
        <v>45154</v>
      </c>
      <c r="E126" s="1" t="n">
        <v>46314</v>
      </c>
      <c r="F126" t="inlineStr">
        <is>
          <t>NORRBOTTENS LÄN</t>
        </is>
      </c>
      <c r="G126" t="inlineStr">
        <is>
          <t>GÄLLIVARE</t>
        </is>
      </c>
      <c r="H126" t="inlineStr">
        <is>
          <t>SCA</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6271-2024</t>
        </is>
      </c>
      <c r="B127" t="inlineStr">
        <is>
          <t>avverkningsanmälan</t>
        </is>
      </c>
      <c r="C127" t="inlineStr">
        <is>
          <t>Föryngringsavverkning</t>
        </is>
      </c>
      <c r="D127" s="1" t="n">
        <v>45337</v>
      </c>
      <c r="E127" s="1" t="n">
        <v>46314</v>
      </c>
      <c r="F127" t="inlineStr">
        <is>
          <t>NORRBOTTENS LÄN</t>
        </is>
      </c>
      <c r="G127" t="inlineStr">
        <is>
          <t>GÄLLIVARE</t>
        </is>
      </c>
      <c r="I127" t="n">
        <v>14.7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4185-2023</t>
        </is>
      </c>
      <c r="B128" t="inlineStr">
        <is>
          <t>avverkningsanmälan</t>
        </is>
      </c>
      <c r="C128" t="inlineStr">
        <is>
          <t>Föryngringsavverkning</t>
        </is>
      </c>
      <c r="D128" s="1" t="n">
        <v>44953</v>
      </c>
      <c r="E128" s="1" t="n">
        <v>46314</v>
      </c>
      <c r="F128" t="inlineStr">
        <is>
          <t>NORRBOTTENS LÄN</t>
        </is>
      </c>
      <c r="G128" t="inlineStr">
        <is>
          <t>GÄLLIVARE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838-2025</t>
        </is>
      </c>
      <c r="B129" t="inlineStr">
        <is>
          <t>avverkningsanmälan</t>
        </is>
      </c>
      <c r="C129" t="inlineStr">
        <is>
          <t>Föryngringsavverkning</t>
        </is>
      </c>
      <c r="D129" s="1" t="n">
        <v>45665</v>
      </c>
      <c r="E129" s="1" t="n">
        <v>46314</v>
      </c>
      <c r="F129" t="inlineStr">
        <is>
          <t>NORRBOTTENS LÄN</t>
        </is>
      </c>
      <c r="G129" t="inlineStr">
        <is>
          <t>GÄLLIVARE</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5709-2023</t>
        </is>
      </c>
      <c r="B130" t="inlineStr">
        <is>
          <t>avverkningsanmälan</t>
        </is>
      </c>
      <c r="C130" t="inlineStr">
        <is>
          <t>Föryngringsavverkning</t>
        </is>
      </c>
      <c r="D130" s="1" t="n">
        <v>44960</v>
      </c>
      <c r="E130" s="1" t="n">
        <v>46314</v>
      </c>
      <c r="F130" t="inlineStr">
        <is>
          <t>NORRBOTTENS LÄN</t>
        </is>
      </c>
      <c r="G130" t="inlineStr">
        <is>
          <t>GÄLLIVARE</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6459-2023</t>
        </is>
      </c>
      <c r="B131" t="inlineStr">
        <is>
          <t>avverkningsanmälan</t>
        </is>
      </c>
      <c r="C131" t="inlineStr">
        <is>
          <t>Föryngringsavverkning</t>
        </is>
      </c>
      <c r="D131" s="1" t="n">
        <v>44965</v>
      </c>
      <c r="E131" s="1" t="n">
        <v>46314</v>
      </c>
      <c r="F131" t="inlineStr">
        <is>
          <t>NORRBOTTENS LÄN</t>
        </is>
      </c>
      <c r="G131" t="inlineStr">
        <is>
          <t>GÄLLIVARE</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17201-2024</t>
        </is>
      </c>
      <c r="B132" t="inlineStr">
        <is>
          <t>avverkningsanmälan</t>
        </is>
      </c>
      <c r="C132" t="inlineStr">
        <is>
          <t>Föryngringsavverkning</t>
        </is>
      </c>
      <c r="D132" s="1" t="n">
        <v>45413</v>
      </c>
      <c r="E132" s="1" t="n">
        <v>46314</v>
      </c>
      <c r="F132" t="inlineStr">
        <is>
          <t>NORRBOTTENS LÄN</t>
        </is>
      </c>
      <c r="G132" t="inlineStr">
        <is>
          <t>GÄLLIVARE</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55034-2023</t>
        </is>
      </c>
      <c r="B133" t="inlineStr">
        <is>
          <t>avverkningsanmälan</t>
        </is>
      </c>
      <c r="C133" t="inlineStr">
        <is>
          <t>Föryngringsavverkning</t>
        </is>
      </c>
      <c r="D133" s="1" t="n">
        <v>45237</v>
      </c>
      <c r="E133" s="1" t="n">
        <v>46314</v>
      </c>
      <c r="F133" t="inlineStr">
        <is>
          <t>NORRBOTTENS LÄN</t>
        </is>
      </c>
      <c r="G133" t="inlineStr">
        <is>
          <t>GÄLLIVARE</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14666-2025</t>
        </is>
      </c>
      <c r="B134" t="inlineStr">
        <is>
          <t>avverkningsanmälan</t>
        </is>
      </c>
      <c r="C134" t="inlineStr">
        <is>
          <t>Föryngringsavverkning</t>
        </is>
      </c>
      <c r="D134" s="1" t="n">
        <v>45742</v>
      </c>
      <c r="E134" s="1" t="n">
        <v>46314</v>
      </c>
      <c r="F134" t="inlineStr">
        <is>
          <t>NORRBOTTENS LÄN</t>
        </is>
      </c>
      <c r="G134" t="inlineStr">
        <is>
          <t>GÄLLIVARE</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42612-2023</t>
        </is>
      </c>
      <c r="B135" t="inlineStr">
        <is>
          <t>avverkningsanmälan</t>
        </is>
      </c>
      <c r="C135" t="inlineStr">
        <is>
          <t>Föryngringsavverkning</t>
        </is>
      </c>
      <c r="D135" s="1" t="n">
        <v>45176</v>
      </c>
      <c r="E135" s="1" t="n">
        <v>46314</v>
      </c>
      <c r="F135" t="inlineStr">
        <is>
          <t>NORRBOTTENS LÄN</t>
        </is>
      </c>
      <c r="G135" t="inlineStr">
        <is>
          <t>GÄLLIVARE</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55644-2023</t>
        </is>
      </c>
      <c r="B136" t="inlineStr">
        <is>
          <t>avverkningsanmälan</t>
        </is>
      </c>
      <c r="C136" t="inlineStr">
        <is>
          <t>Föryngringsavverkning</t>
        </is>
      </c>
      <c r="D136" s="1" t="n">
        <v>45238</v>
      </c>
      <c r="E136" s="1" t="n">
        <v>46314</v>
      </c>
      <c r="F136" t="inlineStr">
        <is>
          <t>NORRBOTTENS LÄN</t>
        </is>
      </c>
      <c r="G136" t="inlineStr">
        <is>
          <t>GÄLLIVARE</t>
        </is>
      </c>
      <c r="H136" t="inlineStr">
        <is>
          <t>SCA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4135-2022</t>
        </is>
      </c>
      <c r="B137" t="inlineStr">
        <is>
          <t>avverkningsanmälan</t>
        </is>
      </c>
      <c r="C137" t="inlineStr">
        <is>
          <t>Föryngringsavverkning</t>
        </is>
      </c>
      <c r="D137" s="1" t="n">
        <v>44588</v>
      </c>
      <c r="E137" s="1" t="n">
        <v>46314</v>
      </c>
      <c r="F137" t="inlineStr">
        <is>
          <t>NORRBOTTENS LÄN</t>
        </is>
      </c>
      <c r="G137" t="inlineStr">
        <is>
          <t>GÄLLIVARE</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44983-2023</t>
        </is>
      </c>
      <c r="B138" t="inlineStr">
        <is>
          <t>avverkningsanmälan</t>
        </is>
      </c>
      <c r="C138" t="inlineStr">
        <is>
          <t>Föryngringsavverkning</t>
        </is>
      </c>
      <c r="D138" s="1" t="n">
        <v>45190</v>
      </c>
      <c r="E138" s="1" t="n">
        <v>46314</v>
      </c>
      <c r="F138" t="inlineStr">
        <is>
          <t>NORRBOTTENS LÄN</t>
        </is>
      </c>
      <c r="G138" t="inlineStr">
        <is>
          <t>GÄLLIVARE</t>
        </is>
      </c>
      <c r="H138" t="inlineStr">
        <is>
          <t>SCA</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52887-2023</t>
        </is>
      </c>
      <c r="B139" t="inlineStr">
        <is>
          <t>avverkningsanmälan</t>
        </is>
      </c>
      <c r="C139" t="inlineStr">
        <is>
          <t>Föryngringsavverkning</t>
        </is>
      </c>
      <c r="D139" s="1" t="n">
        <v>45219</v>
      </c>
      <c r="E139" s="1" t="n">
        <v>46314</v>
      </c>
      <c r="F139" t="inlineStr">
        <is>
          <t>NORRBOTTENS LÄN</t>
        </is>
      </c>
      <c r="G139" t="inlineStr">
        <is>
          <t>GÄLLIVARE</t>
        </is>
      </c>
      <c r="H139" t="inlineStr">
        <is>
          <t>Övriga statliga verk och myndigheter</t>
        </is>
      </c>
      <c r="I139" t="n">
        <v>23.1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36250-2023</t>
        </is>
      </c>
      <c r="B140" t="inlineStr">
        <is>
          <t>avverkningsanmälan</t>
        </is>
      </c>
      <c r="C140" t="inlineStr">
        <is>
          <t>Föryngringsavverkning</t>
        </is>
      </c>
      <c r="D140" s="1" t="n">
        <v>45150</v>
      </c>
      <c r="E140" s="1" t="n">
        <v>46314</v>
      </c>
      <c r="F140" t="inlineStr">
        <is>
          <t>NORRBOTTENS LÄN</t>
        </is>
      </c>
      <c r="G140" t="inlineStr">
        <is>
          <t>GÄLLIVARE</t>
        </is>
      </c>
      <c r="H140" t="inlineStr">
        <is>
          <t>SCA</t>
        </is>
      </c>
      <c r="I140" t="n">
        <v>14.6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16952-2023</t>
        </is>
      </c>
      <c r="B141" t="inlineStr">
        <is>
          <t>avverkningsanmälan</t>
        </is>
      </c>
      <c r="C141" t="inlineStr">
        <is>
          <t>Föryngringsavverkning</t>
        </is>
      </c>
      <c r="D141" s="1" t="n">
        <v>45033</v>
      </c>
      <c r="E141" s="1" t="n">
        <v>46314</v>
      </c>
      <c r="F141" t="inlineStr">
        <is>
          <t>NORRBOTTENS LÄN</t>
        </is>
      </c>
      <c r="G141" t="inlineStr">
        <is>
          <t>GÄLLIVARE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42886-2022</t>
        </is>
      </c>
      <c r="B142" t="inlineStr">
        <is>
          <t>avverkningsanmälan</t>
        </is>
      </c>
      <c r="C142" t="inlineStr">
        <is>
          <t>Föryngringsavverkning</t>
        </is>
      </c>
      <c r="D142" s="1" t="n">
        <v>44832</v>
      </c>
      <c r="E142" s="1" t="n">
        <v>46314</v>
      </c>
      <c r="F142" t="inlineStr">
        <is>
          <t>NORRBOTTENS LÄN</t>
        </is>
      </c>
      <c r="G142" t="inlineStr">
        <is>
          <t>GÄLLIVARE</t>
        </is>
      </c>
      <c r="H142" t="inlineStr">
        <is>
          <t>SCA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46056-2023</t>
        </is>
      </c>
      <c r="B143" t="inlineStr">
        <is>
          <t>avverkningsanmälan</t>
        </is>
      </c>
      <c r="C143" t="inlineStr">
        <is>
          <t>Avverkning för annat ändamål</t>
        </is>
      </c>
      <c r="D143" s="1" t="n">
        <v>45196</v>
      </c>
      <c r="E143" s="1" t="n">
        <v>46314</v>
      </c>
      <c r="F143" t="inlineStr">
        <is>
          <t>NORRBOTTENS LÄN</t>
        </is>
      </c>
      <c r="G143" t="inlineStr">
        <is>
          <t>GÄLLIVARE</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51451-2023</t>
        </is>
      </c>
      <c r="B144" t="inlineStr">
        <is>
          <t>avverkningsanmälan</t>
        </is>
      </c>
      <c r="C144" t="inlineStr">
        <is>
          <t>Föryngringsavverkning</t>
        </is>
      </c>
      <c r="D144" s="1" t="n">
        <v>45215</v>
      </c>
      <c r="E144" s="1" t="n">
        <v>46314</v>
      </c>
      <c r="F144" t="inlineStr">
        <is>
          <t>NORRBOTTENS LÄN</t>
        </is>
      </c>
      <c r="G144" t="inlineStr">
        <is>
          <t>GÄLLIVARE</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47239-2023</t>
        </is>
      </c>
      <c r="B145" t="inlineStr">
        <is>
          <t>avverkningsanmälan</t>
        </is>
      </c>
      <c r="C145" t="inlineStr">
        <is>
          <t>Föryngringsavverkning</t>
        </is>
      </c>
      <c r="D145" s="1" t="n">
        <v>45196</v>
      </c>
      <c r="E145" s="1" t="n">
        <v>46314</v>
      </c>
      <c r="F145" t="inlineStr">
        <is>
          <t>NORRBOTTENS LÄN</t>
        </is>
      </c>
      <c r="G145" t="inlineStr">
        <is>
          <t>GÄLLIVARE</t>
        </is>
      </c>
      <c r="H145" t="inlineStr">
        <is>
          <t>Övriga statliga verk och myndigheter</t>
        </is>
      </c>
      <c r="I145" t="n">
        <v>28.1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51570-2024</t>
        </is>
      </c>
      <c r="B146" t="inlineStr">
        <is>
          <t>avverkningsanmälan</t>
        </is>
      </c>
      <c r="C146" t="inlineStr">
        <is>
          <t>Föryngringsavverkning</t>
        </is>
      </c>
      <c r="D146" s="1" t="n">
        <v>45604</v>
      </c>
      <c r="E146" s="1" t="n">
        <v>46314</v>
      </c>
      <c r="F146" t="inlineStr">
        <is>
          <t>NORRBOTTENS LÄN</t>
        </is>
      </c>
      <c r="G146" t="inlineStr">
        <is>
          <t>GÄLLIVARE</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25503-2024</t>
        </is>
      </c>
      <c r="B147" t="inlineStr">
        <is>
          <t>avverkningsanmälan</t>
        </is>
      </c>
      <c r="C147" t="inlineStr">
        <is>
          <t>Föryngringsavverkning</t>
        </is>
      </c>
      <c r="D147" s="1" t="n">
        <v>45463</v>
      </c>
      <c r="E147" s="1" t="n">
        <v>46314</v>
      </c>
      <c r="F147" t="inlineStr">
        <is>
          <t>NORRBOTTENS LÄN</t>
        </is>
      </c>
      <c r="G147" t="inlineStr">
        <is>
          <t>GÄLLIVARE</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7693-2022</t>
        </is>
      </c>
      <c r="B148" t="inlineStr">
        <is>
          <t>avverkningsanmälan</t>
        </is>
      </c>
      <c r="C148" t="inlineStr">
        <is>
          <t>Föryngringsavverkning</t>
        </is>
      </c>
      <c r="D148" s="1" t="n">
        <v>44607</v>
      </c>
      <c r="E148" s="1" t="n">
        <v>46314</v>
      </c>
      <c r="F148" t="inlineStr">
        <is>
          <t>NORRBOTTENS LÄN</t>
        </is>
      </c>
      <c r="G148" t="inlineStr">
        <is>
          <t>GÄLLIVARE</t>
        </is>
      </c>
      <c r="H148" t="inlineStr">
        <is>
          <t>SCA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24564-2022</t>
        </is>
      </c>
      <c r="B149" t="inlineStr">
        <is>
          <t>avverkningsanmälan</t>
        </is>
      </c>
      <c r="C149" t="inlineStr">
        <is>
          <t>Föryngringsavverkning</t>
        </is>
      </c>
      <c r="D149" s="1" t="n">
        <v>44726</v>
      </c>
      <c r="E149" s="1" t="n">
        <v>46314</v>
      </c>
      <c r="F149" t="inlineStr">
        <is>
          <t>NORRBOTTENS LÄN</t>
        </is>
      </c>
      <c r="G149" t="inlineStr">
        <is>
          <t>GÄLLIVARE</t>
        </is>
      </c>
      <c r="I149" t="n">
        <v>12.9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47239-2023</t>
        </is>
      </c>
      <c r="B150" t="inlineStr">
        <is>
          <t>avverkningsanmälan</t>
        </is>
      </c>
      <c r="C150" t="inlineStr">
        <is>
          <t>Föryngringsavverkning</t>
        </is>
      </c>
      <c r="D150" s="1" t="n">
        <v>45196</v>
      </c>
      <c r="E150" s="1" t="n">
        <v>46314</v>
      </c>
      <c r="F150" t="inlineStr">
        <is>
          <t>NORRBOTTENS LÄN</t>
        </is>
      </c>
      <c r="G150" t="inlineStr">
        <is>
          <t>GÄLLIVARE</t>
        </is>
      </c>
      <c r="H150" t="inlineStr">
        <is>
          <t>Övriga statliga verk och myndigheter</t>
        </is>
      </c>
      <c r="I150" t="n">
        <v>65.40000000000001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47239-2023</t>
        </is>
      </c>
      <c r="B151" t="inlineStr">
        <is>
          <t>avverkningsanmälan</t>
        </is>
      </c>
      <c r="C151" t="inlineStr">
        <is>
          <t>Föryngringsavverkning</t>
        </is>
      </c>
      <c r="D151" s="1" t="n">
        <v>45196</v>
      </c>
      <c r="E151" s="1" t="n">
        <v>46314</v>
      </c>
      <c r="F151" t="inlineStr">
        <is>
          <t>NORRBOTTENS LÄN</t>
        </is>
      </c>
      <c r="G151" t="inlineStr">
        <is>
          <t>GÄLLIVARE</t>
        </is>
      </c>
      <c r="H151" t="inlineStr">
        <is>
          <t>Övriga statliga verk och myndigheter</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29254-2024</t>
        </is>
      </c>
      <c r="B152" t="inlineStr">
        <is>
          <t>avverkningsanmälan</t>
        </is>
      </c>
      <c r="C152" t="inlineStr">
        <is>
          <t>Föryngringsavverkning</t>
        </is>
      </c>
      <c r="D152" s="1" t="n">
        <v>45482</v>
      </c>
      <c r="E152" s="1" t="n">
        <v>46314</v>
      </c>
      <c r="F152" t="inlineStr">
        <is>
          <t>NORRBOTTENS LÄN</t>
        </is>
      </c>
      <c r="G152" t="inlineStr">
        <is>
          <t>GÄLLIVARE</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39060-2024</t>
        </is>
      </c>
      <c r="B153" t="inlineStr">
        <is>
          <t>avverkningsanmälan</t>
        </is>
      </c>
      <c r="C153" t="inlineStr">
        <is>
          <t>Föryngringsavverkning</t>
        </is>
      </c>
      <c r="D153" s="1" t="n">
        <v>45548</v>
      </c>
      <c r="E153" s="1" t="n">
        <v>46314</v>
      </c>
      <c r="F153" t="inlineStr">
        <is>
          <t>NORRBOTTENS LÄN</t>
        </is>
      </c>
      <c r="G153" t="inlineStr">
        <is>
          <t>GÄLLIVARE</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26560-2024</t>
        </is>
      </c>
      <c r="B154" t="inlineStr">
        <is>
          <t>avverkningsanmälan</t>
        </is>
      </c>
      <c r="C154" t="inlineStr">
        <is>
          <t>Föryngringsavverkning</t>
        </is>
      </c>
      <c r="D154" s="1" t="n">
        <v>45469</v>
      </c>
      <c r="E154" s="1" t="n">
        <v>46314</v>
      </c>
      <c r="F154" t="inlineStr">
        <is>
          <t>NORRBOTTENS LÄN</t>
        </is>
      </c>
      <c r="G154" t="inlineStr">
        <is>
          <t>GÄLLIVARE</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17203-2024</t>
        </is>
      </c>
      <c r="B155" t="inlineStr">
        <is>
          <t>avverkningsanmälan</t>
        </is>
      </c>
      <c r="C155" t="inlineStr">
        <is>
          <t>Avverkning för annat ändamål</t>
        </is>
      </c>
      <c r="D155" s="1" t="n">
        <v>45413</v>
      </c>
      <c r="E155" s="1" t="n">
        <v>46314</v>
      </c>
      <c r="F155" t="inlineStr">
        <is>
          <t>NORRBOTTENS LÄN</t>
        </is>
      </c>
      <c r="G155" t="inlineStr">
        <is>
          <t>GÄLLIVARE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37961-2025</t>
        </is>
      </c>
      <c r="B156" t="inlineStr">
        <is>
          <t>avverkningsanmälan</t>
        </is>
      </c>
      <c r="C156" t="inlineStr">
        <is>
          <t>Föryngringsavverkning</t>
        </is>
      </c>
      <c r="D156" s="1" t="n">
        <v>45881</v>
      </c>
      <c r="E156" s="1" t="n">
        <v>46314</v>
      </c>
      <c r="F156" t="inlineStr">
        <is>
          <t>NORRBOTTENS LÄN</t>
        </is>
      </c>
      <c r="G156" t="inlineStr">
        <is>
          <t>GÄLLIVARE</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25467-2024</t>
        </is>
      </c>
      <c r="B157" t="inlineStr">
        <is>
          <t>avverkningsanmälan</t>
        </is>
      </c>
      <c r="C157" t="inlineStr">
        <is>
          <t>Föryngringsavverkning</t>
        </is>
      </c>
      <c r="D157" s="1" t="n">
        <v>45463</v>
      </c>
      <c r="E157" s="1" t="n">
        <v>46314</v>
      </c>
      <c r="F157" t="inlineStr">
        <is>
          <t>NORRBOTTENS LÄN</t>
        </is>
      </c>
      <c r="G157" t="inlineStr">
        <is>
          <t>GÄLLIVARE</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27666-2024</t>
        </is>
      </c>
      <c r="B158" t="inlineStr">
        <is>
          <t>avverkningsanmälan</t>
        </is>
      </c>
      <c r="C158" t="inlineStr">
        <is>
          <t>Avverkning för annat ändamål</t>
        </is>
      </c>
      <c r="D158" s="1" t="n">
        <v>45474</v>
      </c>
      <c r="E158" s="1" t="n">
        <v>46314</v>
      </c>
      <c r="F158" t="inlineStr">
        <is>
          <t>NORRBOTTENS LÄN</t>
        </is>
      </c>
      <c r="G158" t="inlineStr">
        <is>
          <t>GÄLLIVARE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30026-2023</t>
        </is>
      </c>
      <c r="B159" t="inlineStr">
        <is>
          <t>avverkningsanmälan</t>
        </is>
      </c>
      <c r="C159" t="inlineStr">
        <is>
          <t>Föryngringsavverkning</t>
        </is>
      </c>
      <c r="D159" s="1" t="n">
        <v>45110</v>
      </c>
      <c r="E159" s="1" t="n">
        <v>46314</v>
      </c>
      <c r="F159" t="inlineStr">
        <is>
          <t>NORRBOTTENS LÄN</t>
        </is>
      </c>
      <c r="G159" t="inlineStr">
        <is>
          <t>GÄLLIVARE</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38896-2025</t>
        </is>
      </c>
      <c r="B160" t="inlineStr">
        <is>
          <t>avverkningsanmälan</t>
        </is>
      </c>
      <c r="C160" t="inlineStr">
        <is>
          <t>Föryngringsavverkning</t>
        </is>
      </c>
      <c r="D160" s="1" t="n">
        <v>45887</v>
      </c>
      <c r="E160" s="1" t="n">
        <v>46314</v>
      </c>
      <c r="F160" t="inlineStr">
        <is>
          <t>NORRBOTTENS LÄN</t>
        </is>
      </c>
      <c r="G160" t="inlineStr">
        <is>
          <t>GÄLLIVARE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38895-2025</t>
        </is>
      </c>
      <c r="B161" t="inlineStr">
        <is>
          <t>avverkningsanmälan</t>
        </is>
      </c>
      <c r="C161" t="inlineStr">
        <is>
          <t>Föryngringsavverkning</t>
        </is>
      </c>
      <c r="D161" s="1" t="n">
        <v>45887</v>
      </c>
      <c r="E161" s="1" t="n">
        <v>46314</v>
      </c>
      <c r="F161" t="inlineStr">
        <is>
          <t>NORRBOTTENS LÄN</t>
        </is>
      </c>
      <c r="G161" t="inlineStr">
        <is>
          <t>GÄLLIVARE</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44690-2023</t>
        </is>
      </c>
      <c r="B162" t="inlineStr">
        <is>
          <t>avverkningsanmälan</t>
        </is>
      </c>
      <c r="C162" t="inlineStr">
        <is>
          <t>Föryngringsavverkning</t>
        </is>
      </c>
      <c r="D162" s="1" t="n">
        <v>45189</v>
      </c>
      <c r="E162" s="1" t="n">
        <v>46314</v>
      </c>
      <c r="F162" t="inlineStr">
        <is>
          <t>NORRBOTTENS LÄN</t>
        </is>
      </c>
      <c r="G162" t="inlineStr">
        <is>
          <t>GÄLLIVARE</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39168-2025</t>
        </is>
      </c>
      <c r="B163" t="inlineStr">
        <is>
          <t>avverkningsanmälan</t>
        </is>
      </c>
      <c r="C163" t="inlineStr">
        <is>
          <t>Föryngringsavverkning</t>
        </is>
      </c>
      <c r="D163" s="1" t="n">
        <v>45888</v>
      </c>
      <c r="E163" s="1" t="n">
        <v>46314</v>
      </c>
      <c r="F163" t="inlineStr">
        <is>
          <t>NORRBOTTENS LÄN</t>
        </is>
      </c>
      <c r="G163" t="inlineStr">
        <is>
          <t>GÄLLIVARE</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39440-2025</t>
        </is>
      </c>
      <c r="B164" t="inlineStr">
        <is>
          <t>avverkningsanmälan</t>
        </is>
      </c>
      <c r="C164" t="inlineStr">
        <is>
          <t>Föryngringsavverkning</t>
        </is>
      </c>
      <c r="D164" s="1" t="n">
        <v>45889</v>
      </c>
      <c r="E164" s="1" t="n">
        <v>46314</v>
      </c>
      <c r="F164" t="inlineStr">
        <is>
          <t>NORRBOTTENS LÄN</t>
        </is>
      </c>
      <c r="G164" t="inlineStr">
        <is>
          <t>GÄLLIVARE</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39261-2025</t>
        </is>
      </c>
      <c r="B165" t="inlineStr">
        <is>
          <t>avverkningsanmälan</t>
        </is>
      </c>
      <c r="C165" t="inlineStr">
        <is>
          <t>Föryngringsavverkning</t>
        </is>
      </c>
      <c r="D165" s="1" t="n">
        <v>45889</v>
      </c>
      <c r="E165" s="1" t="n">
        <v>46314</v>
      </c>
      <c r="F165" t="inlineStr">
        <is>
          <t>NORRBOTTENS LÄN</t>
        </is>
      </c>
      <c r="G165" t="inlineStr">
        <is>
          <t>GÄLLIVARE</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39413-2025</t>
        </is>
      </c>
      <c r="B166" t="inlineStr">
        <is>
          <t>avverkningsanmälan</t>
        </is>
      </c>
      <c r="C166" t="inlineStr">
        <is>
          <t>Föryngringsavverkning</t>
        </is>
      </c>
      <c r="D166" s="1" t="n">
        <v>45889</v>
      </c>
      <c r="E166" s="1" t="n">
        <v>46314</v>
      </c>
      <c r="F166" t="inlineStr">
        <is>
          <t>NORRBOTTENS LÄN</t>
        </is>
      </c>
      <c r="G166" t="inlineStr">
        <is>
          <t>GÄLLIVARE</t>
        </is>
      </c>
      <c r="H166" t="inlineStr">
        <is>
          <t>SCA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46314</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45654-2024</t>
        </is>
      </c>
      <c r="B168" t="inlineStr">
        <is>
          <t>avverkningsanmälan</t>
        </is>
      </c>
      <c r="C168" t="inlineStr">
        <is>
          <t>Avverkning för annat ändamål</t>
        </is>
      </c>
      <c r="D168" s="1" t="n">
        <v>45579</v>
      </c>
      <c r="E168" s="1" t="n">
        <v>46314</v>
      </c>
      <c r="F168" t="inlineStr">
        <is>
          <t>NORRBOTTENS LÄN</t>
        </is>
      </c>
      <c r="G168" t="inlineStr">
        <is>
          <t>GÄLLIVARE</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47162-2023</t>
        </is>
      </c>
      <c r="B169" t="inlineStr">
        <is>
          <t>avverkningsanmälan</t>
        </is>
      </c>
      <c r="C169" t="inlineStr">
        <is>
          <t>Föryngringsavverkning</t>
        </is>
      </c>
      <c r="D169" s="1" t="n">
        <v>45201</v>
      </c>
      <c r="E169" s="1" t="n">
        <v>46314</v>
      </c>
      <c r="F169" t="inlineStr">
        <is>
          <t>NORRBOTTENS LÄN</t>
        </is>
      </c>
      <c r="G169" t="inlineStr">
        <is>
          <t>GÄLLIVARE</t>
        </is>
      </c>
      <c r="H169" t="inlineStr">
        <is>
          <t>SCA</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41165-2025</t>
        </is>
      </c>
      <c r="B170" t="inlineStr">
        <is>
          <t>avverkningsanmälan</t>
        </is>
      </c>
      <c r="C170" t="inlineStr">
        <is>
          <t>Föryngringsavverkning</t>
        </is>
      </c>
      <c r="D170" s="1" t="n">
        <v>45898</v>
      </c>
      <c r="E170" s="1" t="n">
        <v>46314</v>
      </c>
      <c r="F170" t="inlineStr">
        <is>
          <t>NORRBOTTENS LÄN</t>
        </is>
      </c>
      <c r="G170" t="inlineStr">
        <is>
          <t>GÄLLIVARE</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20660-2026</t>
        </is>
      </c>
      <c r="B171" t="inlineStr">
        <is>
          <t>avverkningsanmälan</t>
        </is>
      </c>
      <c r="C171" t="inlineStr">
        <is>
          <t>Föryngringsavverkning</t>
        </is>
      </c>
      <c r="D171" s="1" t="n">
        <v>46141</v>
      </c>
      <c r="E171" s="1" t="n">
        <v>46314</v>
      </c>
      <c r="F171" t="inlineStr">
        <is>
          <t>NORRBOTTENS LÄN</t>
        </is>
      </c>
      <c r="G171" t="inlineStr">
        <is>
          <t>GÄLLIVARE</t>
        </is>
      </c>
      <c r="H171" t="inlineStr">
        <is>
          <t>SCA</t>
        </is>
      </c>
      <c r="I171" t="n">
        <v>18.4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59703-2024</t>
        </is>
      </c>
      <c r="B172" t="inlineStr">
        <is>
          <t>avverkningsanmälan</t>
        </is>
      </c>
      <c r="C172" t="inlineStr">
        <is>
          <t>Föryngringsavverkning</t>
        </is>
      </c>
      <c r="D172" s="1" t="n">
        <v>45639</v>
      </c>
      <c r="E172" s="1" t="n">
        <v>46314</v>
      </c>
      <c r="F172" t="inlineStr">
        <is>
          <t>NORRBOTTENS LÄN</t>
        </is>
      </c>
      <c r="G172" t="inlineStr">
        <is>
          <t>GÄLLIVARE</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31647-2025</t>
        </is>
      </c>
      <c r="B173" t="inlineStr">
        <is>
          <t>avverkningsanmälan</t>
        </is>
      </c>
      <c r="C173" t="inlineStr">
        <is>
          <t>Föryngringsavverkning</t>
        </is>
      </c>
      <c r="D173" s="1" t="n">
        <v>45834</v>
      </c>
      <c r="E173" s="1" t="n">
        <v>46314</v>
      </c>
      <c r="F173" t="inlineStr">
        <is>
          <t>NORRBOTTENS LÄN</t>
        </is>
      </c>
      <c r="G173" t="inlineStr">
        <is>
          <t>GÄLLIVARE</t>
        </is>
      </c>
      <c r="H173" t="inlineStr">
        <is>
          <t>SCA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20415-2026</t>
        </is>
      </c>
      <c r="B174" t="inlineStr">
        <is>
          <t>avverkningsanmälan</t>
        </is>
      </c>
      <c r="C174" t="inlineStr">
        <is>
          <t>Föryngringsavverkning</t>
        </is>
      </c>
      <c r="D174" s="1" t="n">
        <v>46140</v>
      </c>
      <c r="E174" s="1" t="n">
        <v>46314</v>
      </c>
      <c r="F174" t="inlineStr">
        <is>
          <t>NORRBOTTENS LÄN</t>
        </is>
      </c>
      <c r="G174" t="inlineStr">
        <is>
          <t>GÄLLIVARE</t>
        </is>
      </c>
      <c r="H174" t="inlineStr">
        <is>
          <t>SCA</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41789-2025</t>
        </is>
      </c>
      <c r="B175" t="inlineStr">
        <is>
          <t>avverkningsanmälan</t>
        </is>
      </c>
      <c r="C175" t="inlineStr">
        <is>
          <t>Föryngringsavverkning</t>
        </is>
      </c>
      <c r="D175" s="1" t="n">
        <v>45902</v>
      </c>
      <c r="E175" s="1" t="n">
        <v>46314</v>
      </c>
      <c r="F175" t="inlineStr">
        <is>
          <t>NORRBOTTENS LÄN</t>
        </is>
      </c>
      <c r="G175" t="inlineStr">
        <is>
          <t>GÄLLIVARE</t>
        </is>
      </c>
      <c r="H175" t="inlineStr">
        <is>
          <t>SCA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41791-2025</t>
        </is>
      </c>
      <c r="B176" t="inlineStr">
        <is>
          <t>avverkningsanmälan</t>
        </is>
      </c>
      <c r="C176" t="inlineStr">
        <is>
          <t>Föryngringsavverkning</t>
        </is>
      </c>
      <c r="D176" s="1" t="n">
        <v>45902</v>
      </c>
      <c r="E176" s="1" t="n">
        <v>46314</v>
      </c>
      <c r="F176" t="inlineStr">
        <is>
          <t>NORRBOTTENS LÄN</t>
        </is>
      </c>
      <c r="G176" t="inlineStr">
        <is>
          <t>GÄLLIVARE</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41790-2025</t>
        </is>
      </c>
      <c r="B177" t="inlineStr">
        <is>
          <t>avverkningsanmälan</t>
        </is>
      </c>
      <c r="C177" t="inlineStr">
        <is>
          <t>Föryngringsavverkning</t>
        </is>
      </c>
      <c r="D177" s="1" t="n">
        <v>45902</v>
      </c>
      <c r="E177" s="1" t="n">
        <v>46314</v>
      </c>
      <c r="F177" t="inlineStr">
        <is>
          <t>NORRBOTTENS LÄN</t>
        </is>
      </c>
      <c r="G177" t="inlineStr">
        <is>
          <t>GÄLLIVARE</t>
        </is>
      </c>
      <c r="H177" t="inlineStr">
        <is>
          <t>SCA</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41792-2025</t>
        </is>
      </c>
      <c r="B178" t="inlineStr">
        <is>
          <t>avverkningsanmälan</t>
        </is>
      </c>
      <c r="C178" t="inlineStr">
        <is>
          <t>Föryngringsavverkning</t>
        </is>
      </c>
      <c r="D178" s="1" t="n">
        <v>45902</v>
      </c>
      <c r="E178" s="1" t="n">
        <v>46314</v>
      </c>
      <c r="F178" t="inlineStr">
        <is>
          <t>NORRBOTTENS LÄN</t>
        </is>
      </c>
      <c r="G178" t="inlineStr">
        <is>
          <t>GÄLLIVARE</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41873-2024</t>
        </is>
      </c>
      <c r="B179" t="inlineStr">
        <is>
          <t>avverkningsanmälan</t>
        </is>
      </c>
      <c r="C179" t="inlineStr">
        <is>
          <t>Föryngringsavverkning</t>
        </is>
      </c>
      <c r="D179" s="1" t="n">
        <v>45561</v>
      </c>
      <c r="E179" s="1" t="n">
        <v>46314</v>
      </c>
      <c r="F179" t="inlineStr">
        <is>
          <t>NORRBOTTENS LÄN</t>
        </is>
      </c>
      <c r="G179" t="inlineStr">
        <is>
          <t>GÄLLIVARE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41917-2024</t>
        </is>
      </c>
      <c r="B180" t="inlineStr">
        <is>
          <t>avverkningsanmälan</t>
        </is>
      </c>
      <c r="C180" t="inlineStr">
        <is>
          <t>Föryngringsavverkning</t>
        </is>
      </c>
      <c r="D180" s="1" t="n">
        <v>45561</v>
      </c>
      <c r="E180" s="1" t="n">
        <v>46314</v>
      </c>
      <c r="F180" t="inlineStr">
        <is>
          <t>NORRBOTTENS LÄN</t>
        </is>
      </c>
      <c r="G180" t="inlineStr">
        <is>
          <t>GÄLLIVARE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42458-2025</t>
        </is>
      </c>
      <c r="B181" t="inlineStr">
        <is>
          <t>avverkningsanmälan</t>
        </is>
      </c>
      <c r="C181" t="inlineStr">
        <is>
          <t>Föryngringsavverkning</t>
        </is>
      </c>
      <c r="D181" s="1" t="n">
        <v>45905</v>
      </c>
      <c r="E181" s="1" t="n">
        <v>46314</v>
      </c>
      <c r="F181" t="inlineStr">
        <is>
          <t>NORRBOTTENS LÄN</t>
        </is>
      </c>
      <c r="G181" t="inlineStr">
        <is>
          <t>GÄLLIVARE</t>
        </is>
      </c>
      <c r="H181" t="inlineStr">
        <is>
          <t>Sveaskog</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32936-2025</t>
        </is>
      </c>
      <c r="B182" t="inlineStr">
        <is>
          <t>avverkningsanmälan</t>
        </is>
      </c>
      <c r="C182" t="inlineStr">
        <is>
          <t>Föryngringsavverkning</t>
        </is>
      </c>
      <c r="D182" s="1" t="n">
        <v>45839</v>
      </c>
      <c r="E182" s="1" t="n">
        <v>46314</v>
      </c>
      <c r="F182" t="inlineStr">
        <is>
          <t>NORRBOTTENS LÄN</t>
        </is>
      </c>
      <c r="G182" t="inlineStr">
        <is>
          <t>GÄLLIVARE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42896-2025</t>
        </is>
      </c>
      <c r="B183" t="inlineStr">
        <is>
          <t>avverkningsanmälan</t>
        </is>
      </c>
      <c r="C183" t="inlineStr">
        <is>
          <t>Föryngringsavverkning</t>
        </is>
      </c>
      <c r="D183" s="1" t="n">
        <v>45908</v>
      </c>
      <c r="E183" s="1" t="n">
        <v>46314</v>
      </c>
      <c r="F183" t="inlineStr">
        <is>
          <t>NORRBOTTENS LÄN</t>
        </is>
      </c>
      <c r="G183" t="inlineStr">
        <is>
          <t>GÄLLIVARE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42895-2025</t>
        </is>
      </c>
      <c r="B184" t="inlineStr">
        <is>
          <t>avverkningsanmälan</t>
        </is>
      </c>
      <c r="C184" t="inlineStr">
        <is>
          <t>Föryngringsavverkning</t>
        </is>
      </c>
      <c r="D184" s="1" t="n">
        <v>45908</v>
      </c>
      <c r="E184" s="1" t="n">
        <v>46314</v>
      </c>
      <c r="F184" t="inlineStr">
        <is>
          <t>NORRBOTTENS LÄN</t>
        </is>
      </c>
      <c r="G184" t="inlineStr">
        <is>
          <t>GÄLLIVARE</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33847-2023</t>
        </is>
      </c>
      <c r="B185" t="inlineStr">
        <is>
          <t>avverkningsanmälan</t>
        </is>
      </c>
      <c r="C185" t="inlineStr">
        <is>
          <t>Avverkning för annat ändamål</t>
        </is>
      </c>
      <c r="D185" s="1" t="n">
        <v>45121</v>
      </c>
      <c r="E185" s="1" t="n">
        <v>46314</v>
      </c>
      <c r="F185" t="inlineStr">
        <is>
          <t>NORRBOTTENS LÄN</t>
        </is>
      </c>
      <c r="G185" t="inlineStr">
        <is>
          <t>GÄLLIVARE</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54725-2023</t>
        </is>
      </c>
      <c r="B186" t="inlineStr">
        <is>
          <t>avverkningsanmälan</t>
        </is>
      </c>
      <c r="C186" t="inlineStr">
        <is>
          <t>Föryngringsavverkning</t>
        </is>
      </c>
      <c r="D186" s="1" t="n">
        <v>45229</v>
      </c>
      <c r="E186" s="1" t="n">
        <v>46314</v>
      </c>
      <c r="F186" t="inlineStr">
        <is>
          <t>NORRBOTTENS LÄN</t>
        </is>
      </c>
      <c r="G186" t="inlineStr">
        <is>
          <t>GÄLLIVARE</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49873-2023</t>
        </is>
      </c>
      <c r="B187" t="inlineStr">
        <is>
          <t>avverkningsanmälan</t>
        </is>
      </c>
      <c r="C187" t="inlineStr">
        <is>
          <t>Föryngringsavverkning</t>
        </is>
      </c>
      <c r="D187" s="1" t="n">
        <v>45212</v>
      </c>
      <c r="E187" s="1" t="n">
        <v>46314</v>
      </c>
      <c r="F187" t="inlineStr">
        <is>
          <t>NORRBOTTENS LÄN</t>
        </is>
      </c>
      <c r="G187" t="inlineStr">
        <is>
          <t>GÄLLIVARE</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63155-2021</t>
        </is>
      </c>
      <c r="B188" t="inlineStr">
        <is>
          <t>avverkningsanmälan</t>
        </is>
      </c>
      <c r="C188" t="inlineStr">
        <is>
          <t>Föryngringsavverkning</t>
        </is>
      </c>
      <c r="D188" s="1" t="n">
        <v>44505</v>
      </c>
      <c r="E188" s="1" t="n">
        <v>46314</v>
      </c>
      <c r="F188" t="inlineStr">
        <is>
          <t>NORRBOTTENS LÄN</t>
        </is>
      </c>
      <c r="G188" t="inlineStr">
        <is>
          <t>GÄLLIVARE</t>
        </is>
      </c>
      <c r="H188" t="inlineStr">
        <is>
          <t>SCA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46386-2025</t>
        </is>
      </c>
      <c r="B189" t="inlineStr">
        <is>
          <t>avverkningsanmälan</t>
        </is>
      </c>
      <c r="C189" t="inlineStr">
        <is>
          <t>Föryngringsavverkning</t>
        </is>
      </c>
      <c r="D189" s="1" t="n">
        <v>45925</v>
      </c>
      <c r="E189" s="1" t="n">
        <v>46314</v>
      </c>
      <c r="F189" t="inlineStr">
        <is>
          <t>NORRBOTTENS LÄN</t>
        </is>
      </c>
      <c r="G189" t="inlineStr">
        <is>
          <t>GÄLLIVARE</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46318-2025</t>
        </is>
      </c>
      <c r="B190" t="inlineStr">
        <is>
          <t>avverkningsanmälan</t>
        </is>
      </c>
      <c r="C190" t="inlineStr">
        <is>
          <t>Föryngringsavverkning</t>
        </is>
      </c>
      <c r="D190" s="1" t="n">
        <v>45925</v>
      </c>
      <c r="E190" s="1" t="n">
        <v>46314</v>
      </c>
      <c r="F190" t="inlineStr">
        <is>
          <t>NORRBOTTENS LÄN</t>
        </is>
      </c>
      <c r="G190" t="inlineStr">
        <is>
          <t>GÄLLIVARE</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836-2025</t>
        </is>
      </c>
      <c r="B191" t="inlineStr">
        <is>
          <t>avverkningsanmälan</t>
        </is>
      </c>
      <c r="C191" t="inlineStr">
        <is>
          <t>Föryngringsavverkning</t>
        </is>
      </c>
      <c r="D191" s="1" t="n">
        <v>45665</v>
      </c>
      <c r="E191" s="1" t="n">
        <v>46314</v>
      </c>
      <c r="F191" t="inlineStr">
        <is>
          <t>NORRBOTTENS LÄN</t>
        </is>
      </c>
      <c r="G191" t="inlineStr">
        <is>
          <t>GÄLLIVARE</t>
        </is>
      </c>
      <c r="H191" t="inlineStr">
        <is>
          <t>Sveaskog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46418-2025</t>
        </is>
      </c>
      <c r="B192" t="inlineStr">
        <is>
          <t>avverkningsanmälan</t>
        </is>
      </c>
      <c r="C192" t="inlineStr">
        <is>
          <t>Föryngringsavverkning</t>
        </is>
      </c>
      <c r="D192" s="1" t="n">
        <v>45925</v>
      </c>
      <c r="E192" s="1" t="n">
        <v>46314</v>
      </c>
      <c r="F192" t="inlineStr">
        <is>
          <t>NORRBOTTENS LÄN</t>
        </is>
      </c>
      <c r="G192" t="inlineStr">
        <is>
          <t>GÄLLIVARE</t>
        </is>
      </c>
      <c r="H192" t="inlineStr">
        <is>
          <t>SCA</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21591-2026</t>
        </is>
      </c>
      <c r="B193" t="inlineStr">
        <is>
          <t>avverkningsanmälan</t>
        </is>
      </c>
      <c r="C193" t="inlineStr">
        <is>
          <t>Föryngringsavverkning</t>
        </is>
      </c>
      <c r="D193" s="1" t="n">
        <v>46149</v>
      </c>
      <c r="E193" s="1" t="n">
        <v>46314</v>
      </c>
      <c r="F193" t="inlineStr">
        <is>
          <t>NORRBOTTENS LÄN</t>
        </is>
      </c>
      <c r="G193" t="inlineStr">
        <is>
          <t>GÄLLIVARE</t>
        </is>
      </c>
      <c r="H193" t="inlineStr">
        <is>
          <t>SCA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44982-2023</t>
        </is>
      </c>
      <c r="B194" t="inlineStr">
        <is>
          <t>avverkningsanmälan</t>
        </is>
      </c>
      <c r="C194" t="inlineStr">
        <is>
          <t>Föryngringsavverkning</t>
        </is>
      </c>
      <c r="D194" s="1" t="n">
        <v>45190</v>
      </c>
      <c r="E194" s="1" t="n">
        <v>46314</v>
      </c>
      <c r="F194" t="inlineStr">
        <is>
          <t>NORRBOTTENS LÄN</t>
        </is>
      </c>
      <c r="G194" t="inlineStr">
        <is>
          <t>GÄLLIVARE</t>
        </is>
      </c>
      <c r="H194" t="inlineStr">
        <is>
          <t>SCA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47190-2025</t>
        </is>
      </c>
      <c r="B195" t="inlineStr">
        <is>
          <t>avverkningsanmälan</t>
        </is>
      </c>
      <c r="C195" t="inlineStr">
        <is>
          <t>Avverkning för annat ändamål</t>
        </is>
      </c>
      <c r="D195" s="1" t="n">
        <v>45930</v>
      </c>
      <c r="E195" s="1" t="n">
        <v>46314</v>
      </c>
      <c r="F195" t="inlineStr">
        <is>
          <t>NORRBOTTENS LÄN</t>
        </is>
      </c>
      <c r="G195" t="inlineStr">
        <is>
          <t>GÄLLIVARE</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53893-2024</t>
        </is>
      </c>
      <c r="B196" t="inlineStr">
        <is>
          <t>avverkningsanmälan</t>
        </is>
      </c>
      <c r="C196" t="inlineStr">
        <is>
          <t>Föryngringsavverkning</t>
        </is>
      </c>
      <c r="D196" s="1" t="n">
        <v>45615</v>
      </c>
      <c r="E196" s="1" t="n">
        <v>46314</v>
      </c>
      <c r="F196" t="inlineStr">
        <is>
          <t>NORRBOTTENS LÄN</t>
        </is>
      </c>
      <c r="G196" t="inlineStr">
        <is>
          <t>GÄLLIVARE</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48627-2025</t>
        </is>
      </c>
      <c r="B197" t="inlineStr">
        <is>
          <t>avverkningsanmälan</t>
        </is>
      </c>
      <c r="C197" t="inlineStr">
        <is>
          <t>Föryngringsavverkning</t>
        </is>
      </c>
      <c r="D197" s="1" t="n">
        <v>45936</v>
      </c>
      <c r="E197" s="1" t="n">
        <v>46314</v>
      </c>
      <c r="F197" t="inlineStr">
        <is>
          <t>NORRBOTTENS LÄN</t>
        </is>
      </c>
      <c r="G197" t="inlineStr">
        <is>
          <t>GÄLLIVARE</t>
        </is>
      </c>
      <c r="H197" t="inlineStr">
        <is>
          <t>SCA</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48626-2025</t>
        </is>
      </c>
      <c r="B198" t="inlineStr">
        <is>
          <t>avverkningsanmälan</t>
        </is>
      </c>
      <c r="C198" t="inlineStr">
        <is>
          <t>Föryngringsavverkning</t>
        </is>
      </c>
      <c r="D198" s="1" t="n">
        <v>45936</v>
      </c>
      <c r="E198" s="1" t="n">
        <v>46314</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46271-2023</t>
        </is>
      </c>
      <c r="B199" t="inlineStr">
        <is>
          <t>avverkningsanmälan</t>
        </is>
      </c>
      <c r="C199" t="inlineStr">
        <is>
          <t>Föryngringsavverkning</t>
        </is>
      </c>
      <c r="D199" s="1" t="n">
        <v>45196</v>
      </c>
      <c r="E199" s="1" t="n">
        <v>46314</v>
      </c>
      <c r="F199" t="inlineStr">
        <is>
          <t>NORRBOTTENS LÄN</t>
        </is>
      </c>
      <c r="G199" t="inlineStr">
        <is>
          <t>GÄLLIVARE</t>
        </is>
      </c>
      <c r="H199" t="inlineStr">
        <is>
          <t>SCA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50005-2025</t>
        </is>
      </c>
      <c r="B200" t="inlineStr">
        <is>
          <t>avverkningsanmälan</t>
        </is>
      </c>
      <c r="C200" t="inlineStr">
        <is>
          <t>Föryngringsavverkning</t>
        </is>
      </c>
      <c r="D200" s="1" t="n">
        <v>45943</v>
      </c>
      <c r="E200" s="1" t="n">
        <v>46314</v>
      </c>
      <c r="F200" t="inlineStr">
        <is>
          <t>NORRBOTTENS LÄN</t>
        </is>
      </c>
      <c r="G200" t="inlineStr">
        <is>
          <t>GÄLLIVARE</t>
        </is>
      </c>
      <c r="H200" t="inlineStr">
        <is>
          <t>SCA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50063-2025</t>
        </is>
      </c>
      <c r="B201" t="inlineStr">
        <is>
          <t>avverkningsanmälan</t>
        </is>
      </c>
      <c r="C201" t="inlineStr">
        <is>
          <t>Föryngringsavverkning</t>
        </is>
      </c>
      <c r="D201" s="1" t="n">
        <v>45943</v>
      </c>
      <c r="E201" s="1" t="n">
        <v>46314</v>
      </c>
      <c r="F201" t="inlineStr">
        <is>
          <t>NORRBOTTENS LÄN</t>
        </is>
      </c>
      <c r="G201" t="inlineStr">
        <is>
          <t>GÄLLIVARE</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49664-2025</t>
        </is>
      </c>
      <c r="B202" t="inlineStr">
        <is>
          <t>avverkningsanmälan</t>
        </is>
      </c>
      <c r="C202" t="inlineStr">
        <is>
          <t>Föryngringsavverkning</t>
        </is>
      </c>
      <c r="D202" s="1" t="n">
        <v>45939</v>
      </c>
      <c r="E202" s="1" t="n">
        <v>46314</v>
      </c>
      <c r="F202" t="inlineStr">
        <is>
          <t>NORRBOTTENS LÄN</t>
        </is>
      </c>
      <c r="G202" t="inlineStr">
        <is>
          <t>GÄLLIVARE</t>
        </is>
      </c>
      <c r="H202" t="inlineStr">
        <is>
          <t>SCA</t>
        </is>
      </c>
      <c r="I202" t="n">
        <v>11.1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39962-2025</t>
        </is>
      </c>
      <c r="B203" t="inlineStr">
        <is>
          <t>avverkningsanmälan</t>
        </is>
      </c>
      <c r="C203" t="inlineStr">
        <is>
          <t>Föryngringsavverkning</t>
        </is>
      </c>
      <c r="D203" s="1" t="n">
        <v>45892</v>
      </c>
      <c r="E203" s="1" t="n">
        <v>46314</v>
      </c>
      <c r="F203" t="inlineStr">
        <is>
          <t>NORRBOTTENS LÄN</t>
        </is>
      </c>
      <c r="G203" t="inlineStr">
        <is>
          <t>GÄLLIVARE</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59926-2021</t>
        </is>
      </c>
      <c r="B204" t="inlineStr">
        <is>
          <t>avverkningsanmälan</t>
        </is>
      </c>
      <c r="C204" t="inlineStr">
        <is>
          <t>Avverkning för annat ändamål</t>
        </is>
      </c>
      <c r="D204" s="1" t="n">
        <v>44494</v>
      </c>
      <c r="E204" s="1" t="n">
        <v>46314</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37021-2025</t>
        </is>
      </c>
      <c r="B205" t="inlineStr">
        <is>
          <t>avverkningsanmälan</t>
        </is>
      </c>
      <c r="C205" t="inlineStr">
        <is>
          <t>Föryngringsavverkning</t>
        </is>
      </c>
      <c r="D205" s="1" t="n">
        <v>45874</v>
      </c>
      <c r="E205" s="1" t="n">
        <v>46314</v>
      </c>
      <c r="F205" t="inlineStr">
        <is>
          <t>NORRBOTTENS LÄN</t>
        </is>
      </c>
      <c r="G205" t="inlineStr">
        <is>
          <t>GÄLLIVARE</t>
        </is>
      </c>
      <c r="H205" t="inlineStr">
        <is>
          <t>Allmännings- och besparingsskogar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28646-2023</t>
        </is>
      </c>
      <c r="B206" t="inlineStr">
        <is>
          <t>avverkningsanmälan</t>
        </is>
      </c>
      <c r="C206" t="inlineStr">
        <is>
          <t>Föryngringsavverkning</t>
        </is>
      </c>
      <c r="D206" s="1" t="n">
        <v>45096</v>
      </c>
      <c r="E206" s="1" t="n">
        <v>46314</v>
      </c>
      <c r="F206" t="inlineStr">
        <is>
          <t>NORRBOTTENS LÄN</t>
        </is>
      </c>
      <c r="G206" t="inlineStr">
        <is>
          <t>GÄLLIVARE</t>
        </is>
      </c>
      <c r="H206" t="inlineStr">
        <is>
          <t>Allmännings- och besparingsskogar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36039-2023</t>
        </is>
      </c>
      <c r="B207" t="inlineStr">
        <is>
          <t>avverkningsanmälan</t>
        </is>
      </c>
      <c r="C207" t="inlineStr">
        <is>
          <t>Föryngringsavverkning</t>
        </is>
      </c>
      <c r="D207" s="1" t="n">
        <v>45148</v>
      </c>
      <c r="E207" s="1" t="n">
        <v>46314</v>
      </c>
      <c r="F207" t="inlineStr">
        <is>
          <t>NORRBOTTENS LÄN</t>
        </is>
      </c>
      <c r="G207" t="inlineStr">
        <is>
          <t>GÄLLIVARE</t>
        </is>
      </c>
      <c r="H207" t="inlineStr">
        <is>
          <t>Allmännings- och besparingsskogar</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57909-2023</t>
        </is>
      </c>
      <c r="B208" t="inlineStr">
        <is>
          <t>avverkningsanmälan</t>
        </is>
      </c>
      <c r="C208" t="inlineStr">
        <is>
          <t>Avverkning för annat ändamål</t>
        </is>
      </c>
      <c r="D208" s="1" t="n">
        <v>45244</v>
      </c>
      <c r="E208" s="1" t="n">
        <v>46314</v>
      </c>
      <c r="F208" t="inlineStr">
        <is>
          <t>NORRBOTTENS LÄN</t>
        </is>
      </c>
      <c r="G208" t="inlineStr">
        <is>
          <t>GÄLLIVARE</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33373-2023</t>
        </is>
      </c>
      <c r="B209" t="inlineStr">
        <is>
          <t>avverkningsanmälan</t>
        </is>
      </c>
      <c r="C209" t="inlineStr">
        <is>
          <t>Föryngringsavverkning</t>
        </is>
      </c>
      <c r="D209" s="1" t="n">
        <v>45117</v>
      </c>
      <c r="E209" s="1" t="n">
        <v>46314</v>
      </c>
      <c r="F209" t="inlineStr">
        <is>
          <t>NORRBOTTENS LÄN</t>
        </is>
      </c>
      <c r="G209" t="inlineStr">
        <is>
          <t>GÄLLIVARE</t>
        </is>
      </c>
      <c r="H209" t="inlineStr">
        <is>
          <t>Allmännings- och besparingsskogar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39756-2024</t>
        </is>
      </c>
      <c r="B210" t="inlineStr">
        <is>
          <t>avverkningsanmälan</t>
        </is>
      </c>
      <c r="C210" t="inlineStr">
        <is>
          <t>Föryngringsavverkning</t>
        </is>
      </c>
      <c r="D210" s="1" t="n">
        <v>45552</v>
      </c>
      <c r="E210" s="1" t="n">
        <v>46314</v>
      </c>
      <c r="F210" t="inlineStr">
        <is>
          <t>NORRBOTTENS LÄN</t>
        </is>
      </c>
      <c r="G210" t="inlineStr">
        <is>
          <t>GÄLLIVARE</t>
        </is>
      </c>
      <c r="H210" t="inlineStr">
        <is>
          <t>Allmännings- och besparingsskogar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39757-2024</t>
        </is>
      </c>
      <c r="B211" t="inlineStr">
        <is>
          <t>avverkningsanmälan</t>
        </is>
      </c>
      <c r="C211" t="inlineStr">
        <is>
          <t>Föryngringsavverkning</t>
        </is>
      </c>
      <c r="D211" s="1" t="n">
        <v>45552</v>
      </c>
      <c r="E211" s="1" t="n">
        <v>46314</v>
      </c>
      <c r="F211" t="inlineStr">
        <is>
          <t>NORRBOTTENS LÄN</t>
        </is>
      </c>
      <c r="G211" t="inlineStr">
        <is>
          <t>GÄLLIVARE</t>
        </is>
      </c>
      <c r="H211" t="inlineStr">
        <is>
          <t>Allmännings- och besparingsskogar</t>
        </is>
      </c>
      <c r="I211" t="n">
        <v>36.2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46314</v>
      </c>
      <c r="F212" t="inlineStr">
        <is>
          <t>NORRBOTTENS LÄN</t>
        </is>
      </c>
      <c r="G212" t="inlineStr">
        <is>
          <t>GÄLLIVARE</t>
        </is>
      </c>
      <c r="H212" t="inlineStr">
        <is>
          <t>Allmännings- och besparingsskogar</t>
        </is>
      </c>
      <c r="I212" t="n">
        <v>40.5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40146-2025</t>
        </is>
      </c>
      <c r="B213" t="inlineStr">
        <is>
          <t>avverkningsanmälan</t>
        </is>
      </c>
      <c r="C213" t="inlineStr">
        <is>
          <t>Avverkning för annat ändamål</t>
        </is>
      </c>
      <c r="D213" s="1" t="n">
        <v>45894</v>
      </c>
      <c r="E213" s="1" t="n">
        <v>46314</v>
      </c>
      <c r="F213" t="inlineStr">
        <is>
          <t>NORRBOTTENS LÄN</t>
        </is>
      </c>
      <c r="G213" t="inlineStr">
        <is>
          <t>GÄLLIVARE</t>
        </is>
      </c>
      <c r="H213" t="inlineStr">
        <is>
          <t>Allmännings- och besparingsskogar</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25941-2024</t>
        </is>
      </c>
      <c r="B214" t="inlineStr">
        <is>
          <t>avverkningsanmälan</t>
        </is>
      </c>
      <c r="C214" t="inlineStr">
        <is>
          <t>Föryngringsavverkning</t>
        </is>
      </c>
      <c r="D214" s="1" t="n">
        <v>45467</v>
      </c>
      <c r="E214" s="1" t="n">
        <v>46314</v>
      </c>
      <c r="F214" t="inlineStr">
        <is>
          <t>NORRBOTTENS LÄN</t>
        </is>
      </c>
      <c r="G214" t="inlineStr">
        <is>
          <t>GÄLLIVARE</t>
        </is>
      </c>
      <c r="H214" t="inlineStr">
        <is>
          <t>Allmännings- och besparingsskogar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46314</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50763-2025</t>
        </is>
      </c>
      <c r="B216" t="inlineStr">
        <is>
          <t>avverkningsanmälan</t>
        </is>
      </c>
      <c r="C216" t="inlineStr">
        <is>
          <t>Föryngringsavverkning</t>
        </is>
      </c>
      <c r="D216" s="1" t="n">
        <v>45946</v>
      </c>
      <c r="E216" s="1" t="n">
        <v>46314</v>
      </c>
      <c r="F216" t="inlineStr">
        <is>
          <t>NORRBOTTENS LÄN</t>
        </is>
      </c>
      <c r="G216" t="inlineStr">
        <is>
          <t>GÄLLIVARE</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50772-2025</t>
        </is>
      </c>
      <c r="B217" t="inlineStr">
        <is>
          <t>avverkningsanmälan</t>
        </is>
      </c>
      <c r="C217" t="inlineStr">
        <is>
          <t>Föryngringsavverkning</t>
        </is>
      </c>
      <c r="D217" s="1" t="n">
        <v>45946</v>
      </c>
      <c r="E217" s="1" t="n">
        <v>46314</v>
      </c>
      <c r="F217" t="inlineStr">
        <is>
          <t>NORRBOTTENS LÄN</t>
        </is>
      </c>
      <c r="G217" t="inlineStr">
        <is>
          <t>GÄLLIVARE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50773-2025</t>
        </is>
      </c>
      <c r="B218" t="inlineStr">
        <is>
          <t>avverkningsanmälan</t>
        </is>
      </c>
      <c r="C218" t="inlineStr">
        <is>
          <t>Föryngringsavverkning</t>
        </is>
      </c>
      <c r="D218" s="1" t="n">
        <v>45946</v>
      </c>
      <c r="E218" s="1" t="n">
        <v>46314</v>
      </c>
      <c r="F218" t="inlineStr">
        <is>
          <t>NORRBOTTENS LÄN</t>
        </is>
      </c>
      <c r="G218" t="inlineStr">
        <is>
          <t>GÄLLIVARE</t>
        </is>
      </c>
      <c r="I218" t="n">
        <v>21.8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53635-2025</t>
        </is>
      </c>
      <c r="B219" t="inlineStr">
        <is>
          <t>avverkningsanmälan</t>
        </is>
      </c>
      <c r="C219" t="inlineStr">
        <is>
          <t>Avverkning för att bevara och utveckla /försöksver</t>
        </is>
      </c>
      <c r="D219" s="1" t="n">
        <v>45960</v>
      </c>
      <c r="E219" s="1" t="n">
        <v>46314</v>
      </c>
      <c r="F219" t="inlineStr">
        <is>
          <t>NORRBOTTENS LÄN</t>
        </is>
      </c>
      <c r="G219" t="inlineStr">
        <is>
          <t>GÄLLIVARE</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50771-2025</t>
        </is>
      </c>
      <c r="B220" t="inlineStr">
        <is>
          <t>avverkningsanmälan</t>
        </is>
      </c>
      <c r="C220" t="inlineStr">
        <is>
          <t>Föryngringsavverkning</t>
        </is>
      </c>
      <c r="D220" s="1" t="n">
        <v>45946</v>
      </c>
      <c r="E220" s="1" t="n">
        <v>46314</v>
      </c>
      <c r="F220" t="inlineStr">
        <is>
          <t>NORRBOTTENS LÄN</t>
        </is>
      </c>
      <c r="G220" t="inlineStr">
        <is>
          <t>GÄLLIVARE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7651-2025</t>
        </is>
      </c>
      <c r="B221" t="inlineStr">
        <is>
          <t>avverkningsanmälan</t>
        </is>
      </c>
      <c r="C221" t="inlineStr">
        <is>
          <t>Föryngringsavverkning</t>
        </is>
      </c>
      <c r="D221" s="1" t="n">
        <v>45705</v>
      </c>
      <c r="E221" s="1" t="n">
        <v>46314</v>
      </c>
      <c r="F221" t="inlineStr">
        <is>
          <t>NORRBOTTENS LÄN</t>
        </is>
      </c>
      <c r="G221" t="inlineStr">
        <is>
          <t>GÄLLIVARE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51454-2025</t>
        </is>
      </c>
      <c r="B222" t="inlineStr">
        <is>
          <t>avverkningsanmälan</t>
        </is>
      </c>
      <c r="C222" t="inlineStr">
        <is>
          <t>Föryngringsavverkning</t>
        </is>
      </c>
      <c r="D222" s="1" t="n">
        <v>45950</v>
      </c>
      <c r="E222" s="1" t="n">
        <v>46314</v>
      </c>
      <c r="F222" t="inlineStr">
        <is>
          <t>NORRBOTTENS LÄN</t>
        </is>
      </c>
      <c r="G222" t="inlineStr">
        <is>
          <t>GÄLLIVARE</t>
        </is>
      </c>
      <c r="H222" t="inlineStr">
        <is>
          <t>Naturvårdsverket</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51480-2025</t>
        </is>
      </c>
      <c r="B223" t="inlineStr">
        <is>
          <t>avverkningsanmälan</t>
        </is>
      </c>
      <c r="C223" t="inlineStr">
        <is>
          <t>Föryngringsavverkning</t>
        </is>
      </c>
      <c r="D223" s="1" t="n">
        <v>45950</v>
      </c>
      <c r="E223" s="1" t="n">
        <v>46314</v>
      </c>
      <c r="F223" t="inlineStr">
        <is>
          <t>NORRBOTTENS LÄN</t>
        </is>
      </c>
      <c r="G223" t="inlineStr">
        <is>
          <t>GÄLLIVARE</t>
        </is>
      </c>
      <c r="H223" t="inlineStr">
        <is>
          <t>Naturvårdsverket</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51524-2025</t>
        </is>
      </c>
      <c r="B224" t="inlineStr">
        <is>
          <t>avverkningsanmälan</t>
        </is>
      </c>
      <c r="C224" t="inlineStr">
        <is>
          <t>Föryngringsavverkning</t>
        </is>
      </c>
      <c r="D224" s="1" t="n">
        <v>45950</v>
      </c>
      <c r="E224" s="1" t="n">
        <v>46314</v>
      </c>
      <c r="F224" t="inlineStr">
        <is>
          <t>NORRBOTTENS LÄN</t>
        </is>
      </c>
      <c r="G224" t="inlineStr">
        <is>
          <t>GÄLLIVARE</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53621-2025</t>
        </is>
      </c>
      <c r="B225" t="inlineStr">
        <is>
          <t>avverkningsanmälan</t>
        </is>
      </c>
      <c r="C225" t="inlineStr">
        <is>
          <t>Avverkning för att bevara och utveckla /försöksver</t>
        </is>
      </c>
      <c r="D225" s="1" t="n">
        <v>45960</v>
      </c>
      <c r="E225" s="1" t="n">
        <v>46314</v>
      </c>
      <c r="F225" t="inlineStr">
        <is>
          <t>NORRBOTTENS LÄN</t>
        </is>
      </c>
      <c r="G225" t="inlineStr">
        <is>
          <t>GÄLLIVARE</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51453-2025</t>
        </is>
      </c>
      <c r="B226" t="inlineStr">
        <is>
          <t>avverkningsanmälan</t>
        </is>
      </c>
      <c r="C226" t="inlineStr">
        <is>
          <t>Föryngringsavverkning</t>
        </is>
      </c>
      <c r="D226" s="1" t="n">
        <v>45950</v>
      </c>
      <c r="E226" s="1" t="n">
        <v>46314</v>
      </c>
      <c r="F226" t="inlineStr">
        <is>
          <t>NORRBOTTENS LÄN</t>
        </is>
      </c>
      <c r="G226" t="inlineStr">
        <is>
          <t>GÄLLIVARE</t>
        </is>
      </c>
      <c r="H226" t="inlineStr">
        <is>
          <t>Naturvårdsverket</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51494-2025</t>
        </is>
      </c>
      <c r="B227" t="inlineStr">
        <is>
          <t>avverkningsanmälan</t>
        </is>
      </c>
      <c r="C227" t="inlineStr">
        <is>
          <t>Föryngringsavverkning</t>
        </is>
      </c>
      <c r="D227" s="1" t="n">
        <v>45950</v>
      </c>
      <c r="E227" s="1" t="n">
        <v>46314</v>
      </c>
      <c r="F227" t="inlineStr">
        <is>
          <t>NORRBOTTENS LÄN</t>
        </is>
      </c>
      <c r="G227" t="inlineStr">
        <is>
          <t>GÄLLIVARE</t>
        </is>
      </c>
      <c r="H227" t="inlineStr">
        <is>
          <t>SCA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51881-2025</t>
        </is>
      </c>
      <c r="B228" t="inlineStr">
        <is>
          <t>avverkningsanmälan</t>
        </is>
      </c>
      <c r="C228" t="inlineStr">
        <is>
          <t>Föryngringsavverkning</t>
        </is>
      </c>
      <c r="D228" s="1" t="n">
        <v>45952</v>
      </c>
      <c r="E228" s="1" t="n">
        <v>46314</v>
      </c>
      <c r="F228" t="inlineStr">
        <is>
          <t>NORRBOTTENS LÄN</t>
        </is>
      </c>
      <c r="G228" t="inlineStr">
        <is>
          <t>GÄLLIVARE</t>
        </is>
      </c>
      <c r="H228" t="inlineStr">
        <is>
          <t>SCA</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51904-2025</t>
        </is>
      </c>
      <c r="B229" t="inlineStr">
        <is>
          <t>avverkningsanmälan</t>
        </is>
      </c>
      <c r="C229" t="inlineStr">
        <is>
          <t>Föryngringsavverkning</t>
        </is>
      </c>
      <c r="D229" s="1" t="n">
        <v>45952</v>
      </c>
      <c r="E229" s="1" t="n">
        <v>46314</v>
      </c>
      <c r="F229" t="inlineStr">
        <is>
          <t>NORRBOTTENS LÄN</t>
        </is>
      </c>
      <c r="G229" t="inlineStr">
        <is>
          <t>GÄLLIVARE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51871-2025</t>
        </is>
      </c>
      <c r="B230" t="inlineStr">
        <is>
          <t>avverkningsanmälan</t>
        </is>
      </c>
      <c r="C230" t="inlineStr">
        <is>
          <t>Föryngringsavverkning</t>
        </is>
      </c>
      <c r="D230" s="1" t="n">
        <v>45952</v>
      </c>
      <c r="E230" s="1" t="n">
        <v>46314</v>
      </c>
      <c r="F230" t="inlineStr">
        <is>
          <t>NORRBOTTENS LÄN</t>
        </is>
      </c>
      <c r="G230" t="inlineStr">
        <is>
          <t>GÄLLIVARE</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36251-2023</t>
        </is>
      </c>
      <c r="B231" t="inlineStr">
        <is>
          <t>avverkningsanmälan</t>
        </is>
      </c>
      <c r="C231" t="inlineStr">
        <is>
          <t>Föryngringsavverkning</t>
        </is>
      </c>
      <c r="D231" s="1" t="n">
        <v>45150</v>
      </c>
      <c r="E231" s="1" t="n">
        <v>46314</v>
      </c>
      <c r="F231" t="inlineStr">
        <is>
          <t>NORRBOTTENS LÄN</t>
        </is>
      </c>
      <c r="G231" t="inlineStr">
        <is>
          <t>GÄLLIVARE</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52581-2025</t>
        </is>
      </c>
      <c r="B232" t="inlineStr">
        <is>
          <t>avverkningsanmälan</t>
        </is>
      </c>
      <c r="C232" t="inlineStr">
        <is>
          <t>Föryngringsavverkning</t>
        </is>
      </c>
      <c r="D232" s="1" t="n">
        <v>45954</v>
      </c>
      <c r="E232" s="1" t="n">
        <v>46314</v>
      </c>
      <c r="F232" t="inlineStr">
        <is>
          <t>NORRBOTTENS LÄN</t>
        </is>
      </c>
      <c r="G232" t="inlineStr">
        <is>
          <t>GÄLLIVARE</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52716-2025</t>
        </is>
      </c>
      <c r="B233" t="inlineStr">
        <is>
          <t>avverkningsanmälan</t>
        </is>
      </c>
      <c r="C233" t="inlineStr">
        <is>
          <t>Föryngringsavverkning</t>
        </is>
      </c>
      <c r="D233" s="1" t="n">
        <v>45957</v>
      </c>
      <c r="E233" s="1" t="n">
        <v>46314</v>
      </c>
      <c r="F233" t="inlineStr">
        <is>
          <t>NORRBOTTENS LÄN</t>
        </is>
      </c>
      <c r="G233" t="inlineStr">
        <is>
          <t>GÄLLIVARE</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52910-2025</t>
        </is>
      </c>
      <c r="B234" t="inlineStr">
        <is>
          <t>avverkningsanmälan</t>
        </is>
      </c>
      <c r="C234" t="inlineStr">
        <is>
          <t>Avverkning för annat ändamål</t>
        </is>
      </c>
      <c r="D234" s="1" t="n">
        <v>45957</v>
      </c>
      <c r="E234" s="1" t="n">
        <v>46314</v>
      </c>
      <c r="F234" t="inlineStr">
        <is>
          <t>NORRBOTTENS LÄN</t>
        </is>
      </c>
      <c r="G234" t="inlineStr">
        <is>
          <t>GÄLLIVARE</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52641-2025</t>
        </is>
      </c>
      <c r="B235" t="inlineStr">
        <is>
          <t>avverkningsanmälan</t>
        </is>
      </c>
      <c r="C235" t="inlineStr">
        <is>
          <t>Föryngringsavverkning</t>
        </is>
      </c>
      <c r="D235" s="1" t="n">
        <v>45955</v>
      </c>
      <c r="E235" s="1" t="n">
        <v>46314</v>
      </c>
      <c r="F235" t="inlineStr">
        <is>
          <t>NORRBOTTENS LÄN</t>
        </is>
      </c>
      <c r="G235" t="inlineStr">
        <is>
          <t>GÄLLIVARE</t>
        </is>
      </c>
      <c r="H235" t="inlineStr">
        <is>
          <t>SCA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52574-2025</t>
        </is>
      </c>
      <c r="B236" t="inlineStr">
        <is>
          <t>avverkningsanmälan</t>
        </is>
      </c>
      <c r="C236" t="inlineStr">
        <is>
          <t>Föryngringsavverkning</t>
        </is>
      </c>
      <c r="D236" s="1" t="n">
        <v>45954</v>
      </c>
      <c r="E236" s="1" t="n">
        <v>46314</v>
      </c>
      <c r="F236" t="inlineStr">
        <is>
          <t>NORRBOTTENS LÄN</t>
        </is>
      </c>
      <c r="G236" t="inlineStr">
        <is>
          <t>GÄLLIVARE</t>
        </is>
      </c>
      <c r="I236" t="n">
        <v>22.1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1609-2023</t>
        </is>
      </c>
      <c r="B237" t="inlineStr">
        <is>
          <t>avverkningsanmälan</t>
        </is>
      </c>
      <c r="C237" t="inlineStr">
        <is>
          <t>Avverkning för annat ändamål</t>
        </is>
      </c>
      <c r="D237" s="1" t="n">
        <v>44937</v>
      </c>
      <c r="E237" s="1" t="n">
        <v>46314</v>
      </c>
      <c r="F237" t="inlineStr">
        <is>
          <t>NORRBOTTENS LÄN</t>
        </is>
      </c>
      <c r="G237" t="inlineStr">
        <is>
          <t>GÄLLIVARE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53696-2025</t>
        </is>
      </c>
      <c r="B238" t="inlineStr">
        <is>
          <t>avverkningsanmälan</t>
        </is>
      </c>
      <c r="C238" t="inlineStr">
        <is>
          <t>Föryngringsavverkning</t>
        </is>
      </c>
      <c r="D238" s="1" t="n">
        <v>45960</v>
      </c>
      <c r="E238" s="1" t="n">
        <v>46314</v>
      </c>
      <c r="F238" t="inlineStr">
        <is>
          <t>NORRBOTTENS LÄN</t>
        </is>
      </c>
      <c r="G238" t="inlineStr">
        <is>
          <t>GÄLLIVARE</t>
        </is>
      </c>
      <c r="H238" t="inlineStr">
        <is>
          <t>Sveaskog</t>
        </is>
      </c>
      <c r="I238" t="n">
        <v>13.4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43109-2023</t>
        </is>
      </c>
      <c r="B239" t="inlineStr">
        <is>
          <t>avverkningsanmälan</t>
        </is>
      </c>
      <c r="C239" t="inlineStr">
        <is>
          <t>Föryngringsavverkning</t>
        </is>
      </c>
      <c r="D239" s="1" t="n">
        <v>45182</v>
      </c>
      <c r="E239" s="1" t="n">
        <v>46314</v>
      </c>
      <c r="F239" t="inlineStr">
        <is>
          <t>NORRBOTTENS LÄN</t>
        </is>
      </c>
      <c r="G239" t="inlineStr">
        <is>
          <t>GÄLLIVARE</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47805-2022</t>
        </is>
      </c>
      <c r="B240" t="inlineStr">
        <is>
          <t>avverkningsanmälan</t>
        </is>
      </c>
      <c r="C240" t="inlineStr">
        <is>
          <t>Föryngringsavverkning</t>
        </is>
      </c>
      <c r="D240" s="1" t="n">
        <v>44854</v>
      </c>
      <c r="E240" s="1" t="n">
        <v>46314</v>
      </c>
      <c r="F240" t="inlineStr">
        <is>
          <t>NORRBOTTENS LÄN</t>
        </is>
      </c>
      <c r="G240" t="inlineStr">
        <is>
          <t>GÄLLIVARE</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47613-2023</t>
        </is>
      </c>
      <c r="B241" t="inlineStr">
        <is>
          <t>avverkningsanmälan</t>
        </is>
      </c>
      <c r="C241" t="inlineStr">
        <is>
          <t>Avverkning för annat ändamål</t>
        </is>
      </c>
      <c r="D241" s="1" t="n">
        <v>45198</v>
      </c>
      <c r="E241" s="1" t="n">
        <v>46314</v>
      </c>
      <c r="F241" t="inlineStr">
        <is>
          <t>NORRBOTTENS LÄN</t>
        </is>
      </c>
      <c r="G241" t="inlineStr">
        <is>
          <t>GÄLLIVARE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23482-2026</t>
        </is>
      </c>
      <c r="B242" t="inlineStr">
        <is>
          <t>avverkningsanmälan</t>
        </is>
      </c>
      <c r="C242" t="inlineStr">
        <is>
          <t>Föryngringsavverkning</t>
        </is>
      </c>
      <c r="D242" s="1" t="n">
        <v>46163</v>
      </c>
      <c r="E242" s="1" t="n">
        <v>46314</v>
      </c>
      <c r="F242" t="inlineStr">
        <is>
          <t>NORRBOTTENS LÄN</t>
        </is>
      </c>
      <c r="G242" t="inlineStr">
        <is>
          <t>GÄLLIVARE</t>
        </is>
      </c>
      <c r="H242" t="inlineStr">
        <is>
          <t>SCA</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55780-2025</t>
        </is>
      </c>
      <c r="B243" t="inlineStr">
        <is>
          <t>avverkningsanmälan</t>
        </is>
      </c>
      <c r="C243" t="inlineStr">
        <is>
          <t>Föryngringsavverkning</t>
        </is>
      </c>
      <c r="D243" s="1" t="n">
        <v>45972</v>
      </c>
      <c r="E243" s="1" t="n">
        <v>46314</v>
      </c>
      <c r="F243" t="inlineStr">
        <is>
          <t>NORRBOTTENS LÄN</t>
        </is>
      </c>
      <c r="G243" t="inlineStr">
        <is>
          <t>GÄLLIVARE</t>
        </is>
      </c>
      <c r="H243" t="inlineStr">
        <is>
          <t>Sveaskog</t>
        </is>
      </c>
      <c r="I243" t="n">
        <v>16.8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11782-2025</t>
        </is>
      </c>
      <c r="B244" t="inlineStr">
        <is>
          <t>avverkningsanmälan</t>
        </is>
      </c>
      <c r="C244" t="inlineStr">
        <is>
          <t>Föryngringsavverkning</t>
        </is>
      </c>
      <c r="D244" s="1" t="n">
        <v>45727</v>
      </c>
      <c r="E244" s="1" t="n">
        <v>46314</v>
      </c>
      <c r="F244" t="inlineStr">
        <is>
          <t>NORRBOTTENS LÄN</t>
        </is>
      </c>
      <c r="G244" t="inlineStr">
        <is>
          <t>GÄLLIVARE</t>
        </is>
      </c>
      <c r="H244" t="inlineStr">
        <is>
          <t>SCA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23379-2026</t>
        </is>
      </c>
      <c r="B245" t="inlineStr">
        <is>
          <t>avverkningsanmälan</t>
        </is>
      </c>
      <c r="C245" t="inlineStr">
        <is>
          <t>Föryngringsavverkning</t>
        </is>
      </c>
      <c r="D245" s="1" t="n">
        <v>46162</v>
      </c>
      <c r="E245" s="1" t="n">
        <v>46314</v>
      </c>
      <c r="F245" t="inlineStr">
        <is>
          <t>NORRBOTTENS LÄN</t>
        </is>
      </c>
      <c r="G245" t="inlineStr">
        <is>
          <t>GÄLLIVARE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14975-2025</t>
        </is>
      </c>
      <c r="B246" t="inlineStr">
        <is>
          <t>avverkningsanmälan</t>
        </is>
      </c>
      <c r="C246" t="inlineStr">
        <is>
          <t>Föryngringsavverkning</t>
        </is>
      </c>
      <c r="D246" s="1" t="n">
        <v>45743</v>
      </c>
      <c r="E246" s="1" t="n">
        <v>46314</v>
      </c>
      <c r="F246" t="inlineStr">
        <is>
          <t>NORRBOTTENS LÄN</t>
        </is>
      </c>
      <c r="G246" t="inlineStr">
        <is>
          <t>GÄLLIVARE</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23480-2026</t>
        </is>
      </c>
      <c r="B247" t="inlineStr">
        <is>
          <t>avverkningsanmälan</t>
        </is>
      </c>
      <c r="C247" t="inlineStr">
        <is>
          <t>Föryngringsavverkning</t>
        </is>
      </c>
      <c r="D247" s="1" t="n">
        <v>46163</v>
      </c>
      <c r="E247" s="1" t="n">
        <v>46314</v>
      </c>
      <c r="F247" t="inlineStr">
        <is>
          <t>NORRBOTTENS LÄN</t>
        </is>
      </c>
      <c r="G247" t="inlineStr">
        <is>
          <t>GÄLLIVARE</t>
        </is>
      </c>
      <c r="H247" t="inlineStr">
        <is>
          <t>Naturvårdsverket</t>
        </is>
      </c>
      <c r="I247" t="n">
        <v>17.3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57367-2025</t>
        </is>
      </c>
      <c r="B248" t="inlineStr">
        <is>
          <t>avverkningsanmälan</t>
        </is>
      </c>
      <c r="C248" t="inlineStr">
        <is>
          <t>Föryngringsavverkning</t>
        </is>
      </c>
      <c r="D248" s="1" t="n">
        <v>45980</v>
      </c>
      <c r="E248" s="1" t="n">
        <v>46314</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8190-2025</t>
        </is>
      </c>
      <c r="B249" t="inlineStr">
        <is>
          <t>avverkningsanmälan</t>
        </is>
      </c>
      <c r="C249" t="inlineStr">
        <is>
          <t>Föryngringsavverkning</t>
        </is>
      </c>
      <c r="D249" s="1" t="n">
        <v>45708</v>
      </c>
      <c r="E249" s="1" t="n">
        <v>46314</v>
      </c>
      <c r="F249" t="inlineStr">
        <is>
          <t>NORRBOTTENS LÄN</t>
        </is>
      </c>
      <c r="G249" t="inlineStr">
        <is>
          <t>GÄLLIVARE</t>
        </is>
      </c>
      <c r="H249" t="inlineStr">
        <is>
          <t>SCA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57349-2025</t>
        </is>
      </c>
      <c r="B250" t="inlineStr">
        <is>
          <t>avverkningsanmälan</t>
        </is>
      </c>
      <c r="C250" t="inlineStr">
        <is>
          <t>Föryngringsavverkning</t>
        </is>
      </c>
      <c r="D250" s="1" t="n">
        <v>45980</v>
      </c>
      <c r="E250" s="1" t="n">
        <v>46314</v>
      </c>
      <c r="F250" t="inlineStr">
        <is>
          <t>NORRBOTTENS LÄN</t>
        </is>
      </c>
      <c r="G250" t="inlineStr">
        <is>
          <t>GÄLLIVARE</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57353-2025</t>
        </is>
      </c>
      <c r="B251" t="inlineStr">
        <is>
          <t>avverkningsanmälan</t>
        </is>
      </c>
      <c r="C251" t="inlineStr">
        <is>
          <t>Föryngringsavverkning</t>
        </is>
      </c>
      <c r="D251" s="1" t="n">
        <v>45980</v>
      </c>
      <c r="E251" s="1" t="n">
        <v>46314</v>
      </c>
      <c r="F251" t="inlineStr">
        <is>
          <t>NORRBOTTENS LÄN</t>
        </is>
      </c>
      <c r="G251" t="inlineStr">
        <is>
          <t>GÄLLIVARE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58255-2025</t>
        </is>
      </c>
      <c r="B252" t="inlineStr">
        <is>
          <t>avverkningsanmälan</t>
        </is>
      </c>
      <c r="C252" t="inlineStr">
        <is>
          <t>Föryngringsavverkning</t>
        </is>
      </c>
      <c r="D252" s="1" t="n">
        <v>45985</v>
      </c>
      <c r="E252" s="1" t="n">
        <v>46314</v>
      </c>
      <c r="F252" t="inlineStr">
        <is>
          <t>NORRBOTTENS LÄN</t>
        </is>
      </c>
      <c r="G252" t="inlineStr">
        <is>
          <t>GÄLLIVARE</t>
        </is>
      </c>
      <c r="H252" t="inlineStr">
        <is>
          <t>Sveaskog</t>
        </is>
      </c>
      <c r="I252" t="n">
        <v>28.9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58688-2025</t>
        </is>
      </c>
      <c r="B253" t="inlineStr">
        <is>
          <t>avverkningsanmälan</t>
        </is>
      </c>
      <c r="C253" t="inlineStr">
        <is>
          <t>Föryngringsavverkning</t>
        </is>
      </c>
      <c r="D253" s="1" t="n">
        <v>45986</v>
      </c>
      <c r="E253" s="1" t="n">
        <v>46314</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29140-2022</t>
        </is>
      </c>
      <c r="B254" t="inlineStr">
        <is>
          <t>avverkningsanmälan</t>
        </is>
      </c>
      <c r="C254" t="inlineStr">
        <is>
          <t>Föryngringsavverkning</t>
        </is>
      </c>
      <c r="D254" s="1" t="n">
        <v>44750</v>
      </c>
      <c r="E254" s="1" t="n">
        <v>46314</v>
      </c>
      <c r="F254" t="inlineStr">
        <is>
          <t>NORRBOTTENS LÄN</t>
        </is>
      </c>
      <c r="G254" t="inlineStr">
        <is>
          <t>GÄLLIVARE</t>
        </is>
      </c>
      <c r="I254" t="n">
        <v>13.6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60857-2025</t>
        </is>
      </c>
      <c r="B255" t="inlineStr">
        <is>
          <t>avverkningsanmälan</t>
        </is>
      </c>
      <c r="C255" t="inlineStr">
        <is>
          <t>Föryngringsavverkning</t>
        </is>
      </c>
      <c r="D255" s="1" t="n">
        <v>45999</v>
      </c>
      <c r="E255" s="1" t="n">
        <v>46314</v>
      </c>
      <c r="F255" t="inlineStr">
        <is>
          <t>NORRBOTTENS LÄN</t>
        </is>
      </c>
      <c r="G255" t="inlineStr">
        <is>
          <t>GÄLLIVARE</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60845-2025</t>
        </is>
      </c>
      <c r="B256" t="inlineStr">
        <is>
          <t>avverkningsanmälan</t>
        </is>
      </c>
      <c r="C256" t="inlineStr">
        <is>
          <t>Föryngringsavverkning</t>
        </is>
      </c>
      <c r="D256" s="1" t="n">
        <v>45999</v>
      </c>
      <c r="E256" s="1" t="n">
        <v>46314</v>
      </c>
      <c r="F256" t="inlineStr">
        <is>
          <t>NORRBOTTENS LÄN</t>
        </is>
      </c>
      <c r="G256" t="inlineStr">
        <is>
          <t>GÄLLIVARE</t>
        </is>
      </c>
      <c r="I256" t="n">
        <v>41.3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60982-2025</t>
        </is>
      </c>
      <c r="B257" t="inlineStr">
        <is>
          <t>avverkningsanmälan</t>
        </is>
      </c>
      <c r="C257" t="inlineStr">
        <is>
          <t>Föryngringsavverkning</t>
        </is>
      </c>
      <c r="D257" s="1" t="n">
        <v>45999</v>
      </c>
      <c r="E257" s="1" t="n">
        <v>46314</v>
      </c>
      <c r="F257" t="inlineStr">
        <is>
          <t>NORRBOTTENS LÄN</t>
        </is>
      </c>
      <c r="G257" t="inlineStr">
        <is>
          <t>GÄLLIVARE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2244-2023</t>
        </is>
      </c>
      <c r="B258" t="inlineStr">
        <is>
          <t>avverkningsanmälan</t>
        </is>
      </c>
      <c r="C258" t="inlineStr">
        <is>
          <t>Föryngringsavverkning</t>
        </is>
      </c>
      <c r="D258" s="1" t="n">
        <v>44942</v>
      </c>
      <c r="E258" s="1" t="n">
        <v>46314</v>
      </c>
      <c r="F258" t="inlineStr">
        <is>
          <t>NORRBOTTENS LÄN</t>
        </is>
      </c>
      <c r="G258" t="inlineStr">
        <is>
          <t>GÄLLIVARE</t>
        </is>
      </c>
      <c r="I258" t="n">
        <v>21.1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60923-2025</t>
        </is>
      </c>
      <c r="B259" t="inlineStr">
        <is>
          <t>avverkningsanmälan</t>
        </is>
      </c>
      <c r="C259" t="inlineStr">
        <is>
          <t>Föryngringsavverkning</t>
        </is>
      </c>
      <c r="D259" s="1" t="n">
        <v>45999</v>
      </c>
      <c r="E259" s="1" t="n">
        <v>46314</v>
      </c>
      <c r="F259" t="inlineStr">
        <is>
          <t>NORRBOTTENS LÄN</t>
        </is>
      </c>
      <c r="G259" t="inlineStr">
        <is>
          <t>GÄLLIVARE</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60863-2025</t>
        </is>
      </c>
      <c r="B260" t="inlineStr">
        <is>
          <t>avverkningsanmälan</t>
        </is>
      </c>
      <c r="C260" t="inlineStr">
        <is>
          <t>Föryngringsavverkning</t>
        </is>
      </c>
      <c r="D260" s="1" t="n">
        <v>45999</v>
      </c>
      <c r="E260" s="1" t="n">
        <v>46314</v>
      </c>
      <c r="F260" t="inlineStr">
        <is>
          <t>NORRBOTTENS LÄN</t>
        </is>
      </c>
      <c r="G260" t="inlineStr">
        <is>
          <t>GÄLLIVARE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24361-2026</t>
        </is>
      </c>
      <c r="B261" t="inlineStr">
        <is>
          <t>avverkningsanmälan</t>
        </is>
      </c>
      <c r="C261" t="inlineStr">
        <is>
          <t>Föryngringsavverkning</t>
        </is>
      </c>
      <c r="D261" s="1" t="n">
        <v>46169</v>
      </c>
      <c r="E261" s="1" t="n">
        <v>46314</v>
      </c>
      <c r="F261" t="inlineStr">
        <is>
          <t>NORRBOTTENS LÄN</t>
        </is>
      </c>
      <c r="G261" t="inlineStr">
        <is>
          <t>GÄLLIVARE</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61352-2025</t>
        </is>
      </c>
      <c r="B262" t="inlineStr">
        <is>
          <t>avverkningsanmälan</t>
        </is>
      </c>
      <c r="C262" t="inlineStr">
        <is>
          <t>Föryngringsavverkning</t>
        </is>
      </c>
      <c r="D262" s="1" t="n">
        <v>46001</v>
      </c>
      <c r="E262" s="1" t="n">
        <v>46314</v>
      </c>
      <c r="F262" t="inlineStr">
        <is>
          <t>NORRBOTTENS LÄN</t>
        </is>
      </c>
      <c r="G262" t="inlineStr">
        <is>
          <t>GÄLLIVARE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16973-2023</t>
        </is>
      </c>
      <c r="B263" t="inlineStr">
        <is>
          <t>avverkningsanmälan</t>
        </is>
      </c>
      <c r="C263" t="inlineStr">
        <is>
          <t>Föryngringsavverkning</t>
        </is>
      </c>
      <c r="D263" s="1" t="n">
        <v>45033</v>
      </c>
      <c r="E263" s="1" t="n">
        <v>46314</v>
      </c>
      <c r="F263" t="inlineStr">
        <is>
          <t>NORRBOTTENS LÄN</t>
        </is>
      </c>
      <c r="G263" t="inlineStr">
        <is>
          <t>GÄLLIVARE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61916-2025</t>
        </is>
      </c>
      <c r="B264" t="inlineStr">
        <is>
          <t>avverkningsanmälan</t>
        </is>
      </c>
      <c r="C264" t="inlineStr">
        <is>
          <t>Föryngringsavverkning</t>
        </is>
      </c>
      <c r="D264" s="1" t="n">
        <v>46003</v>
      </c>
      <c r="E264" s="1" t="n">
        <v>46314</v>
      </c>
      <c r="F264" t="inlineStr">
        <is>
          <t>NORRBOTTENS LÄN</t>
        </is>
      </c>
      <c r="G264" t="inlineStr">
        <is>
          <t>GÄLLIVARE</t>
        </is>
      </c>
      <c r="I264" t="n">
        <v>91.90000000000001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61668-2025</t>
        </is>
      </c>
      <c r="B265" t="inlineStr">
        <is>
          <t>avverkningsanmälan</t>
        </is>
      </c>
      <c r="C265" t="inlineStr">
        <is>
          <t>Föryngringsavverkning</t>
        </is>
      </c>
      <c r="D265" s="1" t="n">
        <v>46002</v>
      </c>
      <c r="E265" s="1" t="n">
        <v>46314</v>
      </c>
      <c r="F265" t="inlineStr">
        <is>
          <t>NORRBOTTENS LÄN</t>
        </is>
      </c>
      <c r="G265" t="inlineStr">
        <is>
          <t>GÄLLIVARE</t>
        </is>
      </c>
      <c r="I265" t="n">
        <v>13.6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62923-2025</t>
        </is>
      </c>
      <c r="B266" t="inlineStr">
        <is>
          <t>avverkningsanmälan</t>
        </is>
      </c>
      <c r="C266" t="inlineStr">
        <is>
          <t>Föryngringsavverkning</t>
        </is>
      </c>
      <c r="D266" s="1" t="n">
        <v>46008</v>
      </c>
      <c r="E266" s="1" t="n">
        <v>46314</v>
      </c>
      <c r="F266" t="inlineStr">
        <is>
          <t>NORRBOTTENS LÄN</t>
        </is>
      </c>
      <c r="G266" t="inlineStr">
        <is>
          <t>GÄLLIVARE</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57442-2022</t>
        </is>
      </c>
      <c r="B267" t="inlineStr">
        <is>
          <t>avverkningsanmälan</t>
        </is>
      </c>
      <c r="C267" t="inlineStr">
        <is>
          <t>Föryngringsavverkning</t>
        </is>
      </c>
      <c r="D267" s="1" t="n">
        <v>44896</v>
      </c>
      <c r="E267" s="1" t="n">
        <v>46314</v>
      </c>
      <c r="F267" t="inlineStr">
        <is>
          <t>NORRBOTTENS LÄN</t>
        </is>
      </c>
      <c r="G267" t="inlineStr">
        <is>
          <t>GÄLLIVARE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59232-2024</t>
        </is>
      </c>
      <c r="B268" t="inlineStr">
        <is>
          <t>avverkningsanmälan</t>
        </is>
      </c>
      <c r="C268" t="inlineStr">
        <is>
          <t>Avverkning för annat ändamål</t>
        </is>
      </c>
      <c r="D268" s="1" t="n">
        <v>45637</v>
      </c>
      <c r="E268" s="1" t="n">
        <v>46314</v>
      </c>
      <c r="F268" t="inlineStr">
        <is>
          <t>NORRBOTTENS LÄN</t>
        </is>
      </c>
      <c r="G268" t="inlineStr">
        <is>
          <t>GÄLLIVARE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62677-2025</t>
        </is>
      </c>
      <c r="B269" t="inlineStr">
        <is>
          <t>avverkningsanmälan</t>
        </is>
      </c>
      <c r="C269" t="inlineStr">
        <is>
          <t>Föryngringsavverkning</t>
        </is>
      </c>
      <c r="D269" s="1" t="n">
        <v>46008</v>
      </c>
      <c r="E269" s="1" t="n">
        <v>46314</v>
      </c>
      <c r="F269" t="inlineStr">
        <is>
          <t>NORRBOTTENS LÄN</t>
        </is>
      </c>
      <c r="G269" t="inlineStr">
        <is>
          <t>GÄLLIVARE</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63523-2025</t>
        </is>
      </c>
      <c r="B270" t="inlineStr">
        <is>
          <t>avverkningsanmälan</t>
        </is>
      </c>
      <c r="C270" t="inlineStr">
        <is>
          <t>Föryngringsavverkning</t>
        </is>
      </c>
      <c r="D270" s="1" t="n">
        <v>46013</v>
      </c>
      <c r="E270" s="1" t="n">
        <v>46314</v>
      </c>
      <c r="F270" t="inlineStr">
        <is>
          <t>NORRBOTTENS LÄN</t>
        </is>
      </c>
      <c r="G270" t="inlineStr">
        <is>
          <t>GÄLLIVARE</t>
        </is>
      </c>
      <c r="I270" t="n">
        <v>13.7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47862-2024</t>
        </is>
      </c>
      <c r="B271" t="inlineStr">
        <is>
          <t>avverkningsanmälan</t>
        </is>
      </c>
      <c r="C271" t="inlineStr">
        <is>
          <t>Föryngringsavverkning</t>
        </is>
      </c>
      <c r="D271" s="1" t="n">
        <v>45588</v>
      </c>
      <c r="E271" s="1" t="n">
        <v>46314</v>
      </c>
      <c r="F271" t="inlineStr">
        <is>
          <t>NORRBOTTENS LÄN</t>
        </is>
      </c>
      <c r="G271" t="inlineStr">
        <is>
          <t>GÄLLIVARE</t>
        </is>
      </c>
      <c r="H271" t="inlineStr">
        <is>
          <t>Allmännings- och besparingsskogar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63551-2025</t>
        </is>
      </c>
      <c r="B272" t="inlineStr">
        <is>
          <t>avverkningsanmälan</t>
        </is>
      </c>
      <c r="C272" t="inlineStr">
        <is>
          <t>Föryngringsavverkning</t>
        </is>
      </c>
      <c r="D272" s="1" t="n">
        <v>46013</v>
      </c>
      <c r="E272" s="1" t="n">
        <v>46314</v>
      </c>
      <c r="F272" t="inlineStr">
        <is>
          <t>NORRBOTTENS LÄN</t>
        </is>
      </c>
      <c r="G272" t="inlineStr">
        <is>
          <t>GÄLLIVARE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44340-2024</t>
        </is>
      </c>
      <c r="B273" t="inlineStr">
        <is>
          <t>avverkningsanmälan</t>
        </is>
      </c>
      <c r="C273" t="inlineStr">
        <is>
          <t>Föryngringsavverkning</t>
        </is>
      </c>
      <c r="D273" s="1" t="n">
        <v>45573</v>
      </c>
      <c r="E273" s="1" t="n">
        <v>46314</v>
      </c>
      <c r="F273" t="inlineStr">
        <is>
          <t>NORRBOTTENS LÄN</t>
        </is>
      </c>
      <c r="G273" t="inlineStr">
        <is>
          <t>GÄLLIVARE</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64052-2025</t>
        </is>
      </c>
      <c r="B274" t="inlineStr">
        <is>
          <t>avverkningsanmälan</t>
        </is>
      </c>
      <c r="C274" t="inlineStr">
        <is>
          <t>Föryngringsavverkning</t>
        </is>
      </c>
      <c r="D274" s="1" t="n">
        <v>46021</v>
      </c>
      <c r="E274" s="1" t="n">
        <v>46314</v>
      </c>
      <c r="F274" t="inlineStr">
        <is>
          <t>NORRBOTTENS LÄN</t>
        </is>
      </c>
      <c r="G274" t="inlineStr">
        <is>
          <t>GÄLLIVARE</t>
        </is>
      </c>
      <c r="H274" t="inlineStr">
        <is>
          <t>SCA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46857-2023</t>
        </is>
      </c>
      <c r="B275" t="inlineStr">
        <is>
          <t>avverkningsanmälan</t>
        </is>
      </c>
      <c r="C275" t="inlineStr">
        <is>
          <t>Föryngringsavverkning</t>
        </is>
      </c>
      <c r="D275" s="1" t="n">
        <v>45199</v>
      </c>
      <c r="E275" s="1" t="n">
        <v>46314</v>
      </c>
      <c r="F275" t="inlineStr">
        <is>
          <t>NORRBOTTENS LÄN</t>
        </is>
      </c>
      <c r="G275" t="inlineStr">
        <is>
          <t>GÄLLIVARE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705-2026</t>
        </is>
      </c>
      <c r="B276" t="inlineStr">
        <is>
          <t>avverkningsanmälan</t>
        </is>
      </c>
      <c r="C276" t="inlineStr">
        <is>
          <t>Föryngringsavverkning</t>
        </is>
      </c>
      <c r="D276" s="1" t="n">
        <v>46029</v>
      </c>
      <c r="E276" s="1" t="n">
        <v>46314</v>
      </c>
      <c r="F276" t="inlineStr">
        <is>
          <t>NORRBOTTENS LÄN</t>
        </is>
      </c>
      <c r="G276" t="inlineStr">
        <is>
          <t>GÄLLIVARE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61795-2022</t>
        </is>
      </c>
      <c r="B277" t="inlineStr">
        <is>
          <t>avverkningsanmälan</t>
        </is>
      </c>
      <c r="C277" t="inlineStr">
        <is>
          <t>Avverkning för annat ändamål</t>
        </is>
      </c>
      <c r="D277" s="1" t="n">
        <v>44911</v>
      </c>
      <c r="E277" s="1" t="n">
        <v>46314</v>
      </c>
      <c r="F277" t="inlineStr">
        <is>
          <t>NORRBOTTENS LÄN</t>
        </is>
      </c>
      <c r="G277" t="inlineStr">
        <is>
          <t>GÄLLIVARE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1088-2026</t>
        </is>
      </c>
      <c r="B278" t="inlineStr">
        <is>
          <t>avverkningsanmälan</t>
        </is>
      </c>
      <c r="C278" t="inlineStr">
        <is>
          <t>Föryngringsavverkning</t>
        </is>
      </c>
      <c r="D278" s="1" t="n">
        <v>46030</v>
      </c>
      <c r="E278" s="1" t="n">
        <v>46314</v>
      </c>
      <c r="F278" t="inlineStr">
        <is>
          <t>NORRBOTTENS LÄN</t>
        </is>
      </c>
      <c r="G278" t="inlineStr">
        <is>
          <t>GÄLLIVARE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1089-2026</t>
        </is>
      </c>
      <c r="B279" t="inlineStr">
        <is>
          <t>avverkningsanmälan</t>
        </is>
      </c>
      <c r="C279" t="inlineStr">
        <is>
          <t>Föryngringsavverkning</t>
        </is>
      </c>
      <c r="D279" s="1" t="n">
        <v>46030</v>
      </c>
      <c r="E279" s="1" t="n">
        <v>46314</v>
      </c>
      <c r="F279" t="inlineStr">
        <is>
          <t>NORRBOTTENS LÄN</t>
        </is>
      </c>
      <c r="G279" t="inlineStr">
        <is>
          <t>GÄLLIVARE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51243-2023</t>
        </is>
      </c>
      <c r="B280" t="inlineStr">
        <is>
          <t>avverkningsanmälan</t>
        </is>
      </c>
      <c r="C280" t="inlineStr">
        <is>
          <t>Föryngringsavverkning</t>
        </is>
      </c>
      <c r="D280" s="1" t="n">
        <v>45212</v>
      </c>
      <c r="E280" s="1" t="n">
        <v>46314</v>
      </c>
      <c r="F280" t="inlineStr">
        <is>
          <t>NORRBOTTENS LÄN</t>
        </is>
      </c>
      <c r="G280" t="inlineStr">
        <is>
          <t>GÄLLIVARE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25102-2026</t>
        </is>
      </c>
      <c r="B281" t="inlineStr">
        <is>
          <t>avverkningsanmälan</t>
        </is>
      </c>
      <c r="C281" t="inlineStr">
        <is>
          <t>Föryngringsavverkning</t>
        </is>
      </c>
      <c r="D281" s="1" t="n">
        <v>46175</v>
      </c>
      <c r="E281" s="1" t="n">
        <v>46314</v>
      </c>
      <c r="F281" t="inlineStr">
        <is>
          <t>NORRBOTTENS LÄN</t>
        </is>
      </c>
      <c r="G281" t="inlineStr">
        <is>
          <t>GÄLLIVARE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1086-2026</t>
        </is>
      </c>
      <c r="B282" t="inlineStr">
        <is>
          <t>avverkningsanmälan</t>
        </is>
      </c>
      <c r="C282" t="inlineStr">
        <is>
          <t>Föryngringsavverkning</t>
        </is>
      </c>
      <c r="D282" s="1" t="n">
        <v>46030</v>
      </c>
      <c r="E282" s="1" t="n">
        <v>46314</v>
      </c>
      <c r="F282" t="inlineStr">
        <is>
          <t>NORRBOTTENS LÄN</t>
        </is>
      </c>
      <c r="G282" t="inlineStr">
        <is>
          <t>GÄLLIVARE</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1087-2026</t>
        </is>
      </c>
      <c r="B283" t="inlineStr">
        <is>
          <t>avverkningsanmälan</t>
        </is>
      </c>
      <c r="C283" t="inlineStr">
        <is>
          <t>Föryngringsavverkning</t>
        </is>
      </c>
      <c r="D283" s="1" t="n">
        <v>46030</v>
      </c>
      <c r="E283" s="1" t="n">
        <v>46314</v>
      </c>
      <c r="F283" t="inlineStr">
        <is>
          <t>NORRBOTTENS LÄN</t>
        </is>
      </c>
      <c r="G283" t="inlineStr">
        <is>
          <t>GÄLLIVARE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1304-2026</t>
        </is>
      </c>
      <c r="B284" t="inlineStr">
        <is>
          <t>avverkningsanmälan</t>
        </is>
      </c>
      <c r="C284" t="inlineStr">
        <is>
          <t>Föryngringsavverkning</t>
        </is>
      </c>
      <c r="D284" s="1" t="n">
        <v>46031</v>
      </c>
      <c r="E284" s="1" t="n">
        <v>46314</v>
      </c>
      <c r="F284" t="inlineStr">
        <is>
          <t>NORRBOTTENS LÄN</t>
        </is>
      </c>
      <c r="G284" t="inlineStr">
        <is>
          <t>GÄLLIVARE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25103-2026</t>
        </is>
      </c>
      <c r="B285" t="inlineStr">
        <is>
          <t>avverkningsanmälan</t>
        </is>
      </c>
      <c r="C285" t="inlineStr">
        <is>
          <t>Föryngringsavverkning</t>
        </is>
      </c>
      <c r="D285" s="1" t="n">
        <v>46175</v>
      </c>
      <c r="E285" s="1" t="n">
        <v>46314</v>
      </c>
      <c r="F285" t="inlineStr">
        <is>
          <t>NORRBOTTENS LÄN</t>
        </is>
      </c>
      <c r="G285" t="inlineStr">
        <is>
          <t>GÄLLIVARE</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1834-2026</t>
        </is>
      </c>
      <c r="B286" t="inlineStr">
        <is>
          <t>avverkningsanmälan</t>
        </is>
      </c>
      <c r="C286" t="inlineStr">
        <is>
          <t>Föryngringsavverkning</t>
        </is>
      </c>
      <c r="D286" s="1" t="n">
        <v>46035</v>
      </c>
      <c r="E286" s="1" t="n">
        <v>46314</v>
      </c>
      <c r="F286" t="inlineStr">
        <is>
          <t>NORRBOTTENS LÄN</t>
        </is>
      </c>
      <c r="G286" t="inlineStr">
        <is>
          <t>GÄLLIVARE</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56259-2023</t>
        </is>
      </c>
      <c r="B287" t="inlineStr">
        <is>
          <t>avverkningsanmälan</t>
        </is>
      </c>
      <c r="C287" t="inlineStr">
        <is>
          <t>Föryngringsavverkning</t>
        </is>
      </c>
      <c r="D287" s="1" t="n">
        <v>45240</v>
      </c>
      <c r="E287" s="1" t="n">
        <v>46314</v>
      </c>
      <c r="F287" t="inlineStr">
        <is>
          <t>NORRBOTTENS LÄN</t>
        </is>
      </c>
      <c r="G287" t="inlineStr">
        <is>
          <t>GÄLLIVARE</t>
        </is>
      </c>
      <c r="H287" t="inlineStr">
        <is>
          <t>SCA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1594-2026</t>
        </is>
      </c>
      <c r="B288" t="inlineStr">
        <is>
          <t>avverkningsanmälan</t>
        </is>
      </c>
      <c r="C288" t="inlineStr">
        <is>
          <t>Föryngringsavverkning</t>
        </is>
      </c>
      <c r="D288" s="1" t="n">
        <v>46034</v>
      </c>
      <c r="E288" s="1" t="n">
        <v>46314</v>
      </c>
      <c r="F288" t="inlineStr">
        <is>
          <t>NORRBOTTENS LÄN</t>
        </is>
      </c>
      <c r="G288" t="inlineStr">
        <is>
          <t>GÄLLIVARE</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1631-2026</t>
        </is>
      </c>
      <c r="B289" t="inlineStr">
        <is>
          <t>avverkningsanmälan</t>
        </is>
      </c>
      <c r="C289" t="inlineStr">
        <is>
          <t>Föryngringsavverkning</t>
        </is>
      </c>
      <c r="D289" s="1" t="n">
        <v>46034</v>
      </c>
      <c r="E289" s="1" t="n">
        <v>46314</v>
      </c>
      <c r="F289" t="inlineStr">
        <is>
          <t>NORRBOTTENS LÄN</t>
        </is>
      </c>
      <c r="G289" t="inlineStr">
        <is>
          <t>GÄLLIVARE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4918-2025</t>
        </is>
      </c>
      <c r="B290" t="inlineStr">
        <is>
          <t>avverkningsanmälan</t>
        </is>
      </c>
      <c r="C290" t="inlineStr">
        <is>
          <t>Föryngringsavverkning</t>
        </is>
      </c>
      <c r="D290" s="1" t="n">
        <v>45688</v>
      </c>
      <c r="E290" s="1" t="n">
        <v>46314</v>
      </c>
      <c r="F290" t="inlineStr">
        <is>
          <t>NORRBOTTENS LÄN</t>
        </is>
      </c>
      <c r="G290" t="inlineStr">
        <is>
          <t>GÄLLIVARE</t>
        </is>
      </c>
      <c r="H290" t="inlineStr">
        <is>
          <t>SCA</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1612-2026</t>
        </is>
      </c>
      <c r="B291" t="inlineStr">
        <is>
          <t>avverkningsanmälan</t>
        </is>
      </c>
      <c r="C291" t="inlineStr">
        <is>
          <t>Föryngringsavverkning</t>
        </is>
      </c>
      <c r="D291" s="1" t="n">
        <v>46034</v>
      </c>
      <c r="E291" s="1" t="n">
        <v>46314</v>
      </c>
      <c r="F291" t="inlineStr">
        <is>
          <t>NORRBOTTENS LÄN</t>
        </is>
      </c>
      <c r="G291" t="inlineStr">
        <is>
          <t>GÄLLIVARE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2798-2026</t>
        </is>
      </c>
      <c r="B292" t="inlineStr">
        <is>
          <t>avverkningsanmälan</t>
        </is>
      </c>
      <c r="C292" t="inlineStr">
        <is>
          <t>Föryngringsavverkning</t>
        </is>
      </c>
      <c r="D292" s="1" t="n">
        <v>46038</v>
      </c>
      <c r="E292" s="1" t="n">
        <v>46314</v>
      </c>
      <c r="F292" t="inlineStr">
        <is>
          <t>NORRBOTTENS LÄN</t>
        </is>
      </c>
      <c r="G292" t="inlineStr">
        <is>
          <t>GÄLLIVARE</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1657-2026</t>
        </is>
      </c>
      <c r="B293" t="inlineStr">
        <is>
          <t>avverkningsanmälan</t>
        </is>
      </c>
      <c r="C293" t="inlineStr">
        <is>
          <t>Föryngringsavverkning</t>
        </is>
      </c>
      <c r="D293" s="1" t="n">
        <v>46034</v>
      </c>
      <c r="E293" s="1" t="n">
        <v>46314</v>
      </c>
      <c r="F293" t="inlineStr">
        <is>
          <t>NORRBOTTENS LÄN</t>
        </is>
      </c>
      <c r="G293" t="inlineStr">
        <is>
          <t>GÄLLIVARE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4756-2023</t>
        </is>
      </c>
      <c r="B294" t="inlineStr">
        <is>
          <t>avverkningsanmälan</t>
        </is>
      </c>
      <c r="C294" t="inlineStr">
        <is>
          <t>Föryngringsavverkning</t>
        </is>
      </c>
      <c r="D294" s="1" t="n">
        <v>44953</v>
      </c>
      <c r="E294" s="1" t="n">
        <v>46314</v>
      </c>
      <c r="F294" t="inlineStr">
        <is>
          <t>NORRBOTTENS LÄN</t>
        </is>
      </c>
      <c r="G294" t="inlineStr">
        <is>
          <t>GÄLLIVARE</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26010-2026</t>
        </is>
      </c>
      <c r="B295" t="inlineStr">
        <is>
          <t>avverkningsanmälan</t>
        </is>
      </c>
      <c r="C295" t="inlineStr">
        <is>
          <t>Föryngringsavverkning</t>
        </is>
      </c>
      <c r="D295" s="1" t="n">
        <v>46181</v>
      </c>
      <c r="E295" s="1" t="n">
        <v>46314</v>
      </c>
      <c r="F295" t="inlineStr">
        <is>
          <t>NORRBOTTENS LÄN</t>
        </is>
      </c>
      <c r="G295" t="inlineStr">
        <is>
          <t>GÄLLIVARE</t>
        </is>
      </c>
      <c r="H295" t="inlineStr">
        <is>
          <t>Sveaskog</t>
        </is>
      </c>
      <c r="I295" t="n">
        <v>32.6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32720-2022</t>
        </is>
      </c>
      <c r="B296" t="inlineStr">
        <is>
          <t>avverkningsanmälan</t>
        </is>
      </c>
      <c r="C296" t="inlineStr">
        <is>
          <t>Föryngringsavverkning</t>
        </is>
      </c>
      <c r="D296" s="1" t="n">
        <v>44783</v>
      </c>
      <c r="E296" s="1" t="n">
        <v>46314</v>
      </c>
      <c r="F296" t="inlineStr">
        <is>
          <t>NORRBOTTENS LÄN</t>
        </is>
      </c>
      <c r="G296" t="inlineStr">
        <is>
          <t>GÄLLIVARE</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7042-2026</t>
        </is>
      </c>
      <c r="B297" t="inlineStr">
        <is>
          <t>avverkningsanmälan</t>
        </is>
      </c>
      <c r="C297" t="inlineStr">
        <is>
          <t>Föryngringsavverkning</t>
        </is>
      </c>
      <c r="D297" s="1" t="n">
        <v>46057</v>
      </c>
      <c r="E297" s="1" t="n">
        <v>46314</v>
      </c>
      <c r="F297" t="inlineStr">
        <is>
          <t>NORRBOTTENS LÄN</t>
        </is>
      </c>
      <c r="G297" t="inlineStr">
        <is>
          <t>GÄLLIVARE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26783-2026</t>
        </is>
      </c>
      <c r="B298" t="inlineStr">
        <is>
          <t>avverkningsanmälan</t>
        </is>
      </c>
      <c r="C298" t="inlineStr">
        <is>
          <t>Föryngringsavverkning</t>
        </is>
      </c>
      <c r="D298" s="1" t="n">
        <v>46184</v>
      </c>
      <c r="E298" s="1" t="n">
        <v>46314</v>
      </c>
      <c r="F298" t="inlineStr">
        <is>
          <t>NORRBOTTENS LÄN</t>
        </is>
      </c>
      <c r="G298" t="inlineStr">
        <is>
          <t>GÄLLIVARE</t>
        </is>
      </c>
      <c r="H298" t="inlineStr">
        <is>
          <t>Sveaskog</t>
        </is>
      </c>
      <c r="I298" t="n">
        <v>24.1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55050-2023</t>
        </is>
      </c>
      <c r="B299" t="inlineStr">
        <is>
          <t>avverkningsanmälan</t>
        </is>
      </c>
      <c r="C299" t="inlineStr">
        <is>
          <t>Föryngringsavverkning</t>
        </is>
      </c>
      <c r="D299" s="1" t="n">
        <v>45237</v>
      </c>
      <c r="E299" s="1" t="n">
        <v>46314</v>
      </c>
      <c r="F299" t="inlineStr">
        <is>
          <t>NORRBOTTENS LÄN</t>
        </is>
      </c>
      <c r="G299" t="inlineStr">
        <is>
          <t>GÄLLIVARE</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53821-2024</t>
        </is>
      </c>
      <c r="B300" t="inlineStr">
        <is>
          <t>avverkningsanmälan</t>
        </is>
      </c>
      <c r="C300" t="inlineStr">
        <is>
          <t>Föryngringsavverkning</t>
        </is>
      </c>
      <c r="D300" s="1" t="n">
        <v>45615</v>
      </c>
      <c r="E300" s="1" t="n">
        <v>46314</v>
      </c>
      <c r="F300" t="inlineStr">
        <is>
          <t>NORRBOTTENS LÄN</t>
        </is>
      </c>
      <c r="G300" t="inlineStr">
        <is>
          <t>GÄLLIVARE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8394-2026</t>
        </is>
      </c>
      <c r="B301" t="inlineStr">
        <is>
          <t>avverkningsanmälan</t>
        </is>
      </c>
      <c r="C301" t="inlineStr">
        <is>
          <t>Föryngringsavverkning</t>
        </is>
      </c>
      <c r="D301" s="1" t="n">
        <v>46065</v>
      </c>
      <c r="E301" s="1" t="n">
        <v>46314</v>
      </c>
      <c r="F301" t="inlineStr">
        <is>
          <t>NORRBOTTENS LÄN</t>
        </is>
      </c>
      <c r="G301" t="inlineStr">
        <is>
          <t>GÄLLIVARE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8596-2026</t>
        </is>
      </c>
      <c r="B302" t="inlineStr">
        <is>
          <t>avverkningsanmälan</t>
        </is>
      </c>
      <c r="C302" t="inlineStr">
        <is>
          <t>Föryngringsavverkning</t>
        </is>
      </c>
      <c r="D302" s="1" t="n">
        <v>46065</v>
      </c>
      <c r="E302" s="1" t="n">
        <v>46314</v>
      </c>
      <c r="F302" t="inlineStr">
        <is>
          <t>NORRBOTTENS LÄN</t>
        </is>
      </c>
      <c r="G302" t="inlineStr">
        <is>
          <t>GÄLLIVARE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8602-2026</t>
        </is>
      </c>
      <c r="B303" t="inlineStr">
        <is>
          <t>avverkningsanmälan</t>
        </is>
      </c>
      <c r="C303" t="inlineStr">
        <is>
          <t>Föryngringsavverkning</t>
        </is>
      </c>
      <c r="D303" s="1" t="n">
        <v>46065</v>
      </c>
      <c r="E303" s="1" t="n">
        <v>46314</v>
      </c>
      <c r="F303" t="inlineStr">
        <is>
          <t>NORRBOTTENS LÄN</t>
        </is>
      </c>
      <c r="G303" t="inlineStr">
        <is>
          <t>GÄLLIVARE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26922-2026</t>
        </is>
      </c>
      <c r="B304" t="inlineStr">
        <is>
          <t>avverkningsanmälan</t>
        </is>
      </c>
      <c r="C304" t="inlineStr">
        <is>
          <t>Föryngringsavverkning</t>
        </is>
      </c>
      <c r="D304" s="1" t="n">
        <v>46185</v>
      </c>
      <c r="E304" s="1" t="n">
        <v>46314</v>
      </c>
      <c r="F304" t="inlineStr">
        <is>
          <t>NORRBOTTENS LÄN</t>
        </is>
      </c>
      <c r="G304" t="inlineStr">
        <is>
          <t>GÄLLIVARE</t>
        </is>
      </c>
      <c r="H304" t="inlineStr">
        <is>
          <t>Sveaskog</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26932-2026</t>
        </is>
      </c>
      <c r="B305" t="inlineStr">
        <is>
          <t>avverkningsanmälan</t>
        </is>
      </c>
      <c r="C305" t="inlineStr">
        <is>
          <t>Föryngringsavverkning</t>
        </is>
      </c>
      <c r="D305" s="1" t="n">
        <v>46185</v>
      </c>
      <c r="E305" s="1" t="n">
        <v>46314</v>
      </c>
      <c r="F305" t="inlineStr">
        <is>
          <t>NORRBOTTENS LÄN</t>
        </is>
      </c>
      <c r="G305" t="inlineStr">
        <is>
          <t>GÄLLIVARE</t>
        </is>
      </c>
      <c r="H305" t="inlineStr">
        <is>
          <t>Sveaskog</t>
        </is>
      </c>
      <c r="I305" t="n">
        <v>15.1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10247-2026</t>
        </is>
      </c>
      <c r="B306" t="inlineStr">
        <is>
          <t>avverkningsanmälan</t>
        </is>
      </c>
      <c r="C306" t="inlineStr">
        <is>
          <t>Föryngringsavverkning</t>
        </is>
      </c>
      <c r="D306" s="1" t="n">
        <v>46076</v>
      </c>
      <c r="E306" s="1" t="n">
        <v>46314</v>
      </c>
      <c r="F306" t="inlineStr">
        <is>
          <t>NORRBOTTENS LÄN</t>
        </is>
      </c>
      <c r="G306" t="inlineStr">
        <is>
          <t>GÄLLIVARE</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50554-2024</t>
        </is>
      </c>
      <c r="B307" t="inlineStr">
        <is>
          <t>avverkningsanmälan</t>
        </is>
      </c>
      <c r="C307" t="inlineStr">
        <is>
          <t>Föryngringsavverkning</t>
        </is>
      </c>
      <c r="D307" s="1" t="n">
        <v>45601</v>
      </c>
      <c r="E307" s="1" t="n">
        <v>46314</v>
      </c>
      <c r="F307" t="inlineStr">
        <is>
          <t>NORRBOTTENS LÄN</t>
        </is>
      </c>
      <c r="G307" t="inlineStr">
        <is>
          <t>GÄLLIVARE</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31541-2025</t>
        </is>
      </c>
      <c r="B308" t="inlineStr">
        <is>
          <t>avverkningsanmälan</t>
        </is>
      </c>
      <c r="C308" t="inlineStr">
        <is>
          <t>Avverkning för annat ändamål</t>
        </is>
      </c>
      <c r="D308" s="1" t="n">
        <v>45833</v>
      </c>
      <c r="E308" s="1" t="n">
        <v>46314</v>
      </c>
      <c r="F308" t="inlineStr">
        <is>
          <t>NORRBOTTENS LÄN</t>
        </is>
      </c>
      <c r="G308" t="inlineStr">
        <is>
          <t>GÄLLIVARE</t>
        </is>
      </c>
      <c r="H308" t="inlineStr">
        <is>
          <t>Allmännings- och besparingsskogar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11162-2026</t>
        </is>
      </c>
      <c r="B309" t="inlineStr">
        <is>
          <t>avverkningsanmälan</t>
        </is>
      </c>
      <c r="C309" t="inlineStr">
        <is>
          <t>Föryngringsavverkning</t>
        </is>
      </c>
      <c r="D309" s="1" t="n">
        <v>46080</v>
      </c>
      <c r="E309" s="1" t="n">
        <v>46314</v>
      </c>
      <c r="F309" t="inlineStr">
        <is>
          <t>NORRBOTTENS LÄN</t>
        </is>
      </c>
      <c r="G309" t="inlineStr">
        <is>
          <t>GÄLLIVARE</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59194-2022</t>
        </is>
      </c>
      <c r="B310" t="inlineStr">
        <is>
          <t>avverkningsanmälan</t>
        </is>
      </c>
      <c r="C310" t="inlineStr">
        <is>
          <t>Föryngringsavverkning</t>
        </is>
      </c>
      <c r="D310" s="1" t="n">
        <v>44904</v>
      </c>
      <c r="E310" s="1" t="n">
        <v>46314</v>
      </c>
      <c r="F310" t="inlineStr">
        <is>
          <t>NORRBOTTENS LÄN</t>
        </is>
      </c>
      <c r="G310" t="inlineStr">
        <is>
          <t>GÄLLIVARE</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25488-2024</t>
        </is>
      </c>
      <c r="B311" t="inlineStr">
        <is>
          <t>avverkningsanmälan</t>
        </is>
      </c>
      <c r="C311" t="inlineStr">
        <is>
          <t>Föryngringsavverkning</t>
        </is>
      </c>
      <c r="D311" s="1" t="n">
        <v>45463</v>
      </c>
      <c r="E311" s="1" t="n">
        <v>46314</v>
      </c>
      <c r="F311" t="inlineStr">
        <is>
          <t>NORRBOTTENS LÄN</t>
        </is>
      </c>
      <c r="G311" t="inlineStr">
        <is>
          <t>GÄLLIVARE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27665-2026</t>
        </is>
      </c>
      <c r="B312" t="inlineStr">
        <is>
          <t>avverkningsanmälan</t>
        </is>
      </c>
      <c r="C312" t="inlineStr">
        <is>
          <t>Föryngringsavverkning</t>
        </is>
      </c>
      <c r="D312" s="1" t="n">
        <v>46190</v>
      </c>
      <c r="E312" s="1" t="n">
        <v>46314</v>
      </c>
      <c r="F312" t="inlineStr">
        <is>
          <t>NORRBOTTENS LÄN</t>
        </is>
      </c>
      <c r="G312" t="inlineStr">
        <is>
          <t>GÄLLIVARE</t>
        </is>
      </c>
      <c r="I312" t="n">
        <v>20.7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2276-2023</t>
        </is>
      </c>
      <c r="B313" t="inlineStr">
        <is>
          <t>avverkningsanmälan</t>
        </is>
      </c>
      <c r="C313" t="inlineStr">
        <is>
          <t>Föryngringsavverkning</t>
        </is>
      </c>
      <c r="D313" s="1" t="n">
        <v>44942</v>
      </c>
      <c r="E313" s="1" t="n">
        <v>46314</v>
      </c>
      <c r="F313" t="inlineStr">
        <is>
          <t>NORRBOTTENS LÄN</t>
        </is>
      </c>
      <c r="G313" t="inlineStr">
        <is>
          <t>GÄLLIVARE</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35730-2023</t>
        </is>
      </c>
      <c r="B314" t="inlineStr">
        <is>
          <t>avverkningsanmälan</t>
        </is>
      </c>
      <c r="C314" t="inlineStr">
        <is>
          <t>Föryngringsavverkning</t>
        </is>
      </c>
      <c r="D314" s="1" t="n">
        <v>45147</v>
      </c>
      <c r="E314" s="1" t="n">
        <v>46314</v>
      </c>
      <c r="F314" t="inlineStr">
        <is>
          <t>NORRBOTTENS LÄN</t>
        </is>
      </c>
      <c r="G314" t="inlineStr">
        <is>
          <t>GÄLLIVARE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12668-2026</t>
        </is>
      </c>
      <c r="B315" t="inlineStr">
        <is>
          <t>avverkningsanmälan</t>
        </is>
      </c>
      <c r="C315" t="inlineStr">
        <is>
          <t>Föryngringsavverkning</t>
        </is>
      </c>
      <c r="D315" s="1" t="n">
        <v>46091</v>
      </c>
      <c r="E315" s="1" t="n">
        <v>46314</v>
      </c>
      <c r="F315" t="inlineStr">
        <is>
          <t>NORRBOTTENS LÄN</t>
        </is>
      </c>
      <c r="G315" t="inlineStr">
        <is>
          <t>GÄLLIVARE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12666-2026</t>
        </is>
      </c>
      <c r="B316" t="inlineStr">
        <is>
          <t>avverkningsanmälan</t>
        </is>
      </c>
      <c r="C316" t="inlineStr">
        <is>
          <t>Föryngringsavverkning</t>
        </is>
      </c>
      <c r="D316" s="1" t="n">
        <v>46091</v>
      </c>
      <c r="E316" s="1" t="n">
        <v>46314</v>
      </c>
      <c r="F316" t="inlineStr">
        <is>
          <t>NORRBOTTENS LÄN</t>
        </is>
      </c>
      <c r="G316" t="inlineStr">
        <is>
          <t>GÄLLIVARE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27945-2026</t>
        </is>
      </c>
      <c r="B317" t="inlineStr">
        <is>
          <t>avverkningsanmälan</t>
        </is>
      </c>
      <c r="C317" t="inlineStr">
        <is>
          <t>Föryngringsavverkning</t>
        </is>
      </c>
      <c r="D317" s="1" t="n">
        <v>46192</v>
      </c>
      <c r="E317" s="1" t="n">
        <v>46314</v>
      </c>
      <c r="F317" t="inlineStr">
        <is>
          <t>NORRBOTTENS LÄN</t>
        </is>
      </c>
      <c r="G317" t="inlineStr">
        <is>
          <t>GÄLLIVARE</t>
        </is>
      </c>
      <c r="H317" t="inlineStr">
        <is>
          <t>SCA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27868-2026</t>
        </is>
      </c>
      <c r="B318" t="inlineStr">
        <is>
          <t>avverkningsanmälan</t>
        </is>
      </c>
      <c r="C318" t="inlineStr">
        <is>
          <t>Föryngringsavverkning</t>
        </is>
      </c>
      <c r="D318" s="1" t="n">
        <v>46191</v>
      </c>
      <c r="E318" s="1" t="n">
        <v>46314</v>
      </c>
      <c r="F318" t="inlineStr">
        <is>
          <t>NORRBOTTENS LÄN</t>
        </is>
      </c>
      <c r="G318" t="inlineStr">
        <is>
          <t>GÄLLIVARE</t>
        </is>
      </c>
      <c r="H318" t="inlineStr">
        <is>
          <t>SCA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27947-2026</t>
        </is>
      </c>
      <c r="B319" t="inlineStr">
        <is>
          <t>avverkningsanmälan</t>
        </is>
      </c>
      <c r="C319" t="inlineStr">
        <is>
          <t>Föryngringsavverkning</t>
        </is>
      </c>
      <c r="D319" s="1" t="n">
        <v>46192</v>
      </c>
      <c r="E319" s="1" t="n">
        <v>46314</v>
      </c>
      <c r="F319" t="inlineStr">
        <is>
          <t>NORRBOTTENS LÄN</t>
        </is>
      </c>
      <c r="G319" t="inlineStr">
        <is>
          <t>GÄLLIVARE</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60584-2023</t>
        </is>
      </c>
      <c r="B320" t="inlineStr">
        <is>
          <t>avverkningsanmälan</t>
        </is>
      </c>
      <c r="C320" t="inlineStr">
        <is>
          <t>Föryngringsavverkning</t>
        </is>
      </c>
      <c r="D320" s="1" t="n">
        <v>45259</v>
      </c>
      <c r="E320" s="1" t="n">
        <v>46314</v>
      </c>
      <c r="F320" t="inlineStr">
        <is>
          <t>NORRBOTTENS LÄN</t>
        </is>
      </c>
      <c r="G320" t="inlineStr">
        <is>
          <t>GÄLLIVARE</t>
        </is>
      </c>
      <c r="H320" t="inlineStr">
        <is>
          <t>SCA</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14389-2026</t>
        </is>
      </c>
      <c r="B321" t="inlineStr">
        <is>
          <t>avverkningsanmälan</t>
        </is>
      </c>
      <c r="C321" t="inlineStr">
        <is>
          <t>Föryngringsavverkning</t>
        </is>
      </c>
      <c r="D321" s="1" t="n">
        <v>46100</v>
      </c>
      <c r="E321" s="1" t="n">
        <v>46314</v>
      </c>
      <c r="F321" t="inlineStr">
        <is>
          <t>NORRBOTTENS LÄN</t>
        </is>
      </c>
      <c r="G321" t="inlineStr">
        <is>
          <t>GÄLLIVARE</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14628-2026</t>
        </is>
      </c>
      <c r="B322" t="inlineStr">
        <is>
          <t>avverkningsanmälan</t>
        </is>
      </c>
      <c r="C322" t="inlineStr">
        <is>
          <t>Föryngringsavverkning</t>
        </is>
      </c>
      <c r="D322" s="1" t="n">
        <v>46101</v>
      </c>
      <c r="E322" s="1" t="n">
        <v>46314</v>
      </c>
      <c r="F322" t="inlineStr">
        <is>
          <t>NORRBOTTENS LÄN</t>
        </is>
      </c>
      <c r="G322" t="inlineStr">
        <is>
          <t>GÄLLIVARE</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6272-2024</t>
        </is>
      </c>
      <c r="B323" t="inlineStr">
        <is>
          <t>avverkningsanmälan</t>
        </is>
      </c>
      <c r="C323" t="inlineStr">
        <is>
          <t>Föryngringsavverkning</t>
        </is>
      </c>
      <c r="D323" s="1" t="n">
        <v>45337</v>
      </c>
      <c r="E323" s="1" t="n">
        <v>46314</v>
      </c>
      <c r="F323" t="inlineStr">
        <is>
          <t>NORRBOTTENS LÄN</t>
        </is>
      </c>
      <c r="G323" t="inlineStr">
        <is>
          <t>GÄLLIVARE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14818-2026</t>
        </is>
      </c>
      <c r="B324" t="inlineStr">
        <is>
          <t>avverkningsanmälan</t>
        </is>
      </c>
      <c r="C324" t="inlineStr">
        <is>
          <t>Föryngringsavverkning</t>
        </is>
      </c>
      <c r="D324" s="1" t="n">
        <v>46104</v>
      </c>
      <c r="E324" s="1" t="n">
        <v>46314</v>
      </c>
      <c r="F324" t="inlineStr">
        <is>
          <t>NORRBOTTENS LÄN</t>
        </is>
      </c>
      <c r="G324" t="inlineStr">
        <is>
          <t>GÄLLIVARE</t>
        </is>
      </c>
      <c r="H324" t="inlineStr">
        <is>
          <t>SCA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28181-2026</t>
        </is>
      </c>
      <c r="B325" t="inlineStr">
        <is>
          <t>avverkningsanmälan</t>
        </is>
      </c>
      <c r="C325" t="inlineStr">
        <is>
          <t>Föryngringsavverkning</t>
        </is>
      </c>
      <c r="D325" s="1" t="n">
        <v>46195</v>
      </c>
      <c r="E325" s="1" t="n">
        <v>46314</v>
      </c>
      <c r="F325" t="inlineStr">
        <is>
          <t>NORRBOTTENS LÄN</t>
        </is>
      </c>
      <c r="G325" t="inlineStr">
        <is>
          <t>GÄLLIVARE</t>
        </is>
      </c>
      <c r="H325" t="inlineStr">
        <is>
          <t>SCA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28521-2026</t>
        </is>
      </c>
      <c r="B326" t="inlineStr">
        <is>
          <t>avverkningsanmälan</t>
        </is>
      </c>
      <c r="C326" t="inlineStr">
        <is>
          <t>Föryngringsavverkning</t>
        </is>
      </c>
      <c r="D326" s="1" t="n">
        <v>46197</v>
      </c>
      <c r="E326" s="1" t="n">
        <v>46314</v>
      </c>
      <c r="F326" t="inlineStr">
        <is>
          <t>NORRBOTTENS LÄN</t>
        </is>
      </c>
      <c r="G326" t="inlineStr">
        <is>
          <t>GÄLLIVARE</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29011-2024</t>
        </is>
      </c>
      <c r="B327" t="inlineStr">
        <is>
          <t>avverkningsanmälan</t>
        </is>
      </c>
      <c r="C327" t="inlineStr">
        <is>
          <t>Föryngringsavverkning</t>
        </is>
      </c>
      <c r="D327" s="1" t="n">
        <v>45481</v>
      </c>
      <c r="E327" s="1" t="n">
        <v>46314</v>
      </c>
      <c r="F327" t="inlineStr">
        <is>
          <t>NORRBOTTENS LÄN</t>
        </is>
      </c>
      <c r="G327" t="inlineStr">
        <is>
          <t>GÄLLIVARE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28736-2026</t>
        </is>
      </c>
      <c r="B328" t="inlineStr">
        <is>
          <t>avverkningsanmälan</t>
        </is>
      </c>
      <c r="C328" t="inlineStr">
        <is>
          <t>Föryngringsavverkning</t>
        </is>
      </c>
      <c r="D328" s="1" t="n">
        <v>46198</v>
      </c>
      <c r="E328" s="1" t="n">
        <v>46314</v>
      </c>
      <c r="F328" t="inlineStr">
        <is>
          <t>NORRBOTTENS LÄN</t>
        </is>
      </c>
      <c r="G328" t="inlineStr">
        <is>
          <t>GÄLLIVARE</t>
        </is>
      </c>
      <c r="H328" t="inlineStr">
        <is>
          <t>Sveaskog</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28452-2026</t>
        </is>
      </c>
      <c r="B329" t="inlineStr">
        <is>
          <t>avverkningsanmälan</t>
        </is>
      </c>
      <c r="C329" t="inlineStr">
        <is>
          <t>Föryngringsavverkning</t>
        </is>
      </c>
      <c r="D329" s="1" t="n">
        <v>46197</v>
      </c>
      <c r="E329" s="1" t="n">
        <v>46314</v>
      </c>
      <c r="F329" t="inlineStr">
        <is>
          <t>NORRBOTTENS LÄN</t>
        </is>
      </c>
      <c r="G329" t="inlineStr">
        <is>
          <t>GÄLLIVARE</t>
        </is>
      </c>
      <c r="H329" t="inlineStr">
        <is>
          <t>Sveaskog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17030-2026</t>
        </is>
      </c>
      <c r="B330" t="inlineStr">
        <is>
          <t>avverkningsanmälan</t>
        </is>
      </c>
      <c r="C330" t="inlineStr">
        <is>
          <t>Föryngringsavverkning</t>
        </is>
      </c>
      <c r="D330" s="1" t="n">
        <v>46114</v>
      </c>
      <c r="E330" s="1" t="n">
        <v>46314</v>
      </c>
      <c r="F330" t="inlineStr">
        <is>
          <t>NORRBOTTENS LÄN</t>
        </is>
      </c>
      <c r="G330" t="inlineStr">
        <is>
          <t>GÄLLIVARE</t>
        </is>
      </c>
      <c r="H330" t="inlineStr">
        <is>
          <t>SCA</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28747-2026</t>
        </is>
      </c>
      <c r="B331" t="inlineStr">
        <is>
          <t>avverkningsanmälan</t>
        </is>
      </c>
      <c r="C331" t="inlineStr">
        <is>
          <t>Föryngringsavverkning</t>
        </is>
      </c>
      <c r="D331" s="1" t="n">
        <v>46198</v>
      </c>
      <c r="E331" s="1" t="n">
        <v>46314</v>
      </c>
      <c r="F331" t="inlineStr">
        <is>
          <t>NORRBOTTENS LÄN</t>
        </is>
      </c>
      <c r="G331" t="inlineStr">
        <is>
          <t>GÄLLIVARE</t>
        </is>
      </c>
      <c r="H331" t="inlineStr">
        <is>
          <t>Sveaskog</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28522-2026</t>
        </is>
      </c>
      <c r="B332" t="inlineStr">
        <is>
          <t>avverkningsanmälan</t>
        </is>
      </c>
      <c r="C332" t="inlineStr">
        <is>
          <t>Föryngringsavverkning</t>
        </is>
      </c>
      <c r="D332" s="1" t="n">
        <v>46197</v>
      </c>
      <c r="E332" s="1" t="n">
        <v>46314</v>
      </c>
      <c r="F332" t="inlineStr">
        <is>
          <t>NORRBOTTENS LÄN</t>
        </is>
      </c>
      <c r="G332" t="inlineStr">
        <is>
          <t>GÄLLIVARE</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17315-2026</t>
        </is>
      </c>
      <c r="B333" t="inlineStr">
        <is>
          <t>avverkningsanmälan</t>
        </is>
      </c>
      <c r="C333" t="inlineStr">
        <is>
          <t>Föryngringsavverkning</t>
        </is>
      </c>
      <c r="D333" s="1" t="n">
        <v>46119</v>
      </c>
      <c r="E333" s="1" t="n">
        <v>46314</v>
      </c>
      <c r="F333" t="inlineStr">
        <is>
          <t>NORRBOTTENS LÄN</t>
        </is>
      </c>
      <c r="G333" t="inlineStr">
        <is>
          <t>GÄLLIVARE</t>
        </is>
      </c>
      <c r="H333" t="inlineStr">
        <is>
          <t>SCA</t>
        </is>
      </c>
      <c r="I333" t="n">
        <v>23.8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28916-2026</t>
        </is>
      </c>
      <c r="B334" t="inlineStr">
        <is>
          <t>avverkningsanmälan</t>
        </is>
      </c>
      <c r="C334" t="inlineStr">
        <is>
          <t>Föryngringsavverkning</t>
        </is>
      </c>
      <c r="D334" s="1" t="n">
        <v>46199</v>
      </c>
      <c r="E334" s="1" t="n">
        <v>46314</v>
      </c>
      <c r="F334" t="inlineStr">
        <is>
          <t>NORRBOTTENS LÄN</t>
        </is>
      </c>
      <c r="G334" t="inlineStr">
        <is>
          <t>GÄLLIVARE</t>
        </is>
      </c>
      <c r="H334" t="inlineStr">
        <is>
          <t>SCA</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28935-2026</t>
        </is>
      </c>
      <c r="B335" t="inlineStr">
        <is>
          <t>avverkningsanmälan</t>
        </is>
      </c>
      <c r="C335" t="inlineStr">
        <is>
          <t>Föryngringsavverkning</t>
        </is>
      </c>
      <c r="D335" s="1" t="n">
        <v>46199</v>
      </c>
      <c r="E335" s="1" t="n">
        <v>46314</v>
      </c>
      <c r="F335" t="inlineStr">
        <is>
          <t>NORRBOTTENS LÄN</t>
        </is>
      </c>
      <c r="G335" t="inlineStr">
        <is>
          <t>GÄLLIVARE</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17779-2026</t>
        </is>
      </c>
      <c r="B336" t="inlineStr">
        <is>
          <t>avverkningsanmälan</t>
        </is>
      </c>
      <c r="C336" t="inlineStr">
        <is>
          <t>Föryngringsavverkning</t>
        </is>
      </c>
      <c r="D336" s="1" t="n">
        <v>46122</v>
      </c>
      <c r="E336" s="1" t="n">
        <v>46314</v>
      </c>
      <c r="F336" t="inlineStr">
        <is>
          <t>NORRBOTTENS LÄN</t>
        </is>
      </c>
      <c r="G336" t="inlineStr">
        <is>
          <t>GÄLLIVARE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41927-2024</t>
        </is>
      </c>
      <c r="B337" t="inlineStr">
        <is>
          <t>avverkningsanmälan</t>
        </is>
      </c>
      <c r="C337" t="inlineStr">
        <is>
          <t>Föryngringsavverkning</t>
        </is>
      </c>
      <c r="D337" s="1" t="n">
        <v>45561</v>
      </c>
      <c r="E337" s="1" t="n">
        <v>46314</v>
      </c>
      <c r="F337" t="inlineStr">
        <is>
          <t>NORRBOTTENS LÄN</t>
        </is>
      </c>
      <c r="G337" t="inlineStr">
        <is>
          <t>GÄLLIVARE</t>
        </is>
      </c>
      <c r="I337" t="n">
        <v>11.2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8018-2022</t>
        </is>
      </c>
      <c r="B338" t="inlineStr">
        <is>
          <t>avverkningsanmälan</t>
        </is>
      </c>
      <c r="C338" t="inlineStr">
        <is>
          <t>Föryngringsavverkning</t>
        </is>
      </c>
      <c r="D338" s="1" t="n">
        <v>44609</v>
      </c>
      <c r="E338" s="1" t="n">
        <v>46314</v>
      </c>
      <c r="F338" t="inlineStr">
        <is>
          <t>NORRBOTTENS LÄN</t>
        </is>
      </c>
      <c r="G338" t="inlineStr">
        <is>
          <t>GÄLLIVARE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18403-2026</t>
        </is>
      </c>
      <c r="B339" t="inlineStr">
        <is>
          <t>avverkningsanmälan</t>
        </is>
      </c>
      <c r="C339" t="inlineStr">
        <is>
          <t>Föryngringsavverkning</t>
        </is>
      </c>
      <c r="D339" s="1" t="n">
        <v>46126</v>
      </c>
      <c r="E339" s="1" t="n">
        <v>46314</v>
      </c>
      <c r="F339" t="inlineStr">
        <is>
          <t>NORRBOTTENS LÄN</t>
        </is>
      </c>
      <c r="G339" t="inlineStr">
        <is>
          <t>GÄLLIVARE</t>
        </is>
      </c>
      <c r="I339" t="n">
        <v>17.4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36969-2023</t>
        </is>
      </c>
      <c r="B340" t="inlineStr">
        <is>
          <t>avverkningsanmälan</t>
        </is>
      </c>
      <c r="C340" t="inlineStr">
        <is>
          <t>Föryngringsavverkning</t>
        </is>
      </c>
      <c r="D340" s="1" t="n">
        <v>45154</v>
      </c>
      <c r="E340" s="1" t="n">
        <v>46314</v>
      </c>
      <c r="F340" t="inlineStr">
        <is>
          <t>NORRBOTTENS LÄN</t>
        </is>
      </c>
      <c r="G340" t="inlineStr">
        <is>
          <t>GÄLLIVARE</t>
        </is>
      </c>
      <c r="H340" t="inlineStr">
        <is>
          <t>SCA</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11290-2023</t>
        </is>
      </c>
      <c r="B341" t="inlineStr">
        <is>
          <t>avverkningsanmälan</t>
        </is>
      </c>
      <c r="C341" t="inlineStr">
        <is>
          <t>Föryngringsavverkning</t>
        </is>
      </c>
      <c r="D341" s="1" t="n">
        <v>44992</v>
      </c>
      <c r="E341" s="1" t="n">
        <v>46314</v>
      </c>
      <c r="F341" t="inlineStr">
        <is>
          <t>NORRBOTTENS LÄN</t>
        </is>
      </c>
      <c r="G341" t="inlineStr">
        <is>
          <t>GÄLLIVARE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18512-2026</t>
        </is>
      </c>
      <c r="B342" t="inlineStr">
        <is>
          <t>avverkningsanmälan</t>
        </is>
      </c>
      <c r="C342" t="inlineStr">
        <is>
          <t>Föryngringsavverkning</t>
        </is>
      </c>
      <c r="D342" s="1" t="n">
        <v>46127</v>
      </c>
      <c r="E342" s="1" t="n">
        <v>46314</v>
      </c>
      <c r="F342" t="inlineStr">
        <is>
          <t>NORRBOTTENS LÄN</t>
        </is>
      </c>
      <c r="G342" t="inlineStr">
        <is>
          <t>GÄLLIVARE</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10948-2025</t>
        </is>
      </c>
      <c r="B343" t="inlineStr">
        <is>
          <t>avverkningsanmälan</t>
        </is>
      </c>
      <c r="C343" t="inlineStr">
        <is>
          <t>Föryngringsavverkning</t>
        </is>
      </c>
      <c r="D343" s="1" t="n">
        <v>45723</v>
      </c>
      <c r="E343" s="1" t="n">
        <v>46314</v>
      </c>
      <c r="F343" t="inlineStr">
        <is>
          <t>NORRBOTTENS LÄN</t>
        </is>
      </c>
      <c r="G343" t="inlineStr">
        <is>
          <t>GÄLLIVARE</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29744-2026</t>
        </is>
      </c>
      <c r="B344" t="inlineStr">
        <is>
          <t>avverkningsanmälan</t>
        </is>
      </c>
      <c r="C344" t="inlineStr">
        <is>
          <t>Föryngringsavverkning</t>
        </is>
      </c>
      <c r="D344" s="1" t="n">
        <v>46204</v>
      </c>
      <c r="E344" s="1" t="n">
        <v>46314</v>
      </c>
      <c r="F344" t="inlineStr">
        <is>
          <t>NORRBOTTENS LÄN</t>
        </is>
      </c>
      <c r="G344" t="inlineStr">
        <is>
          <t>GÄLLIVARE</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19381-2026</t>
        </is>
      </c>
      <c r="B345" t="inlineStr">
        <is>
          <t>avverkningsanmälan</t>
        </is>
      </c>
      <c r="C345" t="inlineStr">
        <is>
          <t>Föryngringsavverkning</t>
        </is>
      </c>
      <c r="D345" s="1" t="n">
        <v>46133</v>
      </c>
      <c r="E345" s="1" t="n">
        <v>46314</v>
      </c>
      <c r="F345" t="inlineStr">
        <is>
          <t>NORRBOTTENS LÄN</t>
        </is>
      </c>
      <c r="G345" t="inlineStr">
        <is>
          <t>GÄLLIVARE</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29695-2026</t>
        </is>
      </c>
      <c r="B346" t="inlineStr">
        <is>
          <t>avverkningsanmälan</t>
        </is>
      </c>
      <c r="C346" t="inlineStr">
        <is>
          <t>Föryngringsavverkning</t>
        </is>
      </c>
      <c r="D346" s="1" t="n">
        <v>46204</v>
      </c>
      <c r="E346" s="1" t="n">
        <v>46314</v>
      </c>
      <c r="F346" t="inlineStr">
        <is>
          <t>NORRBOTTENS LÄN</t>
        </is>
      </c>
      <c r="G346" t="inlineStr">
        <is>
          <t>GÄLLIVARE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19683-2026</t>
        </is>
      </c>
      <c r="B347" t="inlineStr">
        <is>
          <t>avverkningsanmälan</t>
        </is>
      </c>
      <c r="C347" t="inlineStr">
        <is>
          <t>Föryngringsavverkning</t>
        </is>
      </c>
      <c r="D347" s="1" t="n">
        <v>46134</v>
      </c>
      <c r="E347" s="1" t="n">
        <v>46314</v>
      </c>
      <c r="F347" t="inlineStr">
        <is>
          <t>NORRBOTTENS LÄN</t>
        </is>
      </c>
      <c r="G347" t="inlineStr">
        <is>
          <t>GÄLLIVARE</t>
        </is>
      </c>
      <c r="H347" t="inlineStr">
        <is>
          <t>SCA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19573-2026</t>
        </is>
      </c>
      <c r="B348" t="inlineStr">
        <is>
          <t>avverkningsanmälan</t>
        </is>
      </c>
      <c r="C348" t="inlineStr">
        <is>
          <t>Föryngringsavverkning</t>
        </is>
      </c>
      <c r="D348" s="1" t="n">
        <v>46134</v>
      </c>
      <c r="E348" s="1" t="n">
        <v>46314</v>
      </c>
      <c r="F348" t="inlineStr">
        <is>
          <t>NORRBOTTENS LÄN</t>
        </is>
      </c>
      <c r="G348" t="inlineStr">
        <is>
          <t>GÄLLIVARE</t>
        </is>
      </c>
      <c r="H348" t="inlineStr">
        <is>
          <t>SCA</t>
        </is>
      </c>
      <c r="I348" t="n">
        <v>16.8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29678-2026</t>
        </is>
      </c>
      <c r="B349" t="inlineStr">
        <is>
          <t>avverkningsanmälan</t>
        </is>
      </c>
      <c r="C349" t="inlineStr">
        <is>
          <t>Föryngringsavverkning</t>
        </is>
      </c>
      <c r="D349" s="1" t="n">
        <v>46204</v>
      </c>
      <c r="E349" s="1" t="n">
        <v>46314</v>
      </c>
      <c r="F349" t="inlineStr">
        <is>
          <t>NORRBOTTENS LÄN</t>
        </is>
      </c>
      <c r="G349" t="inlineStr">
        <is>
          <t>GÄLLIVARE</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29680-2026</t>
        </is>
      </c>
      <c r="B350" t="inlineStr">
        <is>
          <t>avverkningsanmälan</t>
        </is>
      </c>
      <c r="C350" t="inlineStr">
        <is>
          <t>Föryngringsavverkning</t>
        </is>
      </c>
      <c r="D350" s="1" t="n">
        <v>46204</v>
      </c>
      <c r="E350" s="1" t="n">
        <v>46314</v>
      </c>
      <c r="F350" t="inlineStr">
        <is>
          <t>NORRBOTTENS LÄN</t>
        </is>
      </c>
      <c r="G350" t="inlineStr">
        <is>
          <t>GÄLLIVARE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29686-2026</t>
        </is>
      </c>
      <c r="B351" t="inlineStr">
        <is>
          <t>avverkningsanmälan</t>
        </is>
      </c>
      <c r="C351" t="inlineStr">
        <is>
          <t>Föryngringsavverkning</t>
        </is>
      </c>
      <c r="D351" s="1" t="n">
        <v>46204</v>
      </c>
      <c r="E351" s="1" t="n">
        <v>46314</v>
      </c>
      <c r="F351" t="inlineStr">
        <is>
          <t>NORRBOTTENS LÄN</t>
        </is>
      </c>
      <c r="G351" t="inlineStr">
        <is>
          <t>GÄLLIVARE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29699-2026</t>
        </is>
      </c>
      <c r="B352" t="inlineStr">
        <is>
          <t>avverkningsanmälan</t>
        </is>
      </c>
      <c r="C352" t="inlineStr">
        <is>
          <t>Föryngringsavverkning</t>
        </is>
      </c>
      <c r="D352" s="1" t="n">
        <v>46204</v>
      </c>
      <c r="E352" s="1" t="n">
        <v>46314</v>
      </c>
      <c r="F352" t="inlineStr">
        <is>
          <t>NORRBOTTENS LÄN</t>
        </is>
      </c>
      <c r="G352" t="inlineStr">
        <is>
          <t>GÄLLIVARE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30018-2026</t>
        </is>
      </c>
      <c r="B353" t="inlineStr">
        <is>
          <t>avverkningsanmälan</t>
        </is>
      </c>
      <c r="C353" t="inlineStr">
        <is>
          <t>Föryngringsavverkning</t>
        </is>
      </c>
      <c r="D353" s="1" t="n">
        <v>46206</v>
      </c>
      <c r="E353" s="1" t="n">
        <v>46314</v>
      </c>
      <c r="F353" t="inlineStr">
        <is>
          <t>NORRBOTTENS LÄN</t>
        </is>
      </c>
      <c r="G353" t="inlineStr">
        <is>
          <t>GÄLLIVARE</t>
        </is>
      </c>
      <c r="H353" t="inlineStr">
        <is>
          <t>Sveaskog</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29830-2026</t>
        </is>
      </c>
      <c r="B354" t="inlineStr">
        <is>
          <t>avverkningsanmälan</t>
        </is>
      </c>
      <c r="C354" t="inlineStr">
        <is>
          <t>Föryngringsavverkning</t>
        </is>
      </c>
      <c r="D354" s="1" t="n">
        <v>46205</v>
      </c>
      <c r="E354" s="1" t="n">
        <v>46314</v>
      </c>
      <c r="F354" t="inlineStr">
        <is>
          <t>NORRBOTTENS LÄN</t>
        </is>
      </c>
      <c r="G354" t="inlineStr">
        <is>
          <t>GÄLLIVARE</t>
        </is>
      </c>
      <c r="H354" t="inlineStr">
        <is>
          <t>Sveaskog</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29963-2026</t>
        </is>
      </c>
      <c r="B355" t="inlineStr">
        <is>
          <t>avverkningsanmälan</t>
        </is>
      </c>
      <c r="C355" t="inlineStr">
        <is>
          <t>Föryngringsavverkning</t>
        </is>
      </c>
      <c r="D355" s="1" t="n">
        <v>46205</v>
      </c>
      <c r="E355" s="1" t="n">
        <v>46314</v>
      </c>
      <c r="F355" t="inlineStr">
        <is>
          <t>NORRBOTTENS LÄN</t>
        </is>
      </c>
      <c r="G355" t="inlineStr">
        <is>
          <t>GÄLLIVARE</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16068-2023</t>
        </is>
      </c>
      <c r="B356" t="inlineStr">
        <is>
          <t>avverkningsanmälan</t>
        </is>
      </c>
      <c r="C356" t="inlineStr">
        <is>
          <t>Föryngringsavverkning</t>
        </is>
      </c>
      <c r="D356" s="1" t="n">
        <v>45027</v>
      </c>
      <c r="E356" s="1" t="n">
        <v>46314</v>
      </c>
      <c r="F356" t="inlineStr">
        <is>
          <t>NORRBOTTENS LÄN</t>
        </is>
      </c>
      <c r="G356" t="inlineStr">
        <is>
          <t>GÄLLIVARE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50095-2024</t>
        </is>
      </c>
      <c r="B357" t="inlineStr">
        <is>
          <t>avverkningsanmälan</t>
        </is>
      </c>
      <c r="C357" t="inlineStr">
        <is>
          <t>Föryngringsavverkning</t>
        </is>
      </c>
      <c r="D357" s="1" t="n">
        <v>45600</v>
      </c>
      <c r="E357" s="1" t="n">
        <v>46314</v>
      </c>
      <c r="F357" t="inlineStr">
        <is>
          <t>NORRBOTTENS LÄN</t>
        </is>
      </c>
      <c r="G357" t="inlineStr">
        <is>
          <t>GÄLLIVARE</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29934-2026</t>
        </is>
      </c>
      <c r="B358" t="inlineStr">
        <is>
          <t>avverkningsanmälan</t>
        </is>
      </c>
      <c r="C358" t="inlineStr">
        <is>
          <t>Föryngringsavverkning</t>
        </is>
      </c>
      <c r="D358" s="1" t="n">
        <v>46205</v>
      </c>
      <c r="E358" s="1" t="n">
        <v>46314</v>
      </c>
      <c r="F358" t="inlineStr">
        <is>
          <t>NORRBOTTENS LÄN</t>
        </is>
      </c>
      <c r="G358" t="inlineStr">
        <is>
          <t>GÄLLIVARE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61190-2023</t>
        </is>
      </c>
      <c r="B359" t="inlineStr">
        <is>
          <t>avverkningsanmälan</t>
        </is>
      </c>
      <c r="C359" t="inlineStr">
        <is>
          <t>Föryngringsavverkning</t>
        </is>
      </c>
      <c r="D359" s="1" t="n">
        <v>45264</v>
      </c>
      <c r="E359" s="1" t="n">
        <v>46314</v>
      </c>
      <c r="F359" t="inlineStr">
        <is>
          <t>NORRBOTTENS LÄN</t>
        </is>
      </c>
      <c r="G359" t="inlineStr">
        <is>
          <t>GÄLLIVARE</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29933-2026</t>
        </is>
      </c>
      <c r="B360" t="inlineStr">
        <is>
          <t>avverkningsanmälan</t>
        </is>
      </c>
      <c r="C360" t="inlineStr">
        <is>
          <t>Föryngringsavverkning</t>
        </is>
      </c>
      <c r="D360" s="1" t="n">
        <v>46205</v>
      </c>
      <c r="E360" s="1" t="n">
        <v>46314</v>
      </c>
      <c r="F360" t="inlineStr">
        <is>
          <t>NORRBOTTENS LÄN</t>
        </is>
      </c>
      <c r="G360" t="inlineStr">
        <is>
          <t>GÄLLIVARE</t>
        </is>
      </c>
      <c r="H360" t="inlineStr">
        <is>
          <t>Sveaskog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29949-2026</t>
        </is>
      </c>
      <c r="B361" t="inlineStr">
        <is>
          <t>avverkningsanmälan</t>
        </is>
      </c>
      <c r="C361" t="inlineStr">
        <is>
          <t>Föryngringsavverkning</t>
        </is>
      </c>
      <c r="D361" s="1" t="n">
        <v>46205</v>
      </c>
      <c r="E361" s="1" t="n">
        <v>46314</v>
      </c>
      <c r="F361" t="inlineStr">
        <is>
          <t>NORRBOTTENS LÄN</t>
        </is>
      </c>
      <c r="G361" t="inlineStr">
        <is>
          <t>GÄLLIVARE</t>
        </is>
      </c>
      <c r="H361" t="inlineStr">
        <is>
          <t>Sveaskog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30235-2026</t>
        </is>
      </c>
      <c r="B362" t="inlineStr">
        <is>
          <t>avverkningsanmälan</t>
        </is>
      </c>
      <c r="C362" t="inlineStr">
        <is>
          <t>Föryngringsavverkning</t>
        </is>
      </c>
      <c r="D362" s="1" t="n">
        <v>46206</v>
      </c>
      <c r="E362" s="1" t="n">
        <v>46314</v>
      </c>
      <c r="F362" t="inlineStr">
        <is>
          <t>NORRBOTTENS LÄN</t>
        </is>
      </c>
      <c r="G362" t="inlineStr">
        <is>
          <t>GÄLLIVARE</t>
        </is>
      </c>
      <c r="H362" t="inlineStr">
        <is>
          <t>Sveaskog</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25493-2024</t>
        </is>
      </c>
      <c r="B363" t="inlineStr">
        <is>
          <t>avverkningsanmälan</t>
        </is>
      </c>
      <c r="C363" t="inlineStr">
        <is>
          <t>Föryngringsavverkning</t>
        </is>
      </c>
      <c r="D363" s="1" t="n">
        <v>45463</v>
      </c>
      <c r="E363" s="1" t="n">
        <v>46314</v>
      </c>
      <c r="F363" t="inlineStr">
        <is>
          <t>NORRBOTTENS LÄN</t>
        </is>
      </c>
      <c r="G363" t="inlineStr">
        <is>
          <t>GÄLLIVARE</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39559-2022</t>
        </is>
      </c>
      <c r="B364" t="inlineStr">
        <is>
          <t>avverkningsanmälan</t>
        </is>
      </c>
      <c r="C364" t="inlineStr">
        <is>
          <t>Föryngringsavverkning</t>
        </is>
      </c>
      <c r="D364" s="1" t="n">
        <v>44818</v>
      </c>
      <c r="E364" s="1" t="n">
        <v>46314</v>
      </c>
      <c r="F364" t="inlineStr">
        <is>
          <t>NORRBOTTENS LÄN</t>
        </is>
      </c>
      <c r="G364" t="inlineStr">
        <is>
          <t>GÄLLIVARE</t>
        </is>
      </c>
      <c r="H364" t="inlineStr">
        <is>
          <t>Sveaskog</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30593-2026</t>
        </is>
      </c>
      <c r="B365" t="inlineStr">
        <is>
          <t>avverkningsanmälan</t>
        </is>
      </c>
      <c r="C365" t="inlineStr">
        <is>
          <t>Föryngringsavverkning</t>
        </is>
      </c>
      <c r="D365" s="1" t="n">
        <v>46210</v>
      </c>
      <c r="E365" s="1" t="n">
        <v>46314</v>
      </c>
      <c r="F365" t="inlineStr">
        <is>
          <t>NORRBOTTENS LÄN</t>
        </is>
      </c>
      <c r="G365" t="inlineStr">
        <is>
          <t>GÄLLIVARE</t>
        </is>
      </c>
      <c r="H365" t="inlineStr">
        <is>
          <t>Sveaskog</t>
        </is>
      </c>
      <c r="I365" t="n">
        <v>11.1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31126-2026</t>
        </is>
      </c>
      <c r="B366" t="inlineStr">
        <is>
          <t>avverkningsanmälan</t>
        </is>
      </c>
      <c r="C366" t="inlineStr">
        <is>
          <t>Föryngringsavverkning</t>
        </is>
      </c>
      <c r="D366" s="1" t="n">
        <v>46216</v>
      </c>
      <c r="E366" s="1" t="n">
        <v>46314</v>
      </c>
      <c r="F366" t="inlineStr">
        <is>
          <t>NORRBOTTENS LÄN</t>
        </is>
      </c>
      <c r="G366" t="inlineStr">
        <is>
          <t>GÄLLIVARE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31173-2026</t>
        </is>
      </c>
      <c r="B367" t="inlineStr">
        <is>
          <t>avverkningsanmälan</t>
        </is>
      </c>
      <c r="C367" t="inlineStr">
        <is>
          <t>Föryngringsavverkning</t>
        </is>
      </c>
      <c r="D367" s="1" t="n">
        <v>46216</v>
      </c>
      <c r="E367" s="1" t="n">
        <v>46314</v>
      </c>
      <c r="F367" t="inlineStr">
        <is>
          <t>NORRBOTTENS LÄN</t>
        </is>
      </c>
      <c r="G367" t="inlineStr">
        <is>
          <t>GÄLLIVARE</t>
        </is>
      </c>
      <c r="H367" t="inlineStr">
        <is>
          <t>Sveaskog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25443-2026</t>
        </is>
      </c>
      <c r="B368" t="inlineStr">
        <is>
          <t>avverkningsanmälan</t>
        </is>
      </c>
      <c r="C368" t="inlineStr">
        <is>
          <t>Föryngringsavverkning</t>
        </is>
      </c>
      <c r="D368" s="1" t="n">
        <v>46177</v>
      </c>
      <c r="E368" s="1" t="n">
        <v>46314</v>
      </c>
      <c r="F368" t="inlineStr">
        <is>
          <t>NORRBOTTENS LÄN</t>
        </is>
      </c>
      <c r="G368" t="inlineStr">
        <is>
          <t>GÄLLIVARE</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10298-2023</t>
        </is>
      </c>
      <c r="B369" t="inlineStr">
        <is>
          <t>avverkningsanmälan</t>
        </is>
      </c>
      <c r="C369" t="inlineStr">
        <is>
          <t>Föryngringsavverkning</t>
        </is>
      </c>
      <c r="D369" s="1" t="n">
        <v>44986</v>
      </c>
      <c r="E369" s="1" t="n">
        <v>46314</v>
      </c>
      <c r="F369" t="inlineStr">
        <is>
          <t>NORRBOTTENS LÄN</t>
        </is>
      </c>
      <c r="G369" t="inlineStr">
        <is>
          <t>GÄLLIVARE</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31637-2026</t>
        </is>
      </c>
      <c r="B370" t="inlineStr">
        <is>
          <t>avverkningsanmälan</t>
        </is>
      </c>
      <c r="C370" t="inlineStr">
        <is>
          <t>Föryngringsavverkning</t>
        </is>
      </c>
      <c r="D370" s="1" t="n">
        <v>46225</v>
      </c>
      <c r="E370" s="1" t="n">
        <v>46314</v>
      </c>
      <c r="F370" t="inlineStr">
        <is>
          <t>NORRBOTTENS LÄN</t>
        </is>
      </c>
      <c r="G370" t="inlineStr">
        <is>
          <t>GÄLLIVARE</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31638-2026</t>
        </is>
      </c>
      <c r="B371" t="inlineStr">
        <is>
          <t>avverkningsanmälan</t>
        </is>
      </c>
      <c r="C371" t="inlineStr">
        <is>
          <t>Föryngringsavverkning</t>
        </is>
      </c>
      <c r="D371" s="1" t="n">
        <v>46225</v>
      </c>
      <c r="E371" s="1" t="n">
        <v>46314</v>
      </c>
      <c r="F371" t="inlineStr">
        <is>
          <t>NORRBOTTENS LÄN</t>
        </is>
      </c>
      <c r="G371" t="inlineStr">
        <is>
          <t>GÄLLIVARE</t>
        </is>
      </c>
      <c r="H371" t="inlineStr">
        <is>
          <t>Sveaskog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31639-2026</t>
        </is>
      </c>
      <c r="B372" t="inlineStr">
        <is>
          <t>avverkningsanmälan</t>
        </is>
      </c>
      <c r="C372" t="inlineStr">
        <is>
          <t>Föryngringsavverkning</t>
        </is>
      </c>
      <c r="D372" s="1" t="n">
        <v>46225</v>
      </c>
      <c r="E372" s="1" t="n">
        <v>46314</v>
      </c>
      <c r="F372" t="inlineStr">
        <is>
          <t>NORRBOTTENS LÄN</t>
        </is>
      </c>
      <c r="G372" t="inlineStr">
        <is>
          <t>GÄLLIVARE</t>
        </is>
      </c>
      <c r="H372" t="inlineStr">
        <is>
          <t>Sveaskog</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31636-2026</t>
        </is>
      </c>
      <c r="B373" t="inlineStr">
        <is>
          <t>avverkningsanmälan</t>
        </is>
      </c>
      <c r="C373" t="inlineStr">
        <is>
          <t>Föryngringsavverkning</t>
        </is>
      </c>
      <c r="D373" s="1" t="n">
        <v>46225</v>
      </c>
      <c r="E373" s="1" t="n">
        <v>46314</v>
      </c>
      <c r="F373" t="inlineStr">
        <is>
          <t>NORRBOTTENS LÄN</t>
        </is>
      </c>
      <c r="G373" t="inlineStr">
        <is>
          <t>GÄLLIVARE</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37072-2026</t>
        </is>
      </c>
      <c r="B374" t="inlineStr">
        <is>
          <t>avverkningsanmälan</t>
        </is>
      </c>
      <c r="C374" t="inlineStr">
        <is>
          <t>Föryngringsavverkning</t>
        </is>
      </c>
      <c r="D374" s="1" t="n">
        <v>46273</v>
      </c>
      <c r="E374" s="1" t="n">
        <v>46314</v>
      </c>
      <c r="F374" t="inlineStr">
        <is>
          <t>NORRBOTTENS LÄN</t>
        </is>
      </c>
      <c r="G374" t="inlineStr">
        <is>
          <t>GÄLLIVARE</t>
        </is>
      </c>
      <c r="H374" t="inlineStr">
        <is>
          <t>Allmännings- och besparingsskogar</t>
        </is>
      </c>
      <c r="I374" t="n">
        <v>18.2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37081-2026</t>
        </is>
      </c>
      <c r="B375" t="inlineStr">
        <is>
          <t>avverkningsanmälan</t>
        </is>
      </c>
      <c r="C375" t="inlineStr">
        <is>
          <t>Föryngringsavverkning</t>
        </is>
      </c>
      <c r="D375" s="1" t="n">
        <v>46273</v>
      </c>
      <c r="E375" s="1" t="n">
        <v>46314</v>
      </c>
      <c r="F375" t="inlineStr">
        <is>
          <t>NORRBOTTENS LÄN</t>
        </is>
      </c>
      <c r="G375" t="inlineStr">
        <is>
          <t>GÄLLIVARE</t>
        </is>
      </c>
      <c r="H375" t="inlineStr">
        <is>
          <t>Allmännings- och besparingsskogar</t>
        </is>
      </c>
      <c r="I375" t="n">
        <v>19.2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37086-2026</t>
        </is>
      </c>
      <c r="B376" t="inlineStr">
        <is>
          <t>avverkningsanmälan</t>
        </is>
      </c>
      <c r="C376" t="inlineStr">
        <is>
          <t>Föryngringsavverkning</t>
        </is>
      </c>
      <c r="D376" s="1" t="n">
        <v>46273</v>
      </c>
      <c r="E376" s="1" t="n">
        <v>46314</v>
      </c>
      <c r="F376" t="inlineStr">
        <is>
          <t>NORRBOTTENS LÄN</t>
        </is>
      </c>
      <c r="G376" t="inlineStr">
        <is>
          <t>GÄLLIVARE</t>
        </is>
      </c>
      <c r="H376" t="inlineStr">
        <is>
          <t>Allmännings- och besparingsskogar</t>
        </is>
      </c>
      <c r="I376" t="n">
        <v>18.8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31874-2026</t>
        </is>
      </c>
      <c r="B377" t="inlineStr">
        <is>
          <t>avverkningsanmälan</t>
        </is>
      </c>
      <c r="C377" t="inlineStr">
        <is>
          <t>Föryngringsavverkning</t>
        </is>
      </c>
      <c r="D377" s="1" t="n">
        <v>46231</v>
      </c>
      <c r="E377" s="1" t="n">
        <v>46314</v>
      </c>
      <c r="F377" t="inlineStr">
        <is>
          <t>NORRBOTTENS LÄN</t>
        </is>
      </c>
      <c r="G377" t="inlineStr">
        <is>
          <t>GÄLLIVARE</t>
        </is>
      </c>
      <c r="H377" t="inlineStr">
        <is>
          <t>SCA</t>
        </is>
      </c>
      <c r="I377" t="n">
        <v>4.4</v>
      </c>
      <c r="J377" t="n">
        <v>0</v>
      </c>
      <c r="K377" t="n">
        <v>0</v>
      </c>
      <c r="L377" t="n">
        <v>0</v>
      </c>
      <c r="M377" t="n">
        <v>0</v>
      </c>
      <c r="N377" t="n">
        <v>0</v>
      </c>
      <c r="O377" t="n">
        <v>0</v>
      </c>
      <c r="P377" t="n">
        <v>0</v>
      </c>
      <c r="Q377" t="n">
        <v>0</v>
      </c>
      <c r="R377" t="n">
        <v>0</v>
      </c>
      <c r="S377" t="n">
        <v>0</v>
      </c>
      <c r="T377" t="n">
        <v>0</v>
      </c>
      <c r="U377" t="n">
        <v>0</v>
      </c>
      <c r="V377" s="2" t="inlineStr"/>
      <c r="Z377">
        <f>HYPERLINK("https://klasma.github.io/Logging_2523/knärot/A 31874-2026 karta knärot.png", "A 31874-2026")</f>
        <v/>
      </c>
      <c r="AA377">
        <f>HYPERLINK("https://klasma.github.io/Logging_2523/klagomål/A 31874-2026 FSC-klagomål.docx", "A 31874-2026")</f>
        <v/>
      </c>
      <c r="AB377">
        <f>HYPERLINK("https://klasma.github.io/Logging_2523/klagomålsmail/A 31874-2026 FSC-klagomål mail.docx", "A 31874-2026")</f>
        <v/>
      </c>
      <c r="AC377">
        <f>HYPERLINK("https://klasma.github.io/Logging_2523/tillsyn/A 31874-2026 tillsynsbegäran.docx", "A 31874-2026")</f>
        <v/>
      </c>
      <c r="AD377">
        <f>HYPERLINK("https://klasma.github.io/Logging_2523/tillsynsmail/A 31874-2026 tillsynsbegäran mail.docx", "A 31874-2026")</f>
        <v/>
      </c>
    </row>
    <row r="378" ht="15" customHeight="1">
      <c r="A378" t="inlineStr">
        <is>
          <t>A 37128-2026</t>
        </is>
      </c>
      <c r="B378" t="inlineStr">
        <is>
          <t>avverkningsanmälan</t>
        </is>
      </c>
      <c r="C378" t="inlineStr">
        <is>
          <t>Föryngringsavverkning</t>
        </is>
      </c>
      <c r="D378" s="1" t="n">
        <v>46274</v>
      </c>
      <c r="E378" s="1" t="n">
        <v>46314</v>
      </c>
      <c r="F378" t="inlineStr">
        <is>
          <t>NORRBOTTENS LÄN</t>
        </is>
      </c>
      <c r="G378" t="inlineStr">
        <is>
          <t>GÄLLIVARE</t>
        </is>
      </c>
      <c r="H378" t="inlineStr">
        <is>
          <t>Allmännings- och besparingsskogar</t>
        </is>
      </c>
      <c r="I378" t="n">
        <v>16.3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37076-2026</t>
        </is>
      </c>
      <c r="B379" t="inlineStr">
        <is>
          <t>avverkningsanmälan</t>
        </is>
      </c>
      <c r="C379" t="inlineStr">
        <is>
          <t>Föryngringsavverkning</t>
        </is>
      </c>
      <c r="D379" s="1" t="n">
        <v>46273</v>
      </c>
      <c r="E379" s="1" t="n">
        <v>46314</v>
      </c>
      <c r="F379" t="inlineStr">
        <is>
          <t>NORRBOTTENS LÄN</t>
        </is>
      </c>
      <c r="G379" t="inlineStr">
        <is>
          <t>GÄLLIVARE</t>
        </is>
      </c>
      <c r="H379" t="inlineStr">
        <is>
          <t>Allmännings- och besparingsskogar</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37347-2026</t>
        </is>
      </c>
      <c r="B380" t="inlineStr">
        <is>
          <t>avverkningsanmälan</t>
        </is>
      </c>
      <c r="C380" t="inlineStr">
        <is>
          <t>Föryngringsavverkning</t>
        </is>
      </c>
      <c r="D380" s="1" t="n">
        <v>46275</v>
      </c>
      <c r="E380" s="1" t="n">
        <v>46314</v>
      </c>
      <c r="F380" t="inlineStr">
        <is>
          <t>NORRBOTTENS LÄN</t>
        </is>
      </c>
      <c r="G380" t="inlineStr">
        <is>
          <t>GÄLLIVARE</t>
        </is>
      </c>
      <c r="H380" t="inlineStr">
        <is>
          <t>SCA</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37357-2026</t>
        </is>
      </c>
      <c r="B381" t="inlineStr">
        <is>
          <t>avverkningsanmälan</t>
        </is>
      </c>
      <c r="C381" t="inlineStr">
        <is>
          <t>Avverkning för annat ändamål</t>
        </is>
      </c>
      <c r="D381" s="1" t="n">
        <v>46275</v>
      </c>
      <c r="E381" s="1" t="n">
        <v>46314</v>
      </c>
      <c r="F381" t="inlineStr">
        <is>
          <t>NORRBOTTENS LÄN</t>
        </is>
      </c>
      <c r="G381" t="inlineStr">
        <is>
          <t>GÄLLIVARE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47048-2023</t>
        </is>
      </c>
      <c r="B382" t="inlineStr">
        <is>
          <t>avverkningsanmälan</t>
        </is>
      </c>
      <c r="C382" t="inlineStr">
        <is>
          <t>Föryngringsavverkning</t>
        </is>
      </c>
      <c r="D382" s="1" t="n">
        <v>45201</v>
      </c>
      <c r="E382" s="1" t="n">
        <v>46314</v>
      </c>
      <c r="F382" t="inlineStr">
        <is>
          <t>NORRBOTTENS LÄN</t>
        </is>
      </c>
      <c r="G382" t="inlineStr">
        <is>
          <t>GÄLLIVARE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37137-2026</t>
        </is>
      </c>
      <c r="B383" t="inlineStr">
        <is>
          <t>avverkningsanmälan</t>
        </is>
      </c>
      <c r="C383" t="inlineStr">
        <is>
          <t>Föryngringsavverkning</t>
        </is>
      </c>
      <c r="D383" s="1" t="n">
        <v>46274</v>
      </c>
      <c r="E383" s="1" t="n">
        <v>46314</v>
      </c>
      <c r="F383" t="inlineStr">
        <is>
          <t>NORRBOTTENS LÄN</t>
        </is>
      </c>
      <c r="G383" t="inlineStr">
        <is>
          <t>GÄLLIVARE</t>
        </is>
      </c>
      <c r="H383" t="inlineStr">
        <is>
          <t>Allmännings- och besparingsskogar</t>
        </is>
      </c>
      <c r="I383" t="n">
        <v>9.199999999999999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37358-2026</t>
        </is>
      </c>
      <c r="B384" t="inlineStr">
        <is>
          <t>avverkningsanmälan</t>
        </is>
      </c>
      <c r="C384" t="inlineStr">
        <is>
          <t>Avverkning för annat ändamål</t>
        </is>
      </c>
      <c r="D384" s="1" t="n">
        <v>46275</v>
      </c>
      <c r="E384" s="1" t="n">
        <v>46314</v>
      </c>
      <c r="F384" t="inlineStr">
        <is>
          <t>NORRBOTTENS LÄN</t>
        </is>
      </c>
      <c r="G384" t="inlineStr">
        <is>
          <t>GÄLLIVARE</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31875-2026</t>
        </is>
      </c>
      <c r="B385" t="inlineStr">
        <is>
          <t>avverkningsanmälan</t>
        </is>
      </c>
      <c r="C385" t="inlineStr">
        <is>
          <t>Föryngringsavverkning</t>
        </is>
      </c>
      <c r="D385" s="1" t="n">
        <v>46231</v>
      </c>
      <c r="E385" s="1" t="n">
        <v>46314</v>
      </c>
      <c r="F385" t="inlineStr">
        <is>
          <t>NORRBOTTENS LÄN</t>
        </is>
      </c>
      <c r="G385" t="inlineStr">
        <is>
          <t>GÄLLIVARE</t>
        </is>
      </c>
      <c r="H385" t="inlineStr">
        <is>
          <t>Naturvårdsverket</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31909-2026</t>
        </is>
      </c>
      <c r="B386" t="inlineStr">
        <is>
          <t>avverkningsanmälan</t>
        </is>
      </c>
      <c r="C386" t="inlineStr">
        <is>
          <t>Föryngringsavverkning</t>
        </is>
      </c>
      <c r="D386" s="1" t="n">
        <v>46231</v>
      </c>
      <c r="E386" s="1" t="n">
        <v>46314</v>
      </c>
      <c r="F386" t="inlineStr">
        <is>
          <t>NORRBOTTENS LÄN</t>
        </is>
      </c>
      <c r="G386" t="inlineStr">
        <is>
          <t>GÄLLIVARE</t>
        </is>
      </c>
      <c r="H386" t="inlineStr">
        <is>
          <t>SCA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37285-2026</t>
        </is>
      </c>
      <c r="B387" t="inlineStr">
        <is>
          <t>avverkningsanmälan</t>
        </is>
      </c>
      <c r="C387" t="inlineStr">
        <is>
          <t>Föryngringsavverkning</t>
        </is>
      </c>
      <c r="D387" s="1" t="n">
        <v>46274</v>
      </c>
      <c r="E387" s="1" t="n">
        <v>46314</v>
      </c>
      <c r="F387" t="inlineStr">
        <is>
          <t>NORRBOTTENS LÄN</t>
        </is>
      </c>
      <c r="G387" t="inlineStr">
        <is>
          <t>GÄLLIVARE</t>
        </is>
      </c>
      <c r="H387" t="inlineStr">
        <is>
          <t>Allmännings- och besparingsskogar</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37322-2026</t>
        </is>
      </c>
      <c r="B388" t="inlineStr">
        <is>
          <t>avverkningsanmälan</t>
        </is>
      </c>
      <c r="C388" t="inlineStr">
        <is>
          <t>Föryngringsavverkning</t>
        </is>
      </c>
      <c r="D388" s="1" t="n">
        <v>46275</v>
      </c>
      <c r="E388" s="1" t="n">
        <v>46314</v>
      </c>
      <c r="F388" t="inlineStr">
        <is>
          <t>NORRBOTTENS LÄN</t>
        </is>
      </c>
      <c r="G388" t="inlineStr">
        <is>
          <t>GÄLLIVARE</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9655-2024</t>
        </is>
      </c>
      <c r="B389" t="inlineStr">
        <is>
          <t>avverkningsanmälan</t>
        </is>
      </c>
      <c r="C389" t="inlineStr">
        <is>
          <t>Föryngringsavverkning</t>
        </is>
      </c>
      <c r="D389" s="1" t="n">
        <v>45362</v>
      </c>
      <c r="E389" s="1" t="n">
        <v>46314</v>
      </c>
      <c r="F389" t="inlineStr">
        <is>
          <t>NORRBOTTENS LÄN</t>
        </is>
      </c>
      <c r="G389" t="inlineStr">
        <is>
          <t>GÄLLIVARE</t>
        </is>
      </c>
      <c r="H389" t="inlineStr">
        <is>
          <t>Sveaskog</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37825-2026</t>
        </is>
      </c>
      <c r="B390" t="inlineStr">
        <is>
          <t>avverkningsanmälan</t>
        </is>
      </c>
      <c r="C390" t="inlineStr">
        <is>
          <t>Föryngringsavverkning</t>
        </is>
      </c>
      <c r="D390" s="1" t="n">
        <v>46279</v>
      </c>
      <c r="E390" s="1" t="n">
        <v>46314</v>
      </c>
      <c r="F390" t="inlineStr">
        <is>
          <t>NORRBOTTENS LÄN</t>
        </is>
      </c>
      <c r="G390" t="inlineStr">
        <is>
          <t>GÄLLIVARE</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55221-2022</t>
        </is>
      </c>
      <c r="B391" t="inlineStr">
        <is>
          <t>avverkningsanmälan</t>
        </is>
      </c>
      <c r="C391" t="inlineStr">
        <is>
          <t>Föryngringsavverkning</t>
        </is>
      </c>
      <c r="D391" s="1" t="n">
        <v>44886</v>
      </c>
      <c r="E391" s="1" t="n">
        <v>46314</v>
      </c>
      <c r="F391" t="inlineStr">
        <is>
          <t>NORRBOTTENS LÄN</t>
        </is>
      </c>
      <c r="G391" t="inlineStr">
        <is>
          <t>GÄLLIVARE</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37816-2026</t>
        </is>
      </c>
      <c r="B392" t="inlineStr">
        <is>
          <t>avverkningsanmälan</t>
        </is>
      </c>
      <c r="C392" t="inlineStr">
        <is>
          <t>Föryngringsavverkning</t>
        </is>
      </c>
      <c r="D392" s="1" t="n">
        <v>46279</v>
      </c>
      <c r="E392" s="1" t="n">
        <v>46314</v>
      </c>
      <c r="F392" t="inlineStr">
        <is>
          <t>NORRBOTTENS LÄN</t>
        </is>
      </c>
      <c r="G392" t="inlineStr">
        <is>
          <t>GÄLLIVARE</t>
        </is>
      </c>
      <c r="H392" t="inlineStr">
        <is>
          <t>Sveaskog</t>
        </is>
      </c>
      <c r="I392" t="n">
        <v>16.6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37749-2026</t>
        </is>
      </c>
      <c r="B393" t="inlineStr">
        <is>
          <t>avverkningsanmälan</t>
        </is>
      </c>
      <c r="C393" t="inlineStr">
        <is>
          <t>Föryngringsavverkning</t>
        </is>
      </c>
      <c r="D393" s="1" t="n">
        <v>46279</v>
      </c>
      <c r="E393" s="1" t="n">
        <v>46314</v>
      </c>
      <c r="F393" t="inlineStr">
        <is>
          <t>NORRBOTTENS LÄN</t>
        </is>
      </c>
      <c r="G393" t="inlineStr">
        <is>
          <t>GÄLLIVARE</t>
        </is>
      </c>
      <c r="H393" t="inlineStr">
        <is>
          <t>SCA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37752-2026</t>
        </is>
      </c>
      <c r="B394" t="inlineStr">
        <is>
          <t>avverkningsanmälan</t>
        </is>
      </c>
      <c r="C394" t="inlineStr">
        <is>
          <t>Föryngringsavverkning</t>
        </is>
      </c>
      <c r="D394" s="1" t="n">
        <v>46279</v>
      </c>
      <c r="E394" s="1" t="n">
        <v>46314</v>
      </c>
      <c r="F394" t="inlineStr">
        <is>
          <t>NORRBOTTENS LÄN</t>
        </is>
      </c>
      <c r="G394" t="inlineStr">
        <is>
          <t>GÄLLIVARE</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32299-2026</t>
        </is>
      </c>
      <c r="B395" t="inlineStr">
        <is>
          <t>avverkningsanmälan</t>
        </is>
      </c>
      <c r="C395" t="inlineStr">
        <is>
          <t>Föryngringsavverkning</t>
        </is>
      </c>
      <c r="D395" s="1" t="n">
        <v>46237</v>
      </c>
      <c r="E395" s="1" t="n">
        <v>46314</v>
      </c>
      <c r="F395" t="inlineStr">
        <is>
          <t>NORRBOTTENS LÄN</t>
        </is>
      </c>
      <c r="G395" t="inlineStr">
        <is>
          <t>GÄLLIVARE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37170-2026</t>
        </is>
      </c>
      <c r="B396" t="inlineStr">
        <is>
          <t>avverkningsanmälan</t>
        </is>
      </c>
      <c r="C396" t="inlineStr">
        <is>
          <t>Föryngringsavverkning</t>
        </is>
      </c>
      <c r="D396" s="1" t="n">
        <v>46274</v>
      </c>
      <c r="E396" s="1" t="n">
        <v>46314</v>
      </c>
      <c r="F396" t="inlineStr">
        <is>
          <t>NORRBOTTENS LÄN</t>
        </is>
      </c>
      <c r="G396" t="inlineStr">
        <is>
          <t>GÄLLIVARE</t>
        </is>
      </c>
      <c r="H396" t="inlineStr">
        <is>
          <t>Allmännings- och besparingsskogar</t>
        </is>
      </c>
      <c r="I396" t="n">
        <v>21.3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44398-2023</t>
        </is>
      </c>
      <c r="B397" t="inlineStr">
        <is>
          <t>avverkningsanmälan</t>
        </is>
      </c>
      <c r="C397" t="inlineStr">
        <is>
          <t>Föryngringsavverkning</t>
        </is>
      </c>
      <c r="D397" s="1" t="n">
        <v>45188</v>
      </c>
      <c r="E397" s="1" t="n">
        <v>46314</v>
      </c>
      <c r="F397" t="inlineStr">
        <is>
          <t>NORRBOTTENS LÄN</t>
        </is>
      </c>
      <c r="G397" t="inlineStr">
        <is>
          <t>GÄLLIVARE</t>
        </is>
      </c>
      <c r="H397" t="inlineStr">
        <is>
          <t>SCA</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38204-2026</t>
        </is>
      </c>
      <c r="B398" t="inlineStr">
        <is>
          <t>avverkningsanmälan</t>
        </is>
      </c>
      <c r="C398" t="inlineStr">
        <is>
          <t>Föryngringsavverkning</t>
        </is>
      </c>
      <c r="D398" s="1" t="n">
        <v>46281</v>
      </c>
      <c r="E398" s="1" t="n">
        <v>46314</v>
      </c>
      <c r="F398" t="inlineStr">
        <is>
          <t>NORRBOTTENS LÄN</t>
        </is>
      </c>
      <c r="G398" t="inlineStr">
        <is>
          <t>GÄLLIVARE</t>
        </is>
      </c>
      <c r="H398" t="inlineStr">
        <is>
          <t>Sveaskog</t>
        </is>
      </c>
      <c r="I398" t="n">
        <v>13.3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38206-2026</t>
        </is>
      </c>
      <c r="B399" t="inlineStr">
        <is>
          <t>avverkningsanmälan</t>
        </is>
      </c>
      <c r="C399" t="inlineStr">
        <is>
          <t>Föryngringsavverkning</t>
        </is>
      </c>
      <c r="D399" s="1" t="n">
        <v>46281</v>
      </c>
      <c r="E399" s="1" t="n">
        <v>46314</v>
      </c>
      <c r="F399" t="inlineStr">
        <is>
          <t>NORRBOTTENS LÄN</t>
        </is>
      </c>
      <c r="G399" t="inlineStr">
        <is>
          <t>GÄLLIVARE</t>
        </is>
      </c>
      <c r="H399" t="inlineStr">
        <is>
          <t>Sveaskog</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38131-2026</t>
        </is>
      </c>
      <c r="B400" t="inlineStr">
        <is>
          <t>avverkningsanmälan</t>
        </is>
      </c>
      <c r="C400" t="inlineStr">
        <is>
          <t>Föryngringsavverkning</t>
        </is>
      </c>
      <c r="D400" s="1" t="n">
        <v>46280</v>
      </c>
      <c r="E400" s="1" t="n">
        <v>46314</v>
      </c>
      <c r="F400" t="inlineStr">
        <is>
          <t>NORRBOTTENS LÄN</t>
        </is>
      </c>
      <c r="G400" t="inlineStr">
        <is>
          <t>GÄLLIVARE</t>
        </is>
      </c>
      <c r="H400" t="inlineStr">
        <is>
          <t>Allmännings- och besparingsskogar</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17205-2024</t>
        </is>
      </c>
      <c r="B401" t="inlineStr">
        <is>
          <t>avverkningsanmälan</t>
        </is>
      </c>
      <c r="C401" t="inlineStr">
        <is>
          <t>Föryngringsavverkning</t>
        </is>
      </c>
      <c r="D401" s="1" t="n">
        <v>45413</v>
      </c>
      <c r="E401" s="1" t="n">
        <v>46314</v>
      </c>
      <c r="F401" t="inlineStr">
        <is>
          <t>NORRBOTTENS LÄN</t>
        </is>
      </c>
      <c r="G401" t="inlineStr">
        <is>
          <t>GÄLLIVARE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37169-2026</t>
        </is>
      </c>
      <c r="B402" t="inlineStr">
        <is>
          <t>avverkningsanmälan</t>
        </is>
      </c>
      <c r="C402" t="inlineStr">
        <is>
          <t>Föryngringsavverkning</t>
        </is>
      </c>
      <c r="D402" s="1" t="n">
        <v>46274</v>
      </c>
      <c r="E402" s="1" t="n">
        <v>46314</v>
      </c>
      <c r="F402" t="inlineStr">
        <is>
          <t>NORRBOTTENS LÄN</t>
        </is>
      </c>
      <c r="G402" t="inlineStr">
        <is>
          <t>GÄLLIVARE</t>
        </is>
      </c>
      <c r="H402" t="inlineStr">
        <is>
          <t>Allmännings- och besparingsskogar</t>
        </is>
      </c>
      <c r="I402" t="n">
        <v>27.5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37051-2026</t>
        </is>
      </c>
      <c r="B403" t="inlineStr">
        <is>
          <t>avverkningsanmälan</t>
        </is>
      </c>
      <c r="C403" t="inlineStr">
        <is>
          <t>Avverkning för annat ändamål</t>
        </is>
      </c>
      <c r="D403" s="1" t="n">
        <v>46273</v>
      </c>
      <c r="E403" s="1" t="n">
        <v>46314</v>
      </c>
      <c r="F403" t="inlineStr">
        <is>
          <t>NORRBOTTENS LÄN</t>
        </is>
      </c>
      <c r="G403" t="inlineStr">
        <is>
          <t>GÄLLIVARE</t>
        </is>
      </c>
      <c r="H403" t="inlineStr">
        <is>
          <t>SCA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9650-2024</t>
        </is>
      </c>
      <c r="B404" t="inlineStr">
        <is>
          <t>avverkningsanmälan</t>
        </is>
      </c>
      <c r="C404" t="inlineStr">
        <is>
          <t>Föryngringsavverkning</t>
        </is>
      </c>
      <c r="D404" s="1" t="n">
        <v>45362</v>
      </c>
      <c r="E404" s="1" t="n">
        <v>46314</v>
      </c>
      <c r="F404" t="inlineStr">
        <is>
          <t>NORRBOTTENS LÄN</t>
        </is>
      </c>
      <c r="G404" t="inlineStr">
        <is>
          <t>GÄLLIVARE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4768-2023</t>
        </is>
      </c>
      <c r="B405" t="inlineStr">
        <is>
          <t>avverkningsanmälan</t>
        </is>
      </c>
      <c r="C405" t="inlineStr">
        <is>
          <t>Föryngringsavverkning</t>
        </is>
      </c>
      <c r="D405" s="1" t="n">
        <v>44953</v>
      </c>
      <c r="E405" s="1" t="n">
        <v>46314</v>
      </c>
      <c r="F405" t="inlineStr">
        <is>
          <t>NORRBOTTENS LÄN</t>
        </is>
      </c>
      <c r="G405" t="inlineStr">
        <is>
          <t>GÄLLIVARE</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59172-2022</t>
        </is>
      </c>
      <c r="B406" t="inlineStr">
        <is>
          <t>avverkningsanmälan</t>
        </is>
      </c>
      <c r="C406" t="inlineStr">
        <is>
          <t>Föryngringsavverkning</t>
        </is>
      </c>
      <c r="D406" s="1" t="n">
        <v>44904</v>
      </c>
      <c r="E406" s="1" t="n">
        <v>46314</v>
      </c>
      <c r="F406" t="inlineStr">
        <is>
          <t>NORRBOTTENS LÄN</t>
        </is>
      </c>
      <c r="G406" t="inlineStr">
        <is>
          <t>GÄLLIVARE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38848-2026</t>
        </is>
      </c>
      <c r="B407" t="inlineStr">
        <is>
          <t>avverkningsanmälan</t>
        </is>
      </c>
      <c r="C407" t="inlineStr">
        <is>
          <t>Föryngringsavverkning</t>
        </is>
      </c>
      <c r="D407" s="1" t="n">
        <v>46286</v>
      </c>
      <c r="E407" s="1" t="n">
        <v>46314</v>
      </c>
      <c r="F407" t="inlineStr">
        <is>
          <t>NORRBOTTENS LÄN</t>
        </is>
      </c>
      <c r="G407" t="inlineStr">
        <is>
          <t>GÄLLIVARE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38817-2026</t>
        </is>
      </c>
      <c r="B408" t="inlineStr">
        <is>
          <t>avverkningsanmälan</t>
        </is>
      </c>
      <c r="C408" t="inlineStr">
        <is>
          <t>Föryngringsavverkning</t>
        </is>
      </c>
      <c r="D408" s="1" t="n">
        <v>46286</v>
      </c>
      <c r="E408" s="1" t="n">
        <v>46314</v>
      </c>
      <c r="F408" t="inlineStr">
        <is>
          <t>NORRBOTTENS LÄN</t>
        </is>
      </c>
      <c r="G408" t="inlineStr">
        <is>
          <t>GÄLLIVARE</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33016-2026</t>
        </is>
      </c>
      <c r="B409" t="inlineStr">
        <is>
          <t>avverkningsanmälan</t>
        </is>
      </c>
      <c r="C409" t="inlineStr">
        <is>
          <t>Föryngringsavverkning</t>
        </is>
      </c>
      <c r="D409" s="1" t="n">
        <v>46244</v>
      </c>
      <c r="E409" s="1" t="n">
        <v>46314</v>
      </c>
      <c r="F409" t="inlineStr">
        <is>
          <t>NORRBOTTENS LÄN</t>
        </is>
      </c>
      <c r="G409" t="inlineStr">
        <is>
          <t>GÄLLIVARE</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12202-2024</t>
        </is>
      </c>
      <c r="B410" t="inlineStr">
        <is>
          <t>avverkningsanmälan</t>
        </is>
      </c>
      <c r="C410" t="inlineStr">
        <is>
          <t>Föryngringsavverkning</t>
        </is>
      </c>
      <c r="D410" s="1" t="n">
        <v>45377</v>
      </c>
      <c r="E410" s="1" t="n">
        <v>46314</v>
      </c>
      <c r="F410" t="inlineStr">
        <is>
          <t>NORRBOTTENS LÄN</t>
        </is>
      </c>
      <c r="G410" t="inlineStr">
        <is>
          <t>GÄLLIVARE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36556-2025</t>
        </is>
      </c>
      <c r="B411" t="inlineStr">
        <is>
          <t>avverkningsanmälan</t>
        </is>
      </c>
      <c r="C411" t="inlineStr">
        <is>
          <t>Föryngringsavverkning</t>
        </is>
      </c>
      <c r="D411" s="1" t="n">
        <v>45870</v>
      </c>
      <c r="E411" s="1" t="n">
        <v>46314</v>
      </c>
      <c r="F411" t="inlineStr">
        <is>
          <t>NORRBOTTENS LÄN</t>
        </is>
      </c>
      <c r="G411" t="inlineStr">
        <is>
          <t>GÄLLIVARE</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41944-2024</t>
        </is>
      </c>
      <c r="B412" t="inlineStr">
        <is>
          <t>avverkningsanmälan</t>
        </is>
      </c>
      <c r="C412" t="inlineStr">
        <is>
          <t>Föryngringsavverkning</t>
        </is>
      </c>
      <c r="D412" s="1" t="n">
        <v>45561</v>
      </c>
      <c r="E412" s="1" t="n">
        <v>46314</v>
      </c>
      <c r="F412" t="inlineStr">
        <is>
          <t>NORRBOTTENS LÄN</t>
        </is>
      </c>
      <c r="G412" t="inlineStr">
        <is>
          <t>GÄLLIVARE</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73335-2021</t>
        </is>
      </c>
      <c r="B413" t="inlineStr">
        <is>
          <t>avverkningsanmälan</t>
        </is>
      </c>
      <c r="C413" t="inlineStr">
        <is>
          <t>Föryngringsavverkning</t>
        </is>
      </c>
      <c r="D413" s="1" t="n">
        <v>44550</v>
      </c>
      <c r="E413" s="1" t="n">
        <v>46314</v>
      </c>
      <c r="F413" t="inlineStr">
        <is>
          <t>NORRBOTTENS LÄN</t>
        </is>
      </c>
      <c r="G413" t="inlineStr">
        <is>
          <t>GÄLLIVARE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41169-2025</t>
        </is>
      </c>
      <c r="B414" t="inlineStr">
        <is>
          <t>avverkningsanmälan</t>
        </is>
      </c>
      <c r="C414" t="inlineStr">
        <is>
          <t>Föryngringsavverkning</t>
        </is>
      </c>
      <c r="D414" s="1" t="n">
        <v>45898</v>
      </c>
      <c r="E414" s="1" t="n">
        <v>46314</v>
      </c>
      <c r="F414" t="inlineStr">
        <is>
          <t>NORRBOTTENS LÄN</t>
        </is>
      </c>
      <c r="G414" t="inlineStr">
        <is>
          <t>GÄLLIVARE</t>
        </is>
      </c>
      <c r="H414" t="inlineStr">
        <is>
          <t>Sveaskog</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32831-2026</t>
        </is>
      </c>
      <c r="B415" t="inlineStr">
        <is>
          <t>avverkningsanmälan</t>
        </is>
      </c>
      <c r="C415" t="inlineStr">
        <is>
          <t>Föryngringsavverkning</t>
        </is>
      </c>
      <c r="D415" s="1" t="n">
        <v>46243</v>
      </c>
      <c r="E415" s="1" t="n">
        <v>46314</v>
      </c>
      <c r="F415" t="inlineStr">
        <is>
          <t>NORRBOTTENS LÄN</t>
        </is>
      </c>
      <c r="G415" t="inlineStr">
        <is>
          <t>GÄLLIVARE</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10652-2022</t>
        </is>
      </c>
      <c r="B416" t="inlineStr">
        <is>
          <t>avverkningsanmälan</t>
        </is>
      </c>
      <c r="C416" t="inlineStr">
        <is>
          <t>Avverkning för annat ändamål</t>
        </is>
      </c>
      <c r="D416" s="1" t="n">
        <v>44624</v>
      </c>
      <c r="E416" s="1" t="n">
        <v>46314</v>
      </c>
      <c r="F416" t="inlineStr">
        <is>
          <t>NORRBOTTENS LÄN</t>
        </is>
      </c>
      <c r="G416" t="inlineStr">
        <is>
          <t>GÄLLIVARE</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39193-2026</t>
        </is>
      </c>
      <c r="B417" t="inlineStr">
        <is>
          <t>avverkningsanmälan</t>
        </is>
      </c>
      <c r="C417" t="inlineStr">
        <is>
          <t>Föryngringsavverkning</t>
        </is>
      </c>
      <c r="D417" s="1" t="n">
        <v>46287</v>
      </c>
      <c r="E417" s="1" t="n">
        <v>46314</v>
      </c>
      <c r="F417" t="inlineStr">
        <is>
          <t>NORRBOTTENS LÄN</t>
        </is>
      </c>
      <c r="G417" t="inlineStr">
        <is>
          <t>GÄLLIVARE</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44981-2023</t>
        </is>
      </c>
      <c r="B418" t="inlineStr">
        <is>
          <t>avverkningsanmälan</t>
        </is>
      </c>
      <c r="C418" t="inlineStr">
        <is>
          <t>Föryngringsavverkning</t>
        </is>
      </c>
      <c r="D418" s="1" t="n">
        <v>45190</v>
      </c>
      <c r="E418" s="1" t="n">
        <v>46314</v>
      </c>
      <c r="F418" t="inlineStr">
        <is>
          <t>NORRBOTTENS LÄN</t>
        </is>
      </c>
      <c r="G418" t="inlineStr">
        <is>
          <t>GÄLLIVARE</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55044-2023</t>
        </is>
      </c>
      <c r="B419" t="inlineStr">
        <is>
          <t>avverkningsanmälan</t>
        </is>
      </c>
      <c r="C419" t="inlineStr">
        <is>
          <t>Föryngringsavverkning</t>
        </is>
      </c>
      <c r="D419" s="1" t="n">
        <v>45237</v>
      </c>
      <c r="E419" s="1" t="n">
        <v>46314</v>
      </c>
      <c r="F419" t="inlineStr">
        <is>
          <t>NORRBOTTENS LÄN</t>
        </is>
      </c>
      <c r="G419" t="inlineStr">
        <is>
          <t>GÄLLIVARE</t>
        </is>
      </c>
      <c r="H419" t="inlineStr">
        <is>
          <t>Sveaskog</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64262-2023</t>
        </is>
      </c>
      <c r="B420" t="inlineStr">
        <is>
          <t>avverkningsanmälan</t>
        </is>
      </c>
      <c r="C420" t="inlineStr">
        <is>
          <t>Föryngringsavverkning</t>
        </is>
      </c>
      <c r="D420" s="1" t="n">
        <v>45279</v>
      </c>
      <c r="E420" s="1" t="n">
        <v>46314</v>
      </c>
      <c r="F420" t="inlineStr">
        <is>
          <t>NORRBOTTENS LÄN</t>
        </is>
      </c>
      <c r="G420" t="inlineStr">
        <is>
          <t>GÄLLIVARE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33525-2026</t>
        </is>
      </c>
      <c r="B421" t="inlineStr">
        <is>
          <t>avverkningsanmälan</t>
        </is>
      </c>
      <c r="C421" t="inlineStr">
        <is>
          <t>Föryngringsavverkning</t>
        </is>
      </c>
      <c r="D421" s="1" t="n">
        <v>46248</v>
      </c>
      <c r="E421" s="1" t="n">
        <v>46314</v>
      </c>
      <c r="F421" t="inlineStr">
        <is>
          <t>NORRBOTTENS LÄN</t>
        </is>
      </c>
      <c r="G421" t="inlineStr">
        <is>
          <t>GÄLLIVARE</t>
        </is>
      </c>
      <c r="H421" t="inlineStr">
        <is>
          <t>Sveaskog</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20259-2025</t>
        </is>
      </c>
      <c r="B422" t="inlineStr">
        <is>
          <t>avverkningsanmälan</t>
        </is>
      </c>
      <c r="C422" t="inlineStr">
        <is>
          <t>Föryngringsavverkning</t>
        </is>
      </c>
      <c r="D422" s="1" t="n">
        <v>45773</v>
      </c>
      <c r="E422" s="1" t="n">
        <v>46314</v>
      </c>
      <c r="F422" t="inlineStr">
        <is>
          <t>NORRBOTTENS LÄN</t>
        </is>
      </c>
      <c r="G422" t="inlineStr">
        <is>
          <t>GÄLLIVARE</t>
        </is>
      </c>
      <c r="H422" t="inlineStr">
        <is>
          <t>SCA</t>
        </is>
      </c>
      <c r="I422" t="n">
        <v>25.2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64372-2023</t>
        </is>
      </c>
      <c r="B423" t="inlineStr">
        <is>
          <t>avverkningsanmälan</t>
        </is>
      </c>
      <c r="C423" t="inlineStr">
        <is>
          <t>Avverkning för annat ändamål</t>
        </is>
      </c>
      <c r="D423" s="1" t="n">
        <v>45280</v>
      </c>
      <c r="E423" s="1" t="n">
        <v>46314</v>
      </c>
      <c r="F423" t="inlineStr">
        <is>
          <t>NORRBOTTENS LÄN</t>
        </is>
      </c>
      <c r="G423" t="inlineStr">
        <is>
          <t>GÄLLIVARE</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40166-2026</t>
        </is>
      </c>
      <c r="B424" t="inlineStr">
        <is>
          <t>avverkningsanmälan</t>
        </is>
      </c>
      <c r="C424" t="inlineStr">
        <is>
          <t>Föryngringsavverkning</t>
        </is>
      </c>
      <c r="D424" s="1" t="n">
        <v>46293</v>
      </c>
      <c r="E424" s="1" t="n">
        <v>46314</v>
      </c>
      <c r="F424" t="inlineStr">
        <is>
          <t>NORRBOTTENS LÄN</t>
        </is>
      </c>
      <c r="G424" t="inlineStr">
        <is>
          <t>GÄLLIVARE</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39712-2026</t>
        </is>
      </c>
      <c r="B425" t="inlineStr">
        <is>
          <t>avverkningsanmälan</t>
        </is>
      </c>
      <c r="C425" t="inlineStr">
        <is>
          <t>Föryngringsavverkning</t>
        </is>
      </c>
      <c r="D425" s="1" t="n">
        <v>46289</v>
      </c>
      <c r="E425" s="1" t="n">
        <v>46314</v>
      </c>
      <c r="F425" t="inlineStr">
        <is>
          <t>NORRBOTTENS LÄN</t>
        </is>
      </c>
      <c r="G425" t="inlineStr">
        <is>
          <t>GÄLLIVARE</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30781-2023</t>
        </is>
      </c>
      <c r="B426" t="inlineStr">
        <is>
          <t>avverkningsanmälan</t>
        </is>
      </c>
      <c r="C426" t="inlineStr">
        <is>
          <t>Föryngringsavverkning</t>
        </is>
      </c>
      <c r="D426" s="1" t="n">
        <v>45112</v>
      </c>
      <c r="E426" s="1" t="n">
        <v>46314</v>
      </c>
      <c r="F426" t="inlineStr">
        <is>
          <t>NORRBOTTENS LÄN</t>
        </is>
      </c>
      <c r="G426" t="inlineStr">
        <is>
          <t>GÄLLIVARE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40025-2026</t>
        </is>
      </c>
      <c r="B427" t="inlineStr">
        <is>
          <t>avverkningsanmälan</t>
        </is>
      </c>
      <c r="C427" t="inlineStr">
        <is>
          <t>Föryngringsavverkning</t>
        </is>
      </c>
      <c r="D427" s="1" t="n">
        <v>46293</v>
      </c>
      <c r="E427" s="1" t="n">
        <v>46314</v>
      </c>
      <c r="F427" t="inlineStr">
        <is>
          <t>NORRBOTTENS LÄN</t>
        </is>
      </c>
      <c r="G427" t="inlineStr">
        <is>
          <t>GÄLLIVARE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42906-2025</t>
        </is>
      </c>
      <c r="B428" t="inlineStr">
        <is>
          <t>avverkningsanmälan</t>
        </is>
      </c>
      <c r="C428" t="inlineStr">
        <is>
          <t>Föryngringsavverkning</t>
        </is>
      </c>
      <c r="D428" s="1" t="n">
        <v>45908</v>
      </c>
      <c r="E428" s="1" t="n">
        <v>46314</v>
      </c>
      <c r="F428" t="inlineStr">
        <is>
          <t>NORRBOTTENS LÄN</t>
        </is>
      </c>
      <c r="G428" t="inlineStr">
        <is>
          <t>GÄLLIVARE</t>
        </is>
      </c>
      <c r="H428" t="inlineStr">
        <is>
          <t>Sveaskog</t>
        </is>
      </c>
      <c r="I428" t="n">
        <v>8.800000000000001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40086-2026</t>
        </is>
      </c>
      <c r="B429" t="inlineStr">
        <is>
          <t>avverkningsanmälan</t>
        </is>
      </c>
      <c r="C429" t="inlineStr">
        <is>
          <t>Föryngringsavverkning</t>
        </is>
      </c>
      <c r="D429" s="1" t="n">
        <v>46293</v>
      </c>
      <c r="E429" s="1" t="n">
        <v>46314</v>
      </c>
      <c r="F429" t="inlineStr">
        <is>
          <t>NORRBOTTENS LÄN</t>
        </is>
      </c>
      <c r="G429" t="inlineStr">
        <is>
          <t>GÄLLIVARE</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40137-2026</t>
        </is>
      </c>
      <c r="B430" t="inlineStr">
        <is>
          <t>avverkningsanmälan</t>
        </is>
      </c>
      <c r="C430" t="inlineStr">
        <is>
          <t>Föryngringsavverkning</t>
        </is>
      </c>
      <c r="D430" s="1" t="n">
        <v>46293</v>
      </c>
      <c r="E430" s="1" t="n">
        <v>46314</v>
      </c>
      <c r="F430" t="inlineStr">
        <is>
          <t>NORRBOTTENS LÄN</t>
        </is>
      </c>
      <c r="G430" t="inlineStr">
        <is>
          <t>GÄLLIVARE</t>
        </is>
      </c>
      <c r="H430" t="inlineStr">
        <is>
          <t>SCA</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29563-2026</t>
        </is>
      </c>
      <c r="B431" t="inlineStr">
        <is>
          <t>avverkningsanmälan</t>
        </is>
      </c>
      <c r="C431" t="inlineStr">
        <is>
          <t>Föryngringsavverkning</t>
        </is>
      </c>
      <c r="D431" s="1" t="n">
        <v>46204</v>
      </c>
      <c r="E431" s="1" t="n">
        <v>46314</v>
      </c>
      <c r="F431" t="inlineStr">
        <is>
          <t>NORRBOTTENS LÄN</t>
        </is>
      </c>
      <c r="G431" t="inlineStr">
        <is>
          <t>GÄLLIVARE</t>
        </is>
      </c>
      <c r="H431" t="inlineStr">
        <is>
          <t>SCA</t>
        </is>
      </c>
      <c r="I431" t="n">
        <v>17.2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41843-2024</t>
        </is>
      </c>
      <c r="B432" t="inlineStr">
        <is>
          <t>avverkningsanmälan</t>
        </is>
      </c>
      <c r="C432" t="inlineStr">
        <is>
          <t>Föryngringsavverkning</t>
        </is>
      </c>
      <c r="D432" s="1" t="n">
        <v>45561</v>
      </c>
      <c r="E432" s="1" t="n">
        <v>46314</v>
      </c>
      <c r="F432" t="inlineStr">
        <is>
          <t>NORRBOTTENS LÄN</t>
        </is>
      </c>
      <c r="G432" t="inlineStr">
        <is>
          <t>GÄLLIVARE</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41870-2024</t>
        </is>
      </c>
      <c r="B433" t="inlineStr">
        <is>
          <t>avverkningsanmälan</t>
        </is>
      </c>
      <c r="C433" t="inlineStr">
        <is>
          <t>Föryngringsavverkning</t>
        </is>
      </c>
      <c r="D433" s="1" t="n">
        <v>45561</v>
      </c>
      <c r="E433" s="1" t="n">
        <v>46314</v>
      </c>
      <c r="F433" t="inlineStr">
        <is>
          <t>NORRBOTTENS LÄN</t>
        </is>
      </c>
      <c r="G433" t="inlineStr">
        <is>
          <t>GÄLLIVARE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38855-2026</t>
        </is>
      </c>
      <c r="B434" t="inlineStr">
        <is>
          <t>avverkningsanmälan</t>
        </is>
      </c>
      <c r="C434" t="inlineStr">
        <is>
          <t>Föryngringsavverkning</t>
        </is>
      </c>
      <c r="D434" s="1" t="n">
        <v>46286</v>
      </c>
      <c r="E434" s="1" t="n">
        <v>46314</v>
      </c>
      <c r="F434" t="inlineStr">
        <is>
          <t>NORRBOTTENS LÄN</t>
        </is>
      </c>
      <c r="G434" t="inlineStr">
        <is>
          <t>GÄLLIVARE</t>
        </is>
      </c>
      <c r="I434" t="n">
        <v>10.6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33848-2026</t>
        </is>
      </c>
      <c r="B435" t="inlineStr">
        <is>
          <t>avverkningsanmälan</t>
        </is>
      </c>
      <c r="C435" t="inlineStr">
        <is>
          <t>Föryngringsavverkning</t>
        </is>
      </c>
      <c r="D435" s="1" t="n">
        <v>46251</v>
      </c>
      <c r="E435" s="1" t="n">
        <v>46314</v>
      </c>
      <c r="F435" t="inlineStr">
        <is>
          <t>NORRBOTTENS LÄN</t>
        </is>
      </c>
      <c r="G435" t="inlineStr">
        <is>
          <t>GÄLLIVARE</t>
        </is>
      </c>
      <c r="H435" t="inlineStr">
        <is>
          <t>Sveaskog</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20126-2023</t>
        </is>
      </c>
      <c r="B436" t="inlineStr">
        <is>
          <t>avverkningsanmälan</t>
        </is>
      </c>
      <c r="C436" t="inlineStr">
        <is>
          <t>Avverkning för annat ändamål</t>
        </is>
      </c>
      <c r="D436" s="1" t="n">
        <v>45051</v>
      </c>
      <c r="E436" s="1" t="n">
        <v>46314</v>
      </c>
      <c r="F436" t="inlineStr">
        <is>
          <t>NORRBOTTENS LÄN</t>
        </is>
      </c>
      <c r="G436" t="inlineStr">
        <is>
          <t>GÄLLIVARE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40271-2026</t>
        </is>
      </c>
      <c r="B437" t="inlineStr">
        <is>
          <t>avverkningsanmälan</t>
        </is>
      </c>
      <c r="C437" t="inlineStr">
        <is>
          <t>Föryngringsavverkning</t>
        </is>
      </c>
      <c r="D437" s="1" t="n">
        <v>46294</v>
      </c>
      <c r="E437" s="1" t="n">
        <v>46314</v>
      </c>
      <c r="F437" t="inlineStr">
        <is>
          <t>NORRBOTTENS LÄN</t>
        </is>
      </c>
      <c r="G437" t="inlineStr">
        <is>
          <t>GÄLLIVARE</t>
        </is>
      </c>
      <c r="H437" t="inlineStr">
        <is>
          <t>Sveaskog</t>
        </is>
      </c>
      <c r="I437" t="n">
        <v>18.4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54281-2024</t>
        </is>
      </c>
      <c r="B438" t="inlineStr">
        <is>
          <t>avverkningsanmälan</t>
        </is>
      </c>
      <c r="C438" t="inlineStr">
        <is>
          <t>Avverkning för annat ändamål</t>
        </is>
      </c>
      <c r="D438" s="1" t="n">
        <v>45616</v>
      </c>
      <c r="E438" s="1" t="n">
        <v>46314</v>
      </c>
      <c r="F438" t="inlineStr">
        <is>
          <t>NORRBOTTENS LÄN</t>
        </is>
      </c>
      <c r="G438" t="inlineStr">
        <is>
          <t>GÄLLIVARE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33942-2026</t>
        </is>
      </c>
      <c r="B439" t="inlineStr">
        <is>
          <t>avverkningsanmälan</t>
        </is>
      </c>
      <c r="C439" t="inlineStr">
        <is>
          <t>Föryngringsavverkning</t>
        </is>
      </c>
      <c r="D439" s="1" t="n">
        <v>46252</v>
      </c>
      <c r="E439" s="1" t="n">
        <v>46314</v>
      </c>
      <c r="F439" t="inlineStr">
        <is>
          <t>NORRBOTTENS LÄN</t>
        </is>
      </c>
      <c r="G439" t="inlineStr">
        <is>
          <t>GÄLLIVARE</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33945-2026</t>
        </is>
      </c>
      <c r="B440" t="inlineStr">
        <is>
          <t>avverkningsanmälan</t>
        </is>
      </c>
      <c r="C440" t="inlineStr">
        <is>
          <t>Föryngringsavverkning</t>
        </is>
      </c>
      <c r="D440" s="1" t="n">
        <v>46252</v>
      </c>
      <c r="E440" s="1" t="n">
        <v>46314</v>
      </c>
      <c r="F440" t="inlineStr">
        <is>
          <t>NORRBOTTENS LÄN</t>
        </is>
      </c>
      <c r="G440" t="inlineStr">
        <is>
          <t>GÄLLIVARE</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62496-2022</t>
        </is>
      </c>
      <c r="B441" t="inlineStr">
        <is>
          <t>avverkningsanmälan</t>
        </is>
      </c>
      <c r="C441" t="inlineStr">
        <is>
          <t>Föryngringsavverkning</t>
        </is>
      </c>
      <c r="D441" s="1" t="n">
        <v>44916</v>
      </c>
      <c r="E441" s="1" t="n">
        <v>46314</v>
      </c>
      <c r="F441" t="inlineStr">
        <is>
          <t>NORRBOTTENS LÄN</t>
        </is>
      </c>
      <c r="G441" t="inlineStr">
        <is>
          <t>GÄLLIVARE</t>
        </is>
      </c>
      <c r="I441" t="n">
        <v>23.4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40780-2026</t>
        </is>
      </c>
      <c r="B442" t="inlineStr">
        <is>
          <t>avverkningsanmälan</t>
        </is>
      </c>
      <c r="C442" t="inlineStr">
        <is>
          <t>Föryngringsavverkning</t>
        </is>
      </c>
      <c r="D442" s="1" t="n">
        <v>46296</v>
      </c>
      <c r="E442" s="1" t="n">
        <v>46314</v>
      </c>
      <c r="F442" t="inlineStr">
        <is>
          <t>NORRBOTTENS LÄN</t>
        </is>
      </c>
      <c r="G442" t="inlineStr">
        <is>
          <t>GÄLLIVARE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31221-2026</t>
        </is>
      </c>
      <c r="B443" t="inlineStr">
        <is>
          <t>avverkningsanmälan</t>
        </is>
      </c>
      <c r="C443" t="inlineStr">
        <is>
          <t>Föryngringsavverkning</t>
        </is>
      </c>
      <c r="D443" s="1" t="n">
        <v>46217</v>
      </c>
      <c r="E443" s="1" t="n">
        <v>46314</v>
      </c>
      <c r="F443" t="inlineStr">
        <is>
          <t>NORRBOTTENS LÄN</t>
        </is>
      </c>
      <c r="G443" t="inlineStr">
        <is>
          <t>GÄLLIVARE</t>
        </is>
      </c>
      <c r="H443" t="inlineStr">
        <is>
          <t>Sveaskog</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11783-2025</t>
        </is>
      </c>
      <c r="B444" t="inlineStr">
        <is>
          <t>avverkningsanmälan</t>
        </is>
      </c>
      <c r="C444" t="inlineStr">
        <is>
          <t>Föryngringsavverkning</t>
        </is>
      </c>
      <c r="D444" s="1" t="n">
        <v>45727</v>
      </c>
      <c r="E444" s="1" t="n">
        <v>46314</v>
      </c>
      <c r="F444" t="inlineStr">
        <is>
          <t>NORRBOTTENS LÄN</t>
        </is>
      </c>
      <c r="G444" t="inlineStr">
        <is>
          <t>GÄLLIVARE</t>
        </is>
      </c>
      <c r="H444" t="inlineStr">
        <is>
          <t>SCA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32960-2026</t>
        </is>
      </c>
      <c r="B445" t="inlineStr">
        <is>
          <t>avverkningsanmälan</t>
        </is>
      </c>
      <c r="C445" t="inlineStr">
        <is>
          <t>Föryngringsavverkning</t>
        </is>
      </c>
      <c r="D445" s="1" t="n">
        <v>46244</v>
      </c>
      <c r="E445" s="1" t="n">
        <v>46314</v>
      </c>
      <c r="F445" t="inlineStr">
        <is>
          <t>NORRBOTTENS LÄN</t>
        </is>
      </c>
      <c r="G445" t="inlineStr">
        <is>
          <t>GÄLLIVARE</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34365-2026</t>
        </is>
      </c>
      <c r="B446" t="inlineStr">
        <is>
          <t>avverkningsanmälan</t>
        </is>
      </c>
      <c r="C446" t="inlineStr">
        <is>
          <t>Föryngringsavverkning</t>
        </is>
      </c>
      <c r="D446" s="1" t="n">
        <v>46254</v>
      </c>
      <c r="E446" s="1" t="n">
        <v>46314</v>
      </c>
      <c r="F446" t="inlineStr">
        <is>
          <t>NORRBOTTENS LÄN</t>
        </is>
      </c>
      <c r="G446" t="inlineStr">
        <is>
          <t>GÄLLIVARE</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34368-2026</t>
        </is>
      </c>
      <c r="B447" t="inlineStr">
        <is>
          <t>avverkningsanmälan</t>
        </is>
      </c>
      <c r="C447" t="inlineStr">
        <is>
          <t>Föryngringsavverkning</t>
        </is>
      </c>
      <c r="D447" s="1" t="n">
        <v>46254</v>
      </c>
      <c r="E447" s="1" t="n">
        <v>46314</v>
      </c>
      <c r="F447" t="inlineStr">
        <is>
          <t>NORRBOTTENS LÄN</t>
        </is>
      </c>
      <c r="G447" t="inlineStr">
        <is>
          <t>GÄLLIVARE</t>
        </is>
      </c>
      <c r="H447" t="inlineStr">
        <is>
          <t>SCA</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34345-2026</t>
        </is>
      </c>
      <c r="B448" t="inlineStr">
        <is>
          <t>avverkningsanmälan</t>
        </is>
      </c>
      <c r="C448" t="inlineStr">
        <is>
          <t>Föryngringsavverkning</t>
        </is>
      </c>
      <c r="D448" s="1" t="n">
        <v>46254</v>
      </c>
      <c r="E448" s="1" t="n">
        <v>46314</v>
      </c>
      <c r="F448" t="inlineStr">
        <is>
          <t>NORRBOTTENS LÄN</t>
        </is>
      </c>
      <c r="G448" t="inlineStr">
        <is>
          <t>GÄLLIVARE</t>
        </is>
      </c>
      <c r="H448" t="inlineStr">
        <is>
          <t>SCA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34367-2026</t>
        </is>
      </c>
      <c r="B449" t="inlineStr">
        <is>
          <t>avverkningsanmälan</t>
        </is>
      </c>
      <c r="C449" t="inlineStr">
        <is>
          <t>Föryngringsavverkning</t>
        </is>
      </c>
      <c r="D449" s="1" t="n">
        <v>46254</v>
      </c>
      <c r="E449" s="1" t="n">
        <v>46314</v>
      </c>
      <c r="F449" t="inlineStr">
        <is>
          <t>NORRBOTTENS LÄN</t>
        </is>
      </c>
      <c r="G449" t="inlineStr">
        <is>
          <t>GÄLLIVARE</t>
        </is>
      </c>
      <c r="H449" t="inlineStr">
        <is>
          <t>SCA</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34450-2026</t>
        </is>
      </c>
      <c r="B450" t="inlineStr">
        <is>
          <t>avverkningsanmälan</t>
        </is>
      </c>
      <c r="C450" t="inlineStr">
        <is>
          <t>Föryngringsavverkning</t>
        </is>
      </c>
      <c r="D450" s="1" t="n">
        <v>46254</v>
      </c>
      <c r="E450" s="1" t="n">
        <v>46314</v>
      </c>
      <c r="F450" t="inlineStr">
        <is>
          <t>NORRBOTTENS LÄN</t>
        </is>
      </c>
      <c r="G450" t="inlineStr">
        <is>
          <t>GÄLLIVARE</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34451-2026</t>
        </is>
      </c>
      <c r="B451" t="inlineStr">
        <is>
          <t>avverkningsanmälan</t>
        </is>
      </c>
      <c r="C451" t="inlineStr">
        <is>
          <t>Föryngringsavverkning</t>
        </is>
      </c>
      <c r="D451" s="1" t="n">
        <v>46254</v>
      </c>
      <c r="E451" s="1" t="n">
        <v>46314</v>
      </c>
      <c r="F451" t="inlineStr">
        <is>
          <t>NORRBOTTENS LÄN</t>
        </is>
      </c>
      <c r="G451" t="inlineStr">
        <is>
          <t>GÄLLIVARE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47166-2023</t>
        </is>
      </c>
      <c r="B452" t="inlineStr">
        <is>
          <t>avverkningsanmälan</t>
        </is>
      </c>
      <c r="C452" t="inlineStr">
        <is>
          <t>Föryngringsavverkning</t>
        </is>
      </c>
      <c r="D452" s="1" t="n">
        <v>45201</v>
      </c>
      <c r="E452" s="1" t="n">
        <v>46314</v>
      </c>
      <c r="F452" t="inlineStr">
        <is>
          <t>NORRBOTTENS LÄN</t>
        </is>
      </c>
      <c r="G452" t="inlineStr">
        <is>
          <t>GÄLLIVARE</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34595-2026</t>
        </is>
      </c>
      <c r="B453" t="inlineStr">
        <is>
          <t>avverkningsanmälan</t>
        </is>
      </c>
      <c r="C453" t="inlineStr">
        <is>
          <t>Föryngringsavverkning</t>
        </is>
      </c>
      <c r="D453" s="1" t="n">
        <v>46255</v>
      </c>
      <c r="E453" s="1" t="n">
        <v>46314</v>
      </c>
      <c r="F453" t="inlineStr">
        <is>
          <t>NORRBOTTENS LÄN</t>
        </is>
      </c>
      <c r="G453" t="inlineStr">
        <is>
          <t>GÄLLIVARE</t>
        </is>
      </c>
      <c r="H453" t="inlineStr">
        <is>
          <t>SCA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41465-2026</t>
        </is>
      </c>
      <c r="B454" t="inlineStr">
        <is>
          <t>avverkningsanmälan</t>
        </is>
      </c>
      <c r="C454" t="inlineStr">
        <is>
          <t>Avverkning för annat ändamål</t>
        </is>
      </c>
      <c r="D454" s="1" t="n">
        <v>46300</v>
      </c>
      <c r="E454" s="1" t="n">
        <v>46314</v>
      </c>
      <c r="F454" t="inlineStr">
        <is>
          <t>NORRBOTTENS LÄN</t>
        </is>
      </c>
      <c r="G454" t="inlineStr">
        <is>
          <t>GÄLLIVARE</t>
        </is>
      </c>
      <c r="H454" t="inlineStr">
        <is>
          <t>Allmännings- och besparingsskogar</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41376-2026</t>
        </is>
      </c>
      <c r="B455" t="inlineStr">
        <is>
          <t>avverkningsanmälan</t>
        </is>
      </c>
      <c r="C455" t="inlineStr">
        <is>
          <t>Föryngringsavverkning</t>
        </is>
      </c>
      <c r="D455" s="1" t="n">
        <v>46300</v>
      </c>
      <c r="E455" s="1" t="n">
        <v>46314</v>
      </c>
      <c r="F455" t="inlineStr">
        <is>
          <t>NORRBOTTENS LÄN</t>
        </is>
      </c>
      <c r="G455" t="inlineStr">
        <is>
          <t>GÄLLIVARE</t>
        </is>
      </c>
      <c r="H455" t="inlineStr">
        <is>
          <t>Allmännings- och besparingsskogar</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41411-2026</t>
        </is>
      </c>
      <c r="B456" t="inlineStr">
        <is>
          <t>avverkningsanmälan</t>
        </is>
      </c>
      <c r="C456" t="inlineStr">
        <is>
          <t>Avverkning för annat ändamål</t>
        </is>
      </c>
      <c r="D456" s="1" t="n">
        <v>46301</v>
      </c>
      <c r="E456" s="1" t="n">
        <v>46314</v>
      </c>
      <c r="F456" t="inlineStr">
        <is>
          <t>NORRBOTTENS LÄN</t>
        </is>
      </c>
      <c r="G456" t="inlineStr">
        <is>
          <t>GÄLLIVARE</t>
        </is>
      </c>
      <c r="H456" t="inlineStr">
        <is>
          <t>Allmännings- och besparingsskogar</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34691-2026</t>
        </is>
      </c>
      <c r="B457" t="inlineStr">
        <is>
          <t>avverkningsanmälan</t>
        </is>
      </c>
      <c r="C457" t="inlineStr">
        <is>
          <t>Föryngringsavverkning</t>
        </is>
      </c>
      <c r="D457" s="1" t="n">
        <v>46258</v>
      </c>
      <c r="E457" s="1" t="n">
        <v>46314</v>
      </c>
      <c r="F457" t="inlineStr">
        <is>
          <t>NORRBOTTENS LÄN</t>
        </is>
      </c>
      <c r="G457" t="inlineStr">
        <is>
          <t>GÄLLIVARE</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41263-2026</t>
        </is>
      </c>
      <c r="B458" t="inlineStr">
        <is>
          <t>avverkningsanmälan</t>
        </is>
      </c>
      <c r="C458" t="inlineStr">
        <is>
          <t>Avverkning för annat ändamål</t>
        </is>
      </c>
      <c r="D458" s="1" t="n">
        <v>46300</v>
      </c>
      <c r="E458" s="1" t="n">
        <v>46314</v>
      </c>
      <c r="F458" t="inlineStr">
        <is>
          <t>NORRBOTTENS LÄN</t>
        </is>
      </c>
      <c r="G458" t="inlineStr">
        <is>
          <t>GÄLLIVARE</t>
        </is>
      </c>
      <c r="H458" t="inlineStr">
        <is>
          <t>Sveaskog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41273-2026</t>
        </is>
      </c>
      <c r="B459" t="inlineStr">
        <is>
          <t>avverkningsanmälan</t>
        </is>
      </c>
      <c r="C459" t="inlineStr">
        <is>
          <t>Avverkning för annat ändamål</t>
        </is>
      </c>
      <c r="D459" s="1" t="n">
        <v>46300</v>
      </c>
      <c r="E459" s="1" t="n">
        <v>46314</v>
      </c>
      <c r="F459" t="inlineStr">
        <is>
          <t>NORRBOTTENS LÄN</t>
        </is>
      </c>
      <c r="G459" t="inlineStr">
        <is>
          <t>GÄLLIVARE</t>
        </is>
      </c>
      <c r="H459" t="inlineStr">
        <is>
          <t>Sveaskog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34594-2026</t>
        </is>
      </c>
      <c r="B460" t="inlineStr">
        <is>
          <t>avverkningsanmälan</t>
        </is>
      </c>
      <c r="C460" t="inlineStr">
        <is>
          <t>Föryngringsavverkning</t>
        </is>
      </c>
      <c r="D460" s="1" t="n">
        <v>46255</v>
      </c>
      <c r="E460" s="1" t="n">
        <v>46314</v>
      </c>
      <c r="F460" t="inlineStr">
        <is>
          <t>NORRBOTTENS LÄN</t>
        </is>
      </c>
      <c r="G460" t="inlineStr">
        <is>
          <t>GÄLLIVARE</t>
        </is>
      </c>
      <c r="H460" t="inlineStr">
        <is>
          <t>SCA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41866-2026</t>
        </is>
      </c>
      <c r="B461" t="inlineStr">
        <is>
          <t>avverkningsanmälan</t>
        </is>
      </c>
      <c r="C461" t="inlineStr">
        <is>
          <t>Föryngringsavverkning</t>
        </is>
      </c>
      <c r="D461" s="1" t="n">
        <v>46303</v>
      </c>
      <c r="E461" s="1" t="n">
        <v>46314</v>
      </c>
      <c r="F461" t="inlineStr">
        <is>
          <t>NORRBOTTENS LÄN</t>
        </is>
      </c>
      <c r="G461" t="inlineStr">
        <is>
          <t>GÄLLIVARE</t>
        </is>
      </c>
      <c r="H461" t="inlineStr">
        <is>
          <t>Sveaskog</t>
        </is>
      </c>
      <c r="I461" t="n">
        <v>18.1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40011-2026</t>
        </is>
      </c>
      <c r="B462" t="inlineStr">
        <is>
          <t>avverkningsanmälan</t>
        </is>
      </c>
      <c r="C462" t="inlineStr">
        <is>
          <t>Föryngringsavverkning</t>
        </is>
      </c>
      <c r="D462" s="1" t="n">
        <v>46293</v>
      </c>
      <c r="E462" s="1" t="n">
        <v>46314</v>
      </c>
      <c r="F462" t="inlineStr">
        <is>
          <t>NORRBOTTENS LÄN</t>
        </is>
      </c>
      <c r="G462" t="inlineStr">
        <is>
          <t>GÄLLIVARE</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23607-2025</t>
        </is>
      </c>
      <c r="B463" t="inlineStr">
        <is>
          <t>avverkningsanmälan</t>
        </is>
      </c>
      <c r="C463" t="inlineStr">
        <is>
          <t>Föryngringsavverkning</t>
        </is>
      </c>
      <c r="D463" s="1" t="n">
        <v>45792</v>
      </c>
      <c r="E463" s="1" t="n">
        <v>46314</v>
      </c>
      <c r="F463" t="inlineStr">
        <is>
          <t>NORRBOTTENS LÄN</t>
        </is>
      </c>
      <c r="G463" t="inlineStr">
        <is>
          <t>GÄLLIVARE</t>
        </is>
      </c>
      <c r="H463" t="inlineStr">
        <is>
          <t>SCA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23638-2025</t>
        </is>
      </c>
      <c r="B464" t="inlineStr">
        <is>
          <t>avverkningsanmälan</t>
        </is>
      </c>
      <c r="C464" t="inlineStr">
        <is>
          <t>Föryngringsavverkning</t>
        </is>
      </c>
      <c r="D464" s="1" t="n">
        <v>45792</v>
      </c>
      <c r="E464" s="1" t="n">
        <v>46314</v>
      </c>
      <c r="F464" t="inlineStr">
        <is>
          <t>NORRBOTTENS LÄN</t>
        </is>
      </c>
      <c r="G464" t="inlineStr">
        <is>
          <t>GÄLLIVARE</t>
        </is>
      </c>
      <c r="H464" t="inlineStr">
        <is>
          <t>Allmännings- och besparingsskogar</t>
        </is>
      </c>
      <c r="I464" t="n">
        <v>19.3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24125-2025</t>
        </is>
      </c>
      <c r="B465" t="inlineStr">
        <is>
          <t>avverkningsanmälan</t>
        </is>
      </c>
      <c r="C465" t="inlineStr">
        <is>
          <t>Föryngringsavverkning</t>
        </is>
      </c>
      <c r="D465" s="1" t="n">
        <v>45796</v>
      </c>
      <c r="E465" s="1" t="n">
        <v>46314</v>
      </c>
      <c r="F465" t="inlineStr">
        <is>
          <t>NORRBOTTENS LÄN</t>
        </is>
      </c>
      <c r="G465" t="inlineStr">
        <is>
          <t>GÄLLIVARE</t>
        </is>
      </c>
      <c r="H465" t="inlineStr">
        <is>
          <t>Allmännings- och besparingsskogar</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24276-2025</t>
        </is>
      </c>
      <c r="B466" t="inlineStr">
        <is>
          <t>avverkningsanmälan</t>
        </is>
      </c>
      <c r="C466" t="inlineStr">
        <is>
          <t>Föryngringsavverkning</t>
        </is>
      </c>
      <c r="D466" s="1" t="n">
        <v>45797</v>
      </c>
      <c r="E466" s="1" t="n">
        <v>46314</v>
      </c>
      <c r="F466" t="inlineStr">
        <is>
          <t>NORRBOTTENS LÄN</t>
        </is>
      </c>
      <c r="G466" t="inlineStr">
        <is>
          <t>GÄLLIVARE</t>
        </is>
      </c>
      <c r="H466" t="inlineStr">
        <is>
          <t>SCA</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24237-2025</t>
        </is>
      </c>
      <c r="B467" t="inlineStr">
        <is>
          <t>avverkningsanmälan</t>
        </is>
      </c>
      <c r="C467" t="inlineStr">
        <is>
          <t>Föryngringsavverkning</t>
        </is>
      </c>
      <c r="D467" s="1" t="n">
        <v>45797</v>
      </c>
      <c r="E467" s="1" t="n">
        <v>46314</v>
      </c>
      <c r="F467" t="inlineStr">
        <is>
          <t>NORRBOTTENS LÄN</t>
        </is>
      </c>
      <c r="G467" t="inlineStr">
        <is>
          <t>GÄLLIVARE</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24139-2025</t>
        </is>
      </c>
      <c r="B468" t="inlineStr">
        <is>
          <t>avverkningsanmälan</t>
        </is>
      </c>
      <c r="C468" t="inlineStr">
        <is>
          <t>Föryngringsavverkning</t>
        </is>
      </c>
      <c r="D468" s="1" t="n">
        <v>45796</v>
      </c>
      <c r="E468" s="1" t="n">
        <v>46314</v>
      </c>
      <c r="F468" t="inlineStr">
        <is>
          <t>NORRBOTTENS LÄN</t>
        </is>
      </c>
      <c r="G468" t="inlineStr">
        <is>
          <t>GÄLLIVARE</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17547-2026</t>
        </is>
      </c>
      <c r="B469" t="inlineStr">
        <is>
          <t>avverkningsanmälan</t>
        </is>
      </c>
      <c r="C469" t="inlineStr">
        <is>
          <t>Föryngringsavverkning</t>
        </is>
      </c>
      <c r="D469" s="1" t="n">
        <v>46120</v>
      </c>
      <c r="E469" s="1" t="n">
        <v>46314</v>
      </c>
      <c r="F469" t="inlineStr">
        <is>
          <t>NORRBOTTENS LÄN</t>
        </is>
      </c>
      <c r="G469" t="inlineStr">
        <is>
          <t>GÄLLIVARE</t>
        </is>
      </c>
      <c r="I469" t="n">
        <v>47.4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24624-2025</t>
        </is>
      </c>
      <c r="B470" t="inlineStr">
        <is>
          <t>avverkningsanmälan</t>
        </is>
      </c>
      <c r="C470" t="inlineStr">
        <is>
          <t>Föryngringsavverkning</t>
        </is>
      </c>
      <c r="D470" s="1" t="n">
        <v>45798</v>
      </c>
      <c r="E470" s="1" t="n">
        <v>46314</v>
      </c>
      <c r="F470" t="inlineStr">
        <is>
          <t>NORRBOTTENS LÄN</t>
        </is>
      </c>
      <c r="G470" t="inlineStr">
        <is>
          <t>GÄLLIVARE</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35952-2026</t>
        </is>
      </c>
      <c r="B471" t="inlineStr">
        <is>
          <t>avverkningsanmälan</t>
        </is>
      </c>
      <c r="C471" t="inlineStr">
        <is>
          <t>Föryngringsavverkning</t>
        </is>
      </c>
      <c r="D471" s="1" t="n">
        <v>46266</v>
      </c>
      <c r="E471" s="1" t="n">
        <v>46314</v>
      </c>
      <c r="F471" t="inlineStr">
        <is>
          <t>NORRBOTTENS LÄN</t>
        </is>
      </c>
      <c r="G471" t="inlineStr">
        <is>
          <t>GÄLLIVARE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36022-2026</t>
        </is>
      </c>
      <c r="B472" t="inlineStr">
        <is>
          <t>avverkningsanmälan</t>
        </is>
      </c>
      <c r="C472" t="inlineStr">
        <is>
          <t>Föryngringsavverkning</t>
        </is>
      </c>
      <c r="D472" s="1" t="n">
        <v>46266</v>
      </c>
      <c r="E472" s="1" t="n">
        <v>46314</v>
      </c>
      <c r="F472" t="inlineStr">
        <is>
          <t>NORRBOTTENS LÄN</t>
        </is>
      </c>
      <c r="G472" t="inlineStr">
        <is>
          <t>GÄLLIVARE</t>
        </is>
      </c>
      <c r="H472" t="inlineStr">
        <is>
          <t>Allmännings- och besparingsskogar</t>
        </is>
      </c>
      <c r="I472" t="n">
        <v>12.5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36177-2026</t>
        </is>
      </c>
      <c r="B473" t="inlineStr">
        <is>
          <t>avverkningsanmälan</t>
        </is>
      </c>
      <c r="C473" t="inlineStr">
        <is>
          <t>Föryngringsavverkning</t>
        </is>
      </c>
      <c r="D473" s="1" t="n">
        <v>46267</v>
      </c>
      <c r="E473" s="1" t="n">
        <v>46314</v>
      </c>
      <c r="F473" t="inlineStr">
        <is>
          <t>NORRBOTTENS LÄN</t>
        </is>
      </c>
      <c r="G473" t="inlineStr">
        <is>
          <t>GÄLLIVARE</t>
        </is>
      </c>
      <c r="H473" t="inlineStr">
        <is>
          <t>Allmännings- och besparingsskogar</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35665-2026</t>
        </is>
      </c>
      <c r="B474" t="inlineStr">
        <is>
          <t>avverkningsanmälan</t>
        </is>
      </c>
      <c r="C474" t="inlineStr">
        <is>
          <t>Föryngringsavverkning</t>
        </is>
      </c>
      <c r="D474" s="1" t="n">
        <v>46265</v>
      </c>
      <c r="E474" s="1" t="n">
        <v>46314</v>
      </c>
      <c r="F474" t="inlineStr">
        <is>
          <t>NORRBOTTENS LÄN</t>
        </is>
      </c>
      <c r="G474" t="inlineStr">
        <is>
          <t>GÄLLIVARE</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42701-2026</t>
        </is>
      </c>
      <c r="B475" t="inlineStr">
        <is>
          <t>avverkningsanmälan</t>
        </is>
      </c>
      <c r="C475" t="inlineStr">
        <is>
          <t>Föryngringsavverkning</t>
        </is>
      </c>
      <c r="D475" s="1" t="n">
        <v>46309</v>
      </c>
      <c r="E475" s="1" t="n">
        <v>46314</v>
      </c>
      <c r="F475" t="inlineStr">
        <is>
          <t>NORRBOTTENS LÄN</t>
        </is>
      </c>
      <c r="G475" t="inlineStr">
        <is>
          <t>GÄLLIVARE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35998-2026</t>
        </is>
      </c>
      <c r="B476" t="inlineStr">
        <is>
          <t>avverkningsanmälan</t>
        </is>
      </c>
      <c r="C476" t="inlineStr">
        <is>
          <t>Föryngringsavverkning</t>
        </is>
      </c>
      <c r="D476" s="1" t="n">
        <v>46266</v>
      </c>
      <c r="E476" s="1" t="n">
        <v>46314</v>
      </c>
      <c r="F476" t="inlineStr">
        <is>
          <t>NORRBOTTENS LÄN</t>
        </is>
      </c>
      <c r="G476" t="inlineStr">
        <is>
          <t>GÄLLIVARE</t>
        </is>
      </c>
      <c r="H476" t="inlineStr">
        <is>
          <t>Allmännings- och besparingsskogar</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35951-2026</t>
        </is>
      </c>
      <c r="B477" t="inlineStr">
        <is>
          <t>avverkningsanmälan</t>
        </is>
      </c>
      <c r="C477" t="inlineStr">
        <is>
          <t>Föryngringsavverkning</t>
        </is>
      </c>
      <c r="D477" s="1" t="n">
        <v>46266</v>
      </c>
      <c r="E477" s="1" t="n">
        <v>46314</v>
      </c>
      <c r="F477" t="inlineStr">
        <is>
          <t>NORRBOTTENS LÄN</t>
        </is>
      </c>
      <c r="G477" t="inlineStr">
        <is>
          <t>GÄLLIVARE</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36156-2026</t>
        </is>
      </c>
      <c r="B478" t="inlineStr">
        <is>
          <t>avverkningsanmälan</t>
        </is>
      </c>
      <c r="C478" t="inlineStr">
        <is>
          <t>Föryngringsavverkning</t>
        </is>
      </c>
      <c r="D478" s="1" t="n">
        <v>46267</v>
      </c>
      <c r="E478" s="1" t="n">
        <v>46314</v>
      </c>
      <c r="F478" t="inlineStr">
        <is>
          <t>NORRBOTTENS LÄN</t>
        </is>
      </c>
      <c r="G478" t="inlineStr">
        <is>
          <t>GÄLLIVARE</t>
        </is>
      </c>
      <c r="H478" t="inlineStr">
        <is>
          <t>Allmännings- och besparingsskogar</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36158-2026</t>
        </is>
      </c>
      <c r="B479" t="inlineStr">
        <is>
          <t>avverkningsanmälan</t>
        </is>
      </c>
      <c r="C479" t="inlineStr">
        <is>
          <t>Föryngringsavverkning</t>
        </is>
      </c>
      <c r="D479" s="1" t="n">
        <v>46267</v>
      </c>
      <c r="E479" s="1" t="n">
        <v>46314</v>
      </c>
      <c r="F479" t="inlineStr">
        <is>
          <t>NORRBOTTENS LÄN</t>
        </is>
      </c>
      <c r="G479" t="inlineStr">
        <is>
          <t>GÄLLIVARE</t>
        </is>
      </c>
      <c r="H479" t="inlineStr">
        <is>
          <t>Allmännings- och besparingsskogar</t>
        </is>
      </c>
      <c r="I479" t="n">
        <v>23.9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42647-2026</t>
        </is>
      </c>
      <c r="B480" t="inlineStr">
        <is>
          <t>avverkningsanmälan</t>
        </is>
      </c>
      <c r="C480" t="inlineStr">
        <is>
          <t>Föryngringsavverkning</t>
        </is>
      </c>
      <c r="D480" s="1" t="n">
        <v>46309</v>
      </c>
      <c r="E480" s="1" t="n">
        <v>46314</v>
      </c>
      <c r="F480" t="inlineStr">
        <is>
          <t>NORRBOTTENS LÄN</t>
        </is>
      </c>
      <c r="G480" t="inlineStr">
        <is>
          <t>GÄLLIVARE</t>
        </is>
      </c>
      <c r="H480" t="inlineStr">
        <is>
          <t>SCA</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26243-2025</t>
        </is>
      </c>
      <c r="B481" t="inlineStr">
        <is>
          <t>avverkningsanmälan</t>
        </is>
      </c>
      <c r="C481" t="inlineStr">
        <is>
          <t>Föryngringsavverkning</t>
        </is>
      </c>
      <c r="D481" s="1" t="n">
        <v>45805</v>
      </c>
      <c r="E481" s="1" t="n">
        <v>46314</v>
      </c>
      <c r="F481" t="inlineStr">
        <is>
          <t>NORRBOTTENS LÄN</t>
        </is>
      </c>
      <c r="G481" t="inlineStr">
        <is>
          <t>GÄLLIVARE</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42489-2026</t>
        </is>
      </c>
      <c r="B482" t="inlineStr">
        <is>
          <t>avverkningsanmälan</t>
        </is>
      </c>
      <c r="C482" t="inlineStr">
        <is>
          <t>Avverkning för annat ändamål</t>
        </is>
      </c>
      <c r="D482" s="1" t="n">
        <v>46308</v>
      </c>
      <c r="E482" s="1" t="n">
        <v>46314</v>
      </c>
      <c r="F482" t="inlineStr">
        <is>
          <t>NORRBOTTENS LÄN</t>
        </is>
      </c>
      <c r="G482" t="inlineStr">
        <is>
          <t>GÄLLIVARE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26208-2025</t>
        </is>
      </c>
      <c r="B483" t="inlineStr">
        <is>
          <t>avverkningsanmälan</t>
        </is>
      </c>
      <c r="C483" t="inlineStr">
        <is>
          <t>Föryngringsavverkning</t>
        </is>
      </c>
      <c r="D483" s="1" t="n">
        <v>45805</v>
      </c>
      <c r="E483" s="1" t="n">
        <v>46314</v>
      </c>
      <c r="F483" t="inlineStr">
        <is>
          <t>NORRBOTTENS LÄN</t>
        </is>
      </c>
      <c r="G483" t="inlineStr">
        <is>
          <t>GÄLLIVARE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25981-2025</t>
        </is>
      </c>
      <c r="B484" t="inlineStr">
        <is>
          <t>avverkningsanmälan</t>
        </is>
      </c>
      <c r="C484" t="inlineStr">
        <is>
          <t>Föryngringsavverkning</t>
        </is>
      </c>
      <c r="D484" s="1" t="n">
        <v>45804</v>
      </c>
      <c r="E484" s="1" t="n">
        <v>46314</v>
      </c>
      <c r="F484" t="inlineStr">
        <is>
          <t>NORRBOTTENS LÄN</t>
        </is>
      </c>
      <c r="G484" t="inlineStr">
        <is>
          <t>GÄLLIVARE</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35645-2026</t>
        </is>
      </c>
      <c r="B485" t="inlineStr">
        <is>
          <t>avverkningsanmälan</t>
        </is>
      </c>
      <c r="C485" t="inlineStr">
        <is>
          <t>Föryngringsavverkning</t>
        </is>
      </c>
      <c r="D485" s="1" t="n">
        <v>46265</v>
      </c>
      <c r="E485" s="1" t="n">
        <v>46314</v>
      </c>
      <c r="F485" t="inlineStr">
        <is>
          <t>NORRBOTTENS LÄN</t>
        </is>
      </c>
      <c r="G485" t="inlineStr">
        <is>
          <t>GÄLLIVARE</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26242-2025</t>
        </is>
      </c>
      <c r="B486" t="inlineStr">
        <is>
          <t>avverkningsanmälan</t>
        </is>
      </c>
      <c r="C486" t="inlineStr">
        <is>
          <t>Föryngringsavverkning</t>
        </is>
      </c>
      <c r="D486" s="1" t="n">
        <v>45805</v>
      </c>
      <c r="E486" s="1" t="n">
        <v>46314</v>
      </c>
      <c r="F486" t="inlineStr">
        <is>
          <t>NORRBOTTENS LÄN</t>
        </is>
      </c>
      <c r="G486" t="inlineStr">
        <is>
          <t>GÄLLIVARE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35626-2026</t>
        </is>
      </c>
      <c r="B487" t="inlineStr">
        <is>
          <t>avverkningsanmälan</t>
        </is>
      </c>
      <c r="C487" t="inlineStr">
        <is>
          <t>Föryngringsavverkning</t>
        </is>
      </c>
      <c r="D487" s="1" t="n">
        <v>46265</v>
      </c>
      <c r="E487" s="1" t="n">
        <v>46314</v>
      </c>
      <c r="F487" t="inlineStr">
        <is>
          <t>NORRBOTTENS LÄN</t>
        </is>
      </c>
      <c r="G487" t="inlineStr">
        <is>
          <t>GÄLLIVARE</t>
        </is>
      </c>
      <c r="H487" t="inlineStr">
        <is>
          <t>SCA</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36045-2026</t>
        </is>
      </c>
      <c r="B488" t="inlineStr">
        <is>
          <t>avverkningsanmälan</t>
        </is>
      </c>
      <c r="C488" t="inlineStr">
        <is>
          <t>Föryngringsavverkning</t>
        </is>
      </c>
      <c r="D488" s="1" t="n">
        <v>46266</v>
      </c>
      <c r="E488" s="1" t="n">
        <v>46314</v>
      </c>
      <c r="F488" t="inlineStr">
        <is>
          <t>NORRBOTTENS LÄN</t>
        </is>
      </c>
      <c r="G488" t="inlineStr">
        <is>
          <t>GÄLLIVARE</t>
        </is>
      </c>
      <c r="H488" t="inlineStr">
        <is>
          <t>Allmännings- och besparingsskogar</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36190-2026</t>
        </is>
      </c>
      <c r="B489" t="inlineStr">
        <is>
          <t>avverkningsanmälan</t>
        </is>
      </c>
      <c r="C489" t="inlineStr">
        <is>
          <t>Föryngringsavverkning</t>
        </is>
      </c>
      <c r="D489" s="1" t="n">
        <v>46267</v>
      </c>
      <c r="E489" s="1" t="n">
        <v>46314</v>
      </c>
      <c r="F489" t="inlineStr">
        <is>
          <t>NORRBOTTENS LÄN</t>
        </is>
      </c>
      <c r="G489" t="inlineStr">
        <is>
          <t>GÄLLIVARE</t>
        </is>
      </c>
      <c r="H489" t="inlineStr">
        <is>
          <t>Allmännings- och besparingsskogar</t>
        </is>
      </c>
      <c r="I489" t="n">
        <v>25.4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35969-2026</t>
        </is>
      </c>
      <c r="B490" t="inlineStr">
        <is>
          <t>avverkningsanmälan</t>
        </is>
      </c>
      <c r="C490" t="inlineStr">
        <is>
          <t>Föryngringsavverkning</t>
        </is>
      </c>
      <c r="D490" s="1" t="n">
        <v>46266</v>
      </c>
      <c r="E490" s="1" t="n">
        <v>46314</v>
      </c>
      <c r="F490" t="inlineStr">
        <is>
          <t>NORRBOTTENS LÄN</t>
        </is>
      </c>
      <c r="G490" t="inlineStr">
        <is>
          <t>GÄLLIVARE</t>
        </is>
      </c>
      <c r="H490" t="inlineStr">
        <is>
          <t>SCA</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36193-2026</t>
        </is>
      </c>
      <c r="B491" t="inlineStr">
        <is>
          <t>avverkningsanmälan</t>
        </is>
      </c>
      <c r="C491" t="inlineStr">
        <is>
          <t>Föryngringsavverkning</t>
        </is>
      </c>
      <c r="D491" s="1" t="n">
        <v>46267</v>
      </c>
      <c r="E491" s="1" t="n">
        <v>46314</v>
      </c>
      <c r="F491" t="inlineStr">
        <is>
          <t>NORRBOTTENS LÄN</t>
        </is>
      </c>
      <c r="G491" t="inlineStr">
        <is>
          <t>GÄLLIVARE</t>
        </is>
      </c>
      <c r="H491" t="inlineStr">
        <is>
          <t>Allmännings- och besparingsskogar</t>
        </is>
      </c>
      <c r="I491" t="n">
        <v>21.3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42702-2026</t>
        </is>
      </c>
      <c r="B492" t="inlineStr">
        <is>
          <t>avverkningsanmälan</t>
        </is>
      </c>
      <c r="C492" t="inlineStr">
        <is>
          <t>Föryngringsavverkning</t>
        </is>
      </c>
      <c r="D492" s="1" t="n">
        <v>46309</v>
      </c>
      <c r="E492" s="1" t="n">
        <v>46314</v>
      </c>
      <c r="F492" t="inlineStr">
        <is>
          <t>NORRBOTTENS LÄN</t>
        </is>
      </c>
      <c r="G492" t="inlineStr">
        <is>
          <t>GÄLLIVARE</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35982-2026</t>
        </is>
      </c>
      <c r="B493" t="inlineStr">
        <is>
          <t>avverkningsanmälan</t>
        </is>
      </c>
      <c r="C493" t="inlineStr">
        <is>
          <t>Föryngringsavverkning</t>
        </is>
      </c>
      <c r="D493" s="1" t="n">
        <v>46266</v>
      </c>
      <c r="E493" s="1" t="n">
        <v>46314</v>
      </c>
      <c r="F493" t="inlineStr">
        <is>
          <t>NORRBOTTENS LÄN</t>
        </is>
      </c>
      <c r="G493" t="inlineStr">
        <is>
          <t>GÄLLIVARE</t>
        </is>
      </c>
      <c r="H493" t="inlineStr">
        <is>
          <t>SCA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36511-2024</t>
        </is>
      </c>
      <c r="B494" t="inlineStr">
        <is>
          <t>avverkningsanmälan</t>
        </is>
      </c>
      <c r="C494" t="inlineStr">
        <is>
          <t>Föryngringsavverkning</t>
        </is>
      </c>
      <c r="D494" s="1" t="n">
        <v>45537</v>
      </c>
      <c r="E494" s="1" t="n">
        <v>46314</v>
      </c>
      <c r="F494" t="inlineStr">
        <is>
          <t>NORRBOTTENS LÄN</t>
        </is>
      </c>
      <c r="G494" t="inlineStr">
        <is>
          <t>GÄLLIVARE</t>
        </is>
      </c>
      <c r="H494" t="inlineStr">
        <is>
          <t>Sveaskog</t>
        </is>
      </c>
      <c r="I494" t="n">
        <v>9.4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26772-2025</t>
        </is>
      </c>
      <c r="B495" t="inlineStr">
        <is>
          <t>avverkningsanmälan</t>
        </is>
      </c>
      <c r="C495" t="inlineStr">
        <is>
          <t>Föryngringsavverkning</t>
        </is>
      </c>
      <c r="D495" s="1" t="n">
        <v>45810</v>
      </c>
      <c r="E495" s="1" t="n">
        <v>46314</v>
      </c>
      <c r="F495" t="inlineStr">
        <is>
          <t>NORRBOTTENS LÄN</t>
        </is>
      </c>
      <c r="G495" t="inlineStr">
        <is>
          <t>GÄLLIVARE</t>
        </is>
      </c>
      <c r="H495" t="inlineStr">
        <is>
          <t>SCA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43075-2026</t>
        </is>
      </c>
      <c r="B496" t="inlineStr">
        <is>
          <t>avverkningsanmälan</t>
        </is>
      </c>
      <c r="C496" t="inlineStr">
        <is>
          <t>Föryngringsavverkning</t>
        </is>
      </c>
      <c r="D496" s="1" t="n">
        <v>46311</v>
      </c>
      <c r="E496" s="1" t="n">
        <v>46314</v>
      </c>
      <c r="F496" t="inlineStr">
        <is>
          <t>NORRBOTTENS LÄN</t>
        </is>
      </c>
      <c r="G496" t="inlineStr">
        <is>
          <t>GÄLLIVARE</t>
        </is>
      </c>
      <c r="H496" t="inlineStr">
        <is>
          <t>Sveaskog</t>
        </is>
      </c>
      <c r="I496" t="n">
        <v>15.5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21556-2023</t>
        </is>
      </c>
      <c r="B497" t="inlineStr">
        <is>
          <t>avverkningsanmälan</t>
        </is>
      </c>
      <c r="C497" t="inlineStr">
        <is>
          <t>Avverkning för annat ändamål</t>
        </is>
      </c>
      <c r="D497" s="1" t="n">
        <v>45063</v>
      </c>
      <c r="E497" s="1" t="n">
        <v>46314</v>
      </c>
      <c r="F497" t="inlineStr">
        <is>
          <t>NORRBOTTENS LÄN</t>
        </is>
      </c>
      <c r="G497" t="inlineStr">
        <is>
          <t>GÄLLIVARE</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36488-2026</t>
        </is>
      </c>
      <c r="B498" t="inlineStr">
        <is>
          <t>avverkningsanmälan</t>
        </is>
      </c>
      <c r="C498" t="inlineStr">
        <is>
          <t>Föryngringsavverkning</t>
        </is>
      </c>
      <c r="D498" s="1" t="n">
        <v>46269</v>
      </c>
      <c r="E498" s="1" t="n">
        <v>46314</v>
      </c>
      <c r="F498" t="inlineStr">
        <is>
          <t>NORRBOTTENS LÄN</t>
        </is>
      </c>
      <c r="G498" t="inlineStr">
        <is>
          <t>GÄLLIVARE</t>
        </is>
      </c>
      <c r="H498" t="inlineStr">
        <is>
          <t>Sveaskog</t>
        </is>
      </c>
      <c r="I498" t="n">
        <v>16.3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15373-2024</t>
        </is>
      </c>
      <c r="B499" t="inlineStr">
        <is>
          <t>avverkningsanmälan</t>
        </is>
      </c>
      <c r="C499" t="inlineStr">
        <is>
          <t>Avverkning för annat ändamål</t>
        </is>
      </c>
      <c r="D499" s="1" t="n">
        <v>45400</v>
      </c>
      <c r="E499" s="1" t="n">
        <v>46314</v>
      </c>
      <c r="F499" t="inlineStr">
        <is>
          <t>NORRBOTTENS LÄN</t>
        </is>
      </c>
      <c r="G499" t="inlineStr">
        <is>
          <t>GÄLLIVARE</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36476-2026</t>
        </is>
      </c>
      <c r="B500" t="inlineStr">
        <is>
          <t>avverkningsanmälan</t>
        </is>
      </c>
      <c r="C500" t="inlineStr">
        <is>
          <t>Föryngringsavverkning</t>
        </is>
      </c>
      <c r="D500" s="1" t="n">
        <v>46269</v>
      </c>
      <c r="E500" s="1" t="n">
        <v>46314</v>
      </c>
      <c r="F500" t="inlineStr">
        <is>
          <t>NORRBOTTENS LÄN</t>
        </is>
      </c>
      <c r="G500" t="inlineStr">
        <is>
          <t>GÄLLIVARE</t>
        </is>
      </c>
      <c r="H500" t="inlineStr">
        <is>
          <t>Sveaskog</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36483-2026</t>
        </is>
      </c>
      <c r="B501" t="inlineStr">
        <is>
          <t>avverkningsanmälan</t>
        </is>
      </c>
      <c r="C501" t="inlineStr">
        <is>
          <t>Föryngringsavverkning</t>
        </is>
      </c>
      <c r="D501" s="1" t="n">
        <v>46269</v>
      </c>
      <c r="E501" s="1" t="n">
        <v>46314</v>
      </c>
      <c r="F501" t="inlineStr">
        <is>
          <t>NORRBOTTENS LÄN</t>
        </is>
      </c>
      <c r="G501" t="inlineStr">
        <is>
          <t>GÄLLIVARE</t>
        </is>
      </c>
      <c r="H501" t="inlineStr">
        <is>
          <t>Sveaskog</t>
        </is>
      </c>
      <c r="I501" t="n">
        <v>17.1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28580-2025</t>
        </is>
      </c>
      <c r="B502" t="inlineStr">
        <is>
          <t>avverkningsanmälan</t>
        </is>
      </c>
      <c r="C502" t="inlineStr">
        <is>
          <t>Föryngringsavverkning</t>
        </is>
      </c>
      <c r="D502" s="1" t="n">
        <v>45819</v>
      </c>
      <c r="E502" s="1" t="n">
        <v>46314</v>
      </c>
      <c r="F502" t="inlineStr">
        <is>
          <t>NORRBOTTENS LÄN</t>
        </is>
      </c>
      <c r="G502" t="inlineStr">
        <is>
          <t>GÄLLIVARE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17418-2024</t>
        </is>
      </c>
      <c r="B503" t="inlineStr">
        <is>
          <t>avverkningsanmälan</t>
        </is>
      </c>
      <c r="C503" t="inlineStr">
        <is>
          <t>Föryngringsavverkning</t>
        </is>
      </c>
      <c r="D503" s="1" t="n">
        <v>45414</v>
      </c>
      <c r="E503" s="1" t="n">
        <v>46314</v>
      </c>
      <c r="F503" t="inlineStr">
        <is>
          <t>NORRBOTTENS LÄN</t>
        </is>
      </c>
      <c r="G503" t="inlineStr">
        <is>
          <t>GÄLLIVARE</t>
        </is>
      </c>
      <c r="H503" t="inlineStr">
        <is>
          <t>SCA</t>
        </is>
      </c>
      <c r="I503" t="n">
        <v>48.6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58776-2022</t>
        </is>
      </c>
      <c r="B504" t="inlineStr">
        <is>
          <t>avverkningsanmälan</t>
        </is>
      </c>
      <c r="C504" t="inlineStr">
        <is>
          <t>Föryngringsavverkning</t>
        </is>
      </c>
      <c r="D504" s="1" t="n">
        <v>44895</v>
      </c>
      <c r="E504" s="1" t="n">
        <v>46314</v>
      </c>
      <c r="F504" t="inlineStr">
        <is>
          <t>NORRBOTTENS LÄN</t>
        </is>
      </c>
      <c r="G504" t="inlineStr">
        <is>
          <t>GÄLLIVARE</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42833-2026</t>
        </is>
      </c>
      <c r="B505" t="inlineStr">
        <is>
          <t>avverkningsanmälan</t>
        </is>
      </c>
      <c r="C505" t="inlineStr">
        <is>
          <t>Föryngringsavverkning</t>
        </is>
      </c>
      <c r="D505" s="1" t="n">
        <v>46310</v>
      </c>
      <c r="E505" s="1" t="n">
        <v>46314</v>
      </c>
      <c r="F505" t="inlineStr">
        <is>
          <t>NORRBOTTENS LÄN</t>
        </is>
      </c>
      <c r="G505" t="inlineStr">
        <is>
          <t>GÄLLIVARE</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29383-2025</t>
        </is>
      </c>
      <c r="B506" t="inlineStr">
        <is>
          <t>avverkningsanmälan</t>
        </is>
      </c>
      <c r="C506" t="inlineStr">
        <is>
          <t>Avverkning för annat ändamål</t>
        </is>
      </c>
      <c r="D506" s="1" t="n">
        <v>45824</v>
      </c>
      <c r="E506" s="1" t="n">
        <v>46314</v>
      </c>
      <c r="F506" t="inlineStr">
        <is>
          <t>NORRBOTTENS LÄN</t>
        </is>
      </c>
      <c r="G506" t="inlineStr">
        <is>
          <t>GÄLLIVARE</t>
        </is>
      </c>
      <c r="H506" t="inlineStr">
        <is>
          <t>Allmännings- och besparingsskogar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42679-2026</t>
        </is>
      </c>
      <c r="B507" t="inlineStr">
        <is>
          <t>avverkningsanmälan</t>
        </is>
      </c>
      <c r="C507" t="inlineStr">
        <is>
          <t>Avverkning för annat ändamål</t>
        </is>
      </c>
      <c r="D507" s="1" t="n">
        <v>46309</v>
      </c>
      <c r="E507" s="1" t="n">
        <v>46314</v>
      </c>
      <c r="F507" t="inlineStr">
        <is>
          <t>NORRBOTTENS LÄN</t>
        </is>
      </c>
      <c r="G507" t="inlineStr">
        <is>
          <t>GÄLLIVARE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42669-2026</t>
        </is>
      </c>
      <c r="B508" t="inlineStr">
        <is>
          <t>avverkningsanmälan</t>
        </is>
      </c>
      <c r="C508" t="inlineStr">
        <is>
          <t>Avverkning för annat ändamål</t>
        </is>
      </c>
      <c r="D508" s="1" t="n">
        <v>46309</v>
      </c>
      <c r="E508" s="1" t="n">
        <v>46314</v>
      </c>
      <c r="F508" t="inlineStr">
        <is>
          <t>NORRBOTTENS LÄN</t>
        </is>
      </c>
      <c r="G508" t="inlineStr">
        <is>
          <t>GÄLLIVARE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36205-2026</t>
        </is>
      </c>
      <c r="B509" t="inlineStr">
        <is>
          <t>avverkningsanmälan</t>
        </is>
      </c>
      <c r="C509" t="inlineStr">
        <is>
          <t>Föryngringsavverkning</t>
        </is>
      </c>
      <c r="D509" s="1" t="n">
        <v>46267</v>
      </c>
      <c r="E509" s="1" t="n">
        <v>46314</v>
      </c>
      <c r="F509" t="inlineStr">
        <is>
          <t>NORRBOTTENS LÄN</t>
        </is>
      </c>
      <c r="G509" t="inlineStr">
        <is>
          <t>GÄLLIVARE</t>
        </is>
      </c>
      <c r="H509" t="inlineStr">
        <is>
          <t>Naturvårdsverket</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30305-2025</t>
        </is>
      </c>
      <c r="B510" t="inlineStr">
        <is>
          <t>avverkningsanmälan</t>
        </is>
      </c>
      <c r="C510" t="inlineStr">
        <is>
          <t>Föryngringsavverkning</t>
        </is>
      </c>
      <c r="D510" s="1" t="n">
        <v>45827</v>
      </c>
      <c r="E510" s="1" t="n">
        <v>46314</v>
      </c>
      <c r="F510" t="inlineStr">
        <is>
          <t>NORRBOTTENS LÄN</t>
        </is>
      </c>
      <c r="G510" t="inlineStr">
        <is>
          <t>GÄLLIVARE</t>
        </is>
      </c>
      <c r="H510" t="inlineStr">
        <is>
          <t>Sveaskog</t>
        </is>
      </c>
      <c r="I510" t="n">
        <v>33.6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43074-2026</t>
        </is>
      </c>
      <c r="B511" t="inlineStr">
        <is>
          <t>avverkningsanmälan</t>
        </is>
      </c>
      <c r="C511" t="inlineStr">
        <is>
          <t>Föryngringsavverkning</t>
        </is>
      </c>
      <c r="D511" s="1" t="n">
        <v>46311</v>
      </c>
      <c r="E511" s="1" t="n">
        <v>46314</v>
      </c>
      <c r="F511" t="inlineStr">
        <is>
          <t>NORRBOTTENS LÄN</t>
        </is>
      </c>
      <c r="G511" t="inlineStr">
        <is>
          <t>GÄLLIVARE</t>
        </is>
      </c>
      <c r="H511" t="inlineStr">
        <is>
          <t>Sveaskog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31097-2025</t>
        </is>
      </c>
      <c r="B512" t="inlineStr">
        <is>
          <t>avverkningsanmälan</t>
        </is>
      </c>
      <c r="C512" t="inlineStr">
        <is>
          <t>Föryngringsavverkning</t>
        </is>
      </c>
      <c r="D512" s="1" t="n">
        <v>45832</v>
      </c>
      <c r="E512" s="1" t="n">
        <v>46314</v>
      </c>
      <c r="F512" t="inlineStr">
        <is>
          <t>NORRBOTTENS LÄN</t>
        </is>
      </c>
      <c r="G512" t="inlineStr">
        <is>
          <t>GÄLLIVARE</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31430-2025</t>
        </is>
      </c>
      <c r="B513" t="inlineStr">
        <is>
          <t>avverkningsanmälan</t>
        </is>
      </c>
      <c r="C513" t="inlineStr">
        <is>
          <t>Avverkning för annat ändamål</t>
        </is>
      </c>
      <c r="D513" s="1" t="n">
        <v>45833</v>
      </c>
      <c r="E513" s="1" t="n">
        <v>46314</v>
      </c>
      <c r="F513" t="inlineStr">
        <is>
          <t>NORRBOTTENS LÄN</t>
        </is>
      </c>
      <c r="G513" t="inlineStr">
        <is>
          <t>GÄLLIVARE</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31553-2025</t>
        </is>
      </c>
      <c r="B514" t="inlineStr">
        <is>
          <t>avverkningsanmälan</t>
        </is>
      </c>
      <c r="C514" t="inlineStr">
        <is>
          <t>Föryngringsavverkning</t>
        </is>
      </c>
      <c r="D514" s="1" t="n">
        <v>45833</v>
      </c>
      <c r="E514" s="1" t="n">
        <v>46314</v>
      </c>
      <c r="F514" t="inlineStr">
        <is>
          <t>NORRBOTTENS LÄN</t>
        </is>
      </c>
      <c r="G514" t="inlineStr">
        <is>
          <t>GÄLLIVARE</t>
        </is>
      </c>
      <c r="H514" t="inlineStr">
        <is>
          <t>Allmännings- och besparingsskogar</t>
        </is>
      </c>
      <c r="I514" t="n">
        <v>40.8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31652-2025</t>
        </is>
      </c>
      <c r="B515" t="inlineStr">
        <is>
          <t>avverkningsanmälan</t>
        </is>
      </c>
      <c r="C515" t="inlineStr">
        <is>
          <t>Föryngringsavverkning</t>
        </is>
      </c>
      <c r="D515" s="1" t="n">
        <v>45834</v>
      </c>
      <c r="E515" s="1" t="n">
        <v>46314</v>
      </c>
      <c r="F515" t="inlineStr">
        <is>
          <t>NORRBOTTENS LÄN</t>
        </is>
      </c>
      <c r="G515" t="inlineStr">
        <is>
          <t>GÄLLIVARE</t>
        </is>
      </c>
      <c r="H515" t="inlineStr">
        <is>
          <t>SCA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31643-2025</t>
        </is>
      </c>
      <c r="B516" t="inlineStr">
        <is>
          <t>avverkningsanmälan</t>
        </is>
      </c>
      <c r="C516" t="inlineStr">
        <is>
          <t>Föryngringsavverkning</t>
        </is>
      </c>
      <c r="D516" s="1" t="n">
        <v>45834</v>
      </c>
      <c r="E516" s="1" t="n">
        <v>46314</v>
      </c>
      <c r="F516" t="inlineStr">
        <is>
          <t>NORRBOTTENS LÄN</t>
        </is>
      </c>
      <c r="G516" t="inlineStr">
        <is>
          <t>GÄLLIVARE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31644-2025</t>
        </is>
      </c>
      <c r="B517" t="inlineStr">
        <is>
          <t>avverkningsanmälan</t>
        </is>
      </c>
      <c r="C517" t="inlineStr">
        <is>
          <t>Föryngringsavverkning</t>
        </is>
      </c>
      <c r="D517" s="1" t="n">
        <v>45834</v>
      </c>
      <c r="E517" s="1" t="n">
        <v>46314</v>
      </c>
      <c r="F517" t="inlineStr">
        <is>
          <t>NORRBOTTENS LÄN</t>
        </is>
      </c>
      <c r="G517" t="inlineStr">
        <is>
          <t>GÄLLIVARE</t>
        </is>
      </c>
      <c r="H517" t="inlineStr">
        <is>
          <t>SCA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31650-2025</t>
        </is>
      </c>
      <c r="B518" t="inlineStr">
        <is>
          <t>avverkningsanmälan</t>
        </is>
      </c>
      <c r="C518" t="inlineStr">
        <is>
          <t>Föryngringsavverkning</t>
        </is>
      </c>
      <c r="D518" s="1" t="n">
        <v>45834</v>
      </c>
      <c r="E518" s="1" t="n">
        <v>46314</v>
      </c>
      <c r="F518" t="inlineStr">
        <is>
          <t>NORRBOTTENS LÄN</t>
        </is>
      </c>
      <c r="G518" t="inlineStr">
        <is>
          <t>GÄLLIVARE</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33226-2025</t>
        </is>
      </c>
      <c r="B519" t="inlineStr">
        <is>
          <t>avverkningsanmälan</t>
        </is>
      </c>
      <c r="C519" t="inlineStr">
        <is>
          <t>Föryngringsavverkning</t>
        </is>
      </c>
      <c r="D519" s="1" t="n">
        <v>45840</v>
      </c>
      <c r="E519" s="1" t="n">
        <v>46314</v>
      </c>
      <c r="F519" t="inlineStr">
        <is>
          <t>NORRBOTTENS LÄN</t>
        </is>
      </c>
      <c r="G519" t="inlineStr">
        <is>
          <t>GÄLLIVARE</t>
        </is>
      </c>
      <c r="H519" t="inlineStr">
        <is>
          <t>SCA</t>
        </is>
      </c>
      <c r="I519" t="n">
        <v>10.8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33307-2025</t>
        </is>
      </c>
      <c r="B520" t="inlineStr">
        <is>
          <t>avverkningsanmälan</t>
        </is>
      </c>
      <c r="C520" t="inlineStr">
        <is>
          <t>Avverkning för annat ändamål</t>
        </is>
      </c>
      <c r="D520" s="1" t="n">
        <v>45841</v>
      </c>
      <c r="E520" s="1" t="n">
        <v>46314</v>
      </c>
      <c r="F520" t="inlineStr">
        <is>
          <t>NORRBOTTENS LÄN</t>
        </is>
      </c>
      <c r="G520" t="inlineStr">
        <is>
          <t>GÄLLIVARE</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34130-2025</t>
        </is>
      </c>
      <c r="B521" t="inlineStr">
        <is>
          <t>avverkningsanmälan</t>
        </is>
      </c>
      <c r="C521" t="inlineStr">
        <is>
          <t>Föryngringsavverkning</t>
        </is>
      </c>
      <c r="D521" s="1" t="n">
        <v>45845</v>
      </c>
      <c r="E521" s="1" t="n">
        <v>46314</v>
      </c>
      <c r="F521" t="inlineStr">
        <is>
          <t>NORRBOTTENS LÄN</t>
        </is>
      </c>
      <c r="G521" t="inlineStr">
        <is>
          <t>GÄLLIVARE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33980-2025</t>
        </is>
      </c>
      <c r="B522" t="inlineStr">
        <is>
          <t>avverkningsanmälan</t>
        </is>
      </c>
      <c r="C522" t="inlineStr">
        <is>
          <t>Föryngringsavverkning</t>
        </is>
      </c>
      <c r="D522" s="1" t="n">
        <v>45843</v>
      </c>
      <c r="E522" s="1" t="n">
        <v>46314</v>
      </c>
      <c r="F522" t="inlineStr">
        <is>
          <t>NORRBOTTENS LÄN</t>
        </is>
      </c>
      <c r="G522" t="inlineStr">
        <is>
          <t>GÄLLIVARE</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34129-2025</t>
        </is>
      </c>
      <c r="B523" t="inlineStr">
        <is>
          <t>avverkningsanmälan</t>
        </is>
      </c>
      <c r="C523" t="inlineStr">
        <is>
          <t>Avverkning för annat ändamål</t>
        </is>
      </c>
      <c r="D523" s="1" t="n">
        <v>45845</v>
      </c>
      <c r="E523" s="1" t="n">
        <v>46314</v>
      </c>
      <c r="F523" t="inlineStr">
        <is>
          <t>NORRBOTTENS LÄN</t>
        </is>
      </c>
      <c r="G523" t="inlineStr">
        <is>
          <t>GÄLLIVARE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35474-2025</t>
        </is>
      </c>
      <c r="B524" t="inlineStr">
        <is>
          <t>avverkningsanmälan</t>
        </is>
      </c>
      <c r="C524" t="inlineStr">
        <is>
          <t>Föryngringsavverkning</t>
        </is>
      </c>
      <c r="D524" s="1" t="n">
        <v>45855</v>
      </c>
      <c r="E524" s="1" t="n">
        <v>46314</v>
      </c>
      <c r="F524" t="inlineStr">
        <is>
          <t>NORRBOTTENS LÄN</t>
        </is>
      </c>
      <c r="G524" t="inlineStr">
        <is>
          <t>GÄLLIVARE</t>
        </is>
      </c>
      <c r="H524" t="inlineStr">
        <is>
          <t>Allmännings- och besparingsskogar</t>
        </is>
      </c>
      <c r="I524" t="n">
        <v>28.5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35471-2025</t>
        </is>
      </c>
      <c r="B525" t="inlineStr">
        <is>
          <t>avverkningsanmälan</t>
        </is>
      </c>
      <c r="C525" t="inlineStr">
        <is>
          <t>Föryngringsavverkning</t>
        </is>
      </c>
      <c r="D525" s="1" t="n">
        <v>45855</v>
      </c>
      <c r="E525" s="1" t="n">
        <v>46314</v>
      </c>
      <c r="F525" t="inlineStr">
        <is>
          <t>NORRBOTTENS LÄN</t>
        </is>
      </c>
      <c r="G525" t="inlineStr">
        <is>
          <t>GÄLLIVARE</t>
        </is>
      </c>
      <c r="H525" t="inlineStr">
        <is>
          <t>Allmännings- och besparingsskogar</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35470-2025</t>
        </is>
      </c>
      <c r="B526" t="inlineStr">
        <is>
          <t>avverkningsanmälan</t>
        </is>
      </c>
      <c r="C526" t="inlineStr">
        <is>
          <t>Föryngringsavverkning</t>
        </is>
      </c>
      <c r="D526" s="1" t="n">
        <v>45855</v>
      </c>
      <c r="E526" s="1" t="n">
        <v>46314</v>
      </c>
      <c r="F526" t="inlineStr">
        <is>
          <t>NORRBOTTENS LÄN</t>
        </is>
      </c>
      <c r="G526" t="inlineStr">
        <is>
          <t>GÄLLIVARE</t>
        </is>
      </c>
      <c r="H526" t="inlineStr">
        <is>
          <t>Allmännings- och besparingsskogar</t>
        </is>
      </c>
      <c r="I526" t="n">
        <v>9.4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36552-2025</t>
        </is>
      </c>
      <c r="B527" t="inlineStr">
        <is>
          <t>avverkningsanmälan</t>
        </is>
      </c>
      <c r="C527" t="inlineStr">
        <is>
          <t>Föryngringsavverkning</t>
        </is>
      </c>
      <c r="D527" s="1" t="n">
        <v>45870</v>
      </c>
      <c r="E527" s="1" t="n">
        <v>46314</v>
      </c>
      <c r="F527" t="inlineStr">
        <is>
          <t>NORRBOTTENS LÄN</t>
        </is>
      </c>
      <c r="G527" t="inlineStr">
        <is>
          <t>GÄLLIVARE</t>
        </is>
      </c>
      <c r="H527" t="inlineStr">
        <is>
          <t>SCA</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36560-2025</t>
        </is>
      </c>
      <c r="B528" t="inlineStr">
        <is>
          <t>avverkningsanmälan</t>
        </is>
      </c>
      <c r="C528" t="inlineStr">
        <is>
          <t>Föryngringsavverkning</t>
        </is>
      </c>
      <c r="D528" s="1" t="n">
        <v>45870</v>
      </c>
      <c r="E528" s="1" t="n">
        <v>46314</v>
      </c>
      <c r="F528" t="inlineStr">
        <is>
          <t>NORRBOTTENS LÄN</t>
        </is>
      </c>
      <c r="G528" t="inlineStr">
        <is>
          <t>GÄLLIVARE</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36568-2025</t>
        </is>
      </c>
      <c r="B529" t="inlineStr">
        <is>
          <t>avverkningsanmälan</t>
        </is>
      </c>
      <c r="C529" t="inlineStr">
        <is>
          <t>Föryngringsavverkning</t>
        </is>
      </c>
      <c r="D529" s="1" t="n">
        <v>45870</v>
      </c>
      <c r="E529" s="1" t="n">
        <v>46314</v>
      </c>
      <c r="F529" t="inlineStr">
        <is>
          <t>NORRBOTTENS LÄN</t>
        </is>
      </c>
      <c r="G529" t="inlineStr">
        <is>
          <t>GÄLLIVARE</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36790-2025</t>
        </is>
      </c>
      <c r="B530" t="inlineStr">
        <is>
          <t>avverkningsanmälan</t>
        </is>
      </c>
      <c r="C530" t="inlineStr">
        <is>
          <t>Föryngringsavverkning</t>
        </is>
      </c>
      <c r="D530" s="1" t="n">
        <v>45873</v>
      </c>
      <c r="E530" s="1" t="n">
        <v>46314</v>
      </c>
      <c r="F530" t="inlineStr">
        <is>
          <t>NORRBOTTENS LÄN</t>
        </is>
      </c>
      <c r="G530" t="inlineStr">
        <is>
          <t>GÄLLIVARE</t>
        </is>
      </c>
      <c r="H530" t="inlineStr">
        <is>
          <t>SCA</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24457-2025</t>
        </is>
      </c>
      <c r="B531" t="inlineStr">
        <is>
          <t>avverkningsanmälan</t>
        </is>
      </c>
      <c r="C531" t="inlineStr">
        <is>
          <t>Föryngringsavverkning</t>
        </is>
      </c>
      <c r="D531" s="1" t="n">
        <v>45798</v>
      </c>
      <c r="E531" s="1" t="n">
        <v>46314</v>
      </c>
      <c r="F531" t="inlineStr">
        <is>
          <t>NORRBOTTENS LÄN</t>
        </is>
      </c>
      <c r="G531" t="inlineStr">
        <is>
          <t>GÄLLIVARE</t>
        </is>
      </c>
      <c r="H531" t="inlineStr">
        <is>
          <t>SCA</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36554-2025</t>
        </is>
      </c>
      <c r="B532" t="inlineStr">
        <is>
          <t>avverkningsanmälan</t>
        </is>
      </c>
      <c r="C532" t="inlineStr">
        <is>
          <t>Föryngringsavverkning</t>
        </is>
      </c>
      <c r="D532" s="1" t="n">
        <v>45870</v>
      </c>
      <c r="E532" s="1" t="n">
        <v>46314</v>
      </c>
      <c r="F532" t="inlineStr">
        <is>
          <t>NORRBOTTENS LÄN</t>
        </is>
      </c>
      <c r="G532" t="inlineStr">
        <is>
          <t>GÄLLIVARE</t>
        </is>
      </c>
      <c r="H532" t="inlineStr">
        <is>
          <t>SCA</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36868-2025</t>
        </is>
      </c>
      <c r="B533" t="inlineStr">
        <is>
          <t>avverkningsanmälan</t>
        </is>
      </c>
      <c r="C533" t="inlineStr">
        <is>
          <t>Föryngringsavverkning</t>
        </is>
      </c>
      <c r="D533" s="1" t="n">
        <v>45874</v>
      </c>
      <c r="E533" s="1" t="n">
        <v>46314</v>
      </c>
      <c r="F533" t="inlineStr">
        <is>
          <t>NORRBOTTENS LÄN</t>
        </is>
      </c>
      <c r="G533" t="inlineStr">
        <is>
          <t>GÄLLIVARE</t>
        </is>
      </c>
      <c r="H533" t="inlineStr">
        <is>
          <t>SCA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37652-2025</t>
        </is>
      </c>
      <c r="B534" t="inlineStr">
        <is>
          <t>avverkningsanmälan</t>
        </is>
      </c>
      <c r="C534" t="inlineStr">
        <is>
          <t>Föryngringsavverkning</t>
        </is>
      </c>
      <c r="D534" s="1" t="n">
        <v>45880</v>
      </c>
      <c r="E534" s="1" t="n">
        <v>46314</v>
      </c>
      <c r="F534" t="inlineStr">
        <is>
          <t>NORRBOTTENS LÄN</t>
        </is>
      </c>
      <c r="G534" t="inlineStr">
        <is>
          <t>GÄLLIVARE</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38049-2025</t>
        </is>
      </c>
      <c r="B535" t="inlineStr">
        <is>
          <t>avverkningsanmälan</t>
        </is>
      </c>
      <c r="C535" t="inlineStr">
        <is>
          <t>Föryngringsavverkning</t>
        </is>
      </c>
      <c r="D535" s="1" t="n">
        <v>45882</v>
      </c>
      <c r="E535" s="1" t="n">
        <v>46314</v>
      </c>
      <c r="F535" t="inlineStr">
        <is>
          <t>NORRBOTTENS LÄN</t>
        </is>
      </c>
      <c r="G535" t="inlineStr">
        <is>
          <t>GÄLLIVARE</t>
        </is>
      </c>
      <c r="H535" t="inlineStr">
        <is>
          <t>SCA</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38204-2025</t>
        </is>
      </c>
      <c r="B536" t="inlineStr">
        <is>
          <t>avverkningsanmälan</t>
        </is>
      </c>
      <c r="C536" t="inlineStr">
        <is>
          <t>Föryngringsavverkning</t>
        </is>
      </c>
      <c r="D536" s="1" t="n">
        <v>45882</v>
      </c>
      <c r="E536" s="1" t="n">
        <v>46314</v>
      </c>
      <c r="F536" t="inlineStr">
        <is>
          <t>NORRBOTTENS LÄN</t>
        </is>
      </c>
      <c r="G536" t="inlineStr">
        <is>
          <t>GÄLLIVARE</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428-2023</t>
        </is>
      </c>
      <c r="B537" t="inlineStr">
        <is>
          <t>samrådsanmälan</t>
        </is>
      </c>
      <c r="C537" t="inlineStr">
        <is>
          <t>Skogsgödsling</t>
        </is>
      </c>
      <c r="D537" s="1" t="n">
        <v>44960</v>
      </c>
      <c r="E537" s="1" t="n">
        <v>46314</v>
      </c>
      <c r="F537" t="inlineStr">
        <is>
          <t>NORRBOTTENS LÄN</t>
        </is>
      </c>
      <c r="G537" t="inlineStr">
        <is>
          <t>GÄLLIVARE</t>
        </is>
      </c>
      <c r="H537" t="inlineStr">
        <is>
          <t>SCA</t>
        </is>
      </c>
      <c r="I537" t="n">
        <v>228.1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1227-2023</t>
        </is>
      </c>
      <c r="B538" t="inlineStr">
        <is>
          <t>samrådsanmälan</t>
        </is>
      </c>
      <c r="C538" t="inlineStr">
        <is>
          <t>Skogsgödsling</t>
        </is>
      </c>
      <c r="D538" s="1" t="n">
        <v>45027</v>
      </c>
      <c r="E538" s="1" t="n">
        <v>46314</v>
      </c>
      <c r="F538" t="inlineStr">
        <is>
          <t>NORRBOTTENS LÄN</t>
        </is>
      </c>
      <c r="G538" t="inlineStr">
        <is>
          <t>GÄLLIVARE</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1046-2022</t>
        </is>
      </c>
      <c r="B539" t="inlineStr">
        <is>
          <t>samrådsanmälan</t>
        </is>
      </c>
      <c r="C539" t="inlineStr">
        <is>
          <t>Skogsgödsling</t>
        </is>
      </c>
      <c r="D539" s="1" t="n">
        <v>44612</v>
      </c>
      <c r="E539" s="1" t="n">
        <v>46314</v>
      </c>
      <c r="F539" t="inlineStr">
        <is>
          <t>NORRBOTTENS LÄN</t>
        </is>
      </c>
      <c r="G539" t="inlineStr">
        <is>
          <t>GÄLLIVARE</t>
        </is>
      </c>
      <c r="I539" t="n">
        <v>46.4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172-2023</t>
        </is>
      </c>
      <c r="B540" t="inlineStr">
        <is>
          <t>samrådsanmälan</t>
        </is>
      </c>
      <c r="C540" t="inlineStr">
        <is>
          <t>Skogsgödsling</t>
        </is>
      </c>
      <c r="D540" s="1" t="n">
        <v>44943</v>
      </c>
      <c r="E540" s="1" t="n">
        <v>46314</v>
      </c>
      <c r="F540" t="inlineStr">
        <is>
          <t>NORRBOTTENS LÄN</t>
        </is>
      </c>
      <c r="G540" t="inlineStr">
        <is>
          <t>GÄLLIVARE</t>
        </is>
      </c>
      <c r="H540" t="inlineStr">
        <is>
          <t>SCA</t>
        </is>
      </c>
      <c r="I540" t="n">
        <v>107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1179-2025</t>
        </is>
      </c>
      <c r="B541" t="inlineStr">
        <is>
          <t>samrådsanmälan</t>
        </is>
      </c>
      <c r="C541" t="inlineStr">
        <is>
          <t>Skogsgödsling</t>
        </is>
      </c>
      <c r="D541" s="1" t="n">
        <v>45756</v>
      </c>
      <c r="E541" s="1" t="n">
        <v>46314</v>
      </c>
      <c r="F541" t="inlineStr">
        <is>
          <t>NORRBOTTENS LÄN</t>
        </is>
      </c>
      <c r="G541" t="inlineStr">
        <is>
          <t>GÄLLIVARE</t>
        </is>
      </c>
      <c r="I541" t="n">
        <v>31.7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1292-2025</t>
        </is>
      </c>
      <c r="B542" t="inlineStr">
        <is>
          <t>samrådsanmälan</t>
        </is>
      </c>
      <c r="C542" t="inlineStr">
        <is>
          <t>Skogsgödsling</t>
        </is>
      </c>
      <c r="D542" s="1" t="n">
        <v>45769</v>
      </c>
      <c r="E542" s="1" t="n">
        <v>46314</v>
      </c>
      <c r="F542" t="inlineStr">
        <is>
          <t>NORRBOTTENS LÄN</t>
        </is>
      </c>
      <c r="G542" t="inlineStr">
        <is>
          <t>GÄLLIVARE</t>
        </is>
      </c>
      <c r="I542" t="n">
        <v>13.3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378-2026</t>
        </is>
      </c>
      <c r="B543" t="inlineStr">
        <is>
          <t>samrådsanmälan</t>
        </is>
      </c>
      <c r="C543" t="inlineStr">
        <is>
          <t>Skogsgödsling</t>
        </is>
      </c>
      <c r="D543" s="1" t="n">
        <v>46065</v>
      </c>
      <c r="E543" s="1" t="n">
        <v>46314</v>
      </c>
      <c r="F543" t="inlineStr">
        <is>
          <t>NORRBOTTENS LÄN</t>
        </is>
      </c>
      <c r="G543" t="inlineStr">
        <is>
          <t>GÄLLIVARE</t>
        </is>
      </c>
      <c r="H543" t="inlineStr">
        <is>
          <t>Allmännings- och besparingsskogar</t>
        </is>
      </c>
      <c r="I543" t="n">
        <v>167.2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1392-2025</t>
        </is>
      </c>
      <c r="B544" t="inlineStr">
        <is>
          <t>samrådsanmälan</t>
        </is>
      </c>
      <c r="C544" t="inlineStr">
        <is>
          <t>Annan skogsbruksåtgärd</t>
        </is>
      </c>
      <c r="D544" s="1" t="n">
        <v>45777</v>
      </c>
      <c r="E544" s="1" t="n">
        <v>46314</v>
      </c>
      <c r="F544" t="inlineStr">
        <is>
          <t>NORRBOTTENS LÄN</t>
        </is>
      </c>
      <c r="G544" t="inlineStr">
        <is>
          <t>GÄLLIVARE</t>
        </is>
      </c>
      <c r="H544" t="inlineStr">
        <is>
          <t>Sveaskog</t>
        </is>
      </c>
      <c r="I544" t="n">
        <v>2.5</v>
      </c>
      <c r="J544" t="n">
        <v>0</v>
      </c>
      <c r="K544" t="n">
        <v>0</v>
      </c>
      <c r="L544" t="n">
        <v>0</v>
      </c>
      <c r="M544" t="n">
        <v>0</v>
      </c>
      <c r="N544" t="n">
        <v>0</v>
      </c>
      <c r="O544" t="n">
        <v>0</v>
      </c>
      <c r="P544" t="n">
        <v>0</v>
      </c>
      <c r="Q544" t="n">
        <v>0</v>
      </c>
      <c r="R544" t="n">
        <v>0</v>
      </c>
      <c r="S544" t="n">
        <v>0</v>
      </c>
      <c r="T544" t="n">
        <v>0</v>
      </c>
      <c r="U544" t="n">
        <v>0</v>
      </c>
      <c r="V544" s="2" t="inlineStr"/>
    </row>
    <row r="545">
      <c r="A545" t="inlineStr">
        <is>
          <t>S 1391-2025</t>
        </is>
      </c>
      <c r="B545" t="inlineStr">
        <is>
          <t>samrådsanmälan</t>
        </is>
      </c>
      <c r="C545" t="inlineStr">
        <is>
          <t>Annan skogsbruksåtgärd</t>
        </is>
      </c>
      <c r="D545" s="1" t="n">
        <v>45777</v>
      </c>
      <c r="E545" s="1" t="n">
        <v>46314</v>
      </c>
      <c r="F545" t="inlineStr">
        <is>
          <t>NORRBOTTENS LÄN</t>
        </is>
      </c>
      <c r="G545" t="inlineStr">
        <is>
          <t>GÄLLIVARE</t>
        </is>
      </c>
      <c r="H545" t="inlineStr">
        <is>
          <t>Sveaskog</t>
        </is>
      </c>
      <c r="I545" t="n">
        <v>2.3</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2026-10-19T01:59:37Z</dcterms:created>
  <dcterms:modified xmlns:dcterms="http://purl.org/dc/terms/" xmlns:xsi="http://www.w3.org/2001/XMLSchema-instance" xsi:type="dcterms:W3CDTF">2026-10-19T01:59:37Z</dcterms:modified>
</cp:coreProperties>
</file>