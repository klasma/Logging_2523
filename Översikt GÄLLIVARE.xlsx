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45878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45878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45878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18</v>
      </c>
      <c r="R4" s="2" t="inlineStr">
        <is>
          <t>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45878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26670-2022</t>
        </is>
      </c>
      <c r="B6" s="1" t="n">
        <v>44739</v>
      </c>
      <c r="C6" s="1" t="n">
        <v>45878</v>
      </c>
      <c r="D6" t="inlineStr">
        <is>
          <t>NORRBOTTENS LÄN</t>
        </is>
      </c>
      <c r="E6" t="inlineStr">
        <is>
          <t>GÄLLIVARE</t>
        </is>
      </c>
      <c r="G6" t="n">
        <v>27.4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Blanksvart spiklav
Blå taggsvamp
Knottrig blåslav
Lappmes
Tallticka
Tretåig hackspett
Vedtrappmossa
Vitplätt
Dropptaggsvamp
Gullgröppa
Skarp dropptaggsvamp</t>
        </is>
      </c>
      <c r="S6">
        <f>HYPERLINK("https://klasma.github.io/Logging_2523/artfynd/A 26670-2022 artfynd.xlsx", "A 26670-2022")</f>
        <v/>
      </c>
      <c r="T6">
        <f>HYPERLINK("https://klasma.github.io/Logging_2523/kartor/A 26670-2022 karta.png", "A 26670-2022")</f>
        <v/>
      </c>
      <c r="V6">
        <f>HYPERLINK("https://klasma.github.io/Logging_2523/klagomål/A 26670-2022 FSC-klagomål.docx", "A 26670-2022")</f>
        <v/>
      </c>
      <c r="W6">
        <f>HYPERLINK("https://klasma.github.io/Logging_2523/klagomålsmail/A 26670-2022 FSC-klagomål mail.docx", "A 26670-2022")</f>
        <v/>
      </c>
      <c r="X6">
        <f>HYPERLINK("https://klasma.github.io/Logging_2523/tillsyn/A 26670-2022 tillsynsbegäran.docx", "A 26670-2022")</f>
        <v/>
      </c>
      <c r="Y6">
        <f>HYPERLINK("https://klasma.github.io/Logging_2523/tillsynsmail/A 26670-2022 tillsynsbegäran mail.docx", "A 26670-2022")</f>
        <v/>
      </c>
      <c r="Z6">
        <f>HYPERLINK("https://klasma.github.io/Logging_2523/fåglar/A 26670-2022 prioriterade fågelarter.docx", "A 26670-2022")</f>
        <v/>
      </c>
    </row>
    <row r="7" ht="15" customHeight="1">
      <c r="A7" t="inlineStr">
        <is>
          <t>A 36485-2025</t>
        </is>
      </c>
      <c r="B7" s="1" t="n">
        <v>45869.51112268519</v>
      </c>
      <c r="C7" s="1" t="n">
        <v>45878</v>
      </c>
      <c r="D7" t="inlineStr">
        <is>
          <t>NORRBOTTENS LÄN</t>
        </is>
      </c>
      <c r="E7" t="inlineStr">
        <is>
          <t>GÄLLIVARE</t>
        </is>
      </c>
      <c r="F7" t="inlineStr">
        <is>
          <t>Sveaskog</t>
        </is>
      </c>
      <c r="G7" t="n">
        <v>15.2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Granticka
Järpe
Lunglav
Ullticka
Luddlav
Plattlummer
Sotlav
Stuplav</t>
        </is>
      </c>
      <c r="S7">
        <f>HYPERLINK("https://klasma.github.io/Logging_2523/artfynd/A 36485-2025 artfynd.xlsx", "A 36485-2025")</f>
        <v/>
      </c>
      <c r="T7">
        <f>HYPERLINK("https://klasma.github.io/Logging_2523/kartor/A 36485-2025 karta.png", "A 36485-2025")</f>
        <v/>
      </c>
      <c r="U7">
        <f>HYPERLINK("https://klasma.github.io/Logging_2523/knärot/A 36485-2025 karta knärot.png", "A 36485-2025")</f>
        <v/>
      </c>
      <c r="V7">
        <f>HYPERLINK("https://klasma.github.io/Logging_2523/klagomål/A 36485-2025 FSC-klagomål.docx", "A 36485-2025")</f>
        <v/>
      </c>
      <c r="W7">
        <f>HYPERLINK("https://klasma.github.io/Logging_2523/klagomålsmail/A 36485-2025 FSC-klagomål mail.docx", "A 36485-2025")</f>
        <v/>
      </c>
      <c r="X7">
        <f>HYPERLINK("https://klasma.github.io/Logging_2523/tillsyn/A 36485-2025 tillsynsbegäran.docx", "A 36485-2025")</f>
        <v/>
      </c>
      <c r="Y7">
        <f>HYPERLINK("https://klasma.github.io/Logging_2523/tillsynsmail/A 36485-2025 tillsynsbegäran mail.docx", "A 36485-2025")</f>
        <v/>
      </c>
      <c r="Z7">
        <f>HYPERLINK("https://klasma.github.io/Logging_2523/fåglar/A 36485-2025 prioriterade fågelarter.docx", "A 36485-2025")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45878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45878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45869.5137962963</v>
      </c>
      <c r="C10" s="1" t="n">
        <v>45878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45878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36293-2025</t>
        </is>
      </c>
      <c r="B12" s="1" t="n">
        <v>45867.67041666667</v>
      </c>
      <c r="C12" s="1" t="n">
        <v>45878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13.3</v>
      </c>
      <c r="H12" t="n">
        <v>0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Fläckporing
Motaggsvamp
Mörk kolflarnlav
Vaddporing
Vedskivlav</t>
        </is>
      </c>
      <c r="S12">
        <f>HYPERLINK("https://klasma.github.io/Logging_2523/artfynd/A 36293-2025 artfynd.xlsx", "A 36293-2025")</f>
        <v/>
      </c>
      <c r="T12">
        <f>HYPERLINK("https://klasma.github.io/Logging_2523/kartor/A 36293-2025 karta.png", "A 36293-2025")</f>
        <v/>
      </c>
      <c r="V12">
        <f>HYPERLINK("https://klasma.github.io/Logging_2523/klagomål/A 36293-2025 FSC-klagomål.docx", "A 36293-2025")</f>
        <v/>
      </c>
      <c r="W12">
        <f>HYPERLINK("https://klasma.github.io/Logging_2523/klagomålsmail/A 36293-2025 FSC-klagomål mail.docx", "A 36293-2025")</f>
        <v/>
      </c>
      <c r="X12">
        <f>HYPERLINK("https://klasma.github.io/Logging_2523/tillsyn/A 36293-2025 tillsynsbegäran.docx", "A 36293-2025")</f>
        <v/>
      </c>
      <c r="Y12">
        <f>HYPERLINK("https://klasma.github.io/Logging_2523/tillsynsmail/A 36293-2025 tillsynsbegäran mail.docx", "A 36293-2025")</f>
        <v/>
      </c>
    </row>
    <row r="13" ht="15" customHeight="1">
      <c r="A13" t="inlineStr">
        <is>
          <t>A 36298-2025</t>
        </is>
      </c>
      <c r="B13" s="1" t="n">
        <v>45867.68763888889</v>
      </c>
      <c r="C13" s="1" t="n">
        <v>45878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18.1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Knottrig blåslav
Orange taggsvamp
Bårdlav
Dropptaggsvamp
Plattlummer</t>
        </is>
      </c>
      <c r="S13">
        <f>HYPERLINK("https://klasma.github.io/Logging_2523/artfynd/A 36298-2025 artfynd.xlsx", "A 36298-2025")</f>
        <v/>
      </c>
      <c r="T13">
        <f>HYPERLINK("https://klasma.github.io/Logging_2523/kartor/A 36298-2025 karta.png", "A 36298-2025")</f>
        <v/>
      </c>
      <c r="V13">
        <f>HYPERLINK("https://klasma.github.io/Logging_2523/klagomål/A 36298-2025 FSC-klagomål.docx", "A 36298-2025")</f>
        <v/>
      </c>
      <c r="W13">
        <f>HYPERLINK("https://klasma.github.io/Logging_2523/klagomålsmail/A 36298-2025 FSC-klagomål mail.docx", "A 36298-2025")</f>
        <v/>
      </c>
      <c r="X13">
        <f>HYPERLINK("https://klasma.github.io/Logging_2523/tillsyn/A 36298-2025 tillsynsbegäran.docx", "A 36298-2025")</f>
        <v/>
      </c>
      <c r="Y13">
        <f>HYPERLINK("https://klasma.github.io/Logging_2523/tillsynsmail/A 36298-2025 tillsynsbegäran mail.docx", "A 36298-2025")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45878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45878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45878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45878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25922-2024</t>
        </is>
      </c>
      <c r="B18" s="1" t="n">
        <v>45467.60636574074</v>
      </c>
      <c r="C18" s="1" t="n">
        <v>45878</v>
      </c>
      <c r="D18" t="inlineStr">
        <is>
          <t>NORRBOTTENS LÄN</t>
        </is>
      </c>
      <c r="E18" t="inlineStr">
        <is>
          <t>GÄLLIVARE</t>
        </is>
      </c>
      <c r="G18" t="n">
        <v>9.300000000000001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Kricka
Buskskvätta
Svartsnäppa
Huggorm</t>
        </is>
      </c>
      <c r="S18">
        <f>HYPERLINK("https://klasma.github.io/Logging_2523/artfynd/A 25922-2024 artfynd.xlsx", "A 25922-2024")</f>
        <v/>
      </c>
      <c r="T18">
        <f>HYPERLINK("https://klasma.github.io/Logging_2523/kartor/A 25922-2024 karta.png", "A 25922-2024")</f>
        <v/>
      </c>
      <c r="V18">
        <f>HYPERLINK("https://klasma.github.io/Logging_2523/klagomål/A 25922-2024 FSC-klagomål.docx", "A 25922-2024")</f>
        <v/>
      </c>
      <c r="W18">
        <f>HYPERLINK("https://klasma.github.io/Logging_2523/klagomålsmail/A 25922-2024 FSC-klagomål mail.docx", "A 25922-2024")</f>
        <v/>
      </c>
      <c r="X18">
        <f>HYPERLINK("https://klasma.github.io/Logging_2523/tillsyn/A 25922-2024 tillsynsbegäran.docx", "A 25922-2024")</f>
        <v/>
      </c>
      <c r="Y18">
        <f>HYPERLINK("https://klasma.github.io/Logging_2523/tillsynsmail/A 25922-2024 tillsynsbegäran mail.docx", "A 25922-2024")</f>
        <v/>
      </c>
      <c r="Z18">
        <f>HYPERLINK("https://klasma.github.io/Logging_2523/fåglar/A 25922-2024 prioriterade fågelarter.docx", "A 25922-2024")</f>
        <v/>
      </c>
    </row>
    <row r="19" ht="15" customHeight="1">
      <c r="A19" t="inlineStr">
        <is>
          <t>A 42691-2024</t>
        </is>
      </c>
      <c r="B19" s="1" t="n">
        <v>45566</v>
      </c>
      <c r="C19" s="1" t="n">
        <v>45878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16.8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Vaddporing</t>
        </is>
      </c>
      <c r="S19">
        <f>HYPERLINK("https://klasma.github.io/Logging_2523/artfynd/A 42691-2024 artfynd.xlsx", "A 42691-2024")</f>
        <v/>
      </c>
      <c r="T19">
        <f>HYPERLINK("https://klasma.github.io/Logging_2523/kartor/A 42691-2024 karta.png", "A 42691-2024")</f>
        <v/>
      </c>
      <c r="V19">
        <f>HYPERLINK("https://klasma.github.io/Logging_2523/klagomål/A 42691-2024 FSC-klagomål.docx", "A 42691-2024")</f>
        <v/>
      </c>
      <c r="W19">
        <f>HYPERLINK("https://klasma.github.io/Logging_2523/klagomålsmail/A 42691-2024 FSC-klagomål mail.docx", "A 42691-2024")</f>
        <v/>
      </c>
      <c r="X19">
        <f>HYPERLINK("https://klasma.github.io/Logging_2523/tillsyn/A 42691-2024 tillsynsbegäran.docx", "A 42691-2024")</f>
        <v/>
      </c>
      <c r="Y19">
        <f>HYPERLINK("https://klasma.github.io/Logging_2523/tillsynsmail/A 42691-2024 tillsynsbegäran mail.docx", "A 42691-2024")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45878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14482-2023</t>
        </is>
      </c>
      <c r="B21" s="1" t="n">
        <v>45012</v>
      </c>
      <c r="C21" s="1" t="n">
        <v>45878</v>
      </c>
      <c r="D21" t="inlineStr">
        <is>
          <t>NORRBOTTENS LÄN</t>
        </is>
      </c>
      <c r="E21" t="inlineStr">
        <is>
          <t>GÄLLIVARE</t>
        </is>
      </c>
      <c r="G21" t="n">
        <v>7.4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Goliatmusseron
Tallgråticka
Blå taggsvamp</t>
        </is>
      </c>
      <c r="S21">
        <f>HYPERLINK("https://klasma.github.io/Logging_2523/artfynd/A 14482-2023 artfynd.xlsx", "A 14482-2023")</f>
        <v/>
      </c>
      <c r="T21">
        <f>HYPERLINK("https://klasma.github.io/Logging_2523/kartor/A 14482-2023 karta.png", "A 14482-2023")</f>
        <v/>
      </c>
      <c r="V21">
        <f>HYPERLINK("https://klasma.github.io/Logging_2523/klagomål/A 14482-2023 FSC-klagomål.docx", "A 14482-2023")</f>
        <v/>
      </c>
      <c r="W21">
        <f>HYPERLINK("https://klasma.github.io/Logging_2523/klagomålsmail/A 14482-2023 FSC-klagomål mail.docx", "A 14482-2023")</f>
        <v/>
      </c>
      <c r="X21">
        <f>HYPERLINK("https://klasma.github.io/Logging_2523/tillsyn/A 14482-2023 tillsynsbegäran.docx", "A 14482-2023")</f>
        <v/>
      </c>
      <c r="Y21">
        <f>HYPERLINK("https://klasma.github.io/Logging_2523/tillsynsmail/A 14482-2023 tillsynsbegäran mail.docx", "A 14482-2023")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45878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45878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45878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46856-2023</t>
        </is>
      </c>
      <c r="B25" s="1" t="n">
        <v>45199</v>
      </c>
      <c r="C25" s="1" t="n">
        <v>45878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15.2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Tretåig hackspett</t>
        </is>
      </c>
      <c r="S25">
        <f>HYPERLINK("https://klasma.github.io/Logging_2523/artfynd/A 46856-2023 artfynd.xlsx", "A 46856-2023")</f>
        <v/>
      </c>
      <c r="T25">
        <f>HYPERLINK("https://klasma.github.io/Logging_2523/kartor/A 46856-2023 karta.png", "A 46856-2023")</f>
        <v/>
      </c>
      <c r="V25">
        <f>HYPERLINK("https://klasma.github.io/Logging_2523/klagomål/A 46856-2023 FSC-klagomål.docx", "A 46856-2023")</f>
        <v/>
      </c>
      <c r="W25">
        <f>HYPERLINK("https://klasma.github.io/Logging_2523/klagomålsmail/A 46856-2023 FSC-klagomål mail.docx", "A 46856-2023")</f>
        <v/>
      </c>
      <c r="X25">
        <f>HYPERLINK("https://klasma.github.io/Logging_2523/tillsyn/A 46856-2023 tillsynsbegäran.docx", "A 46856-2023")</f>
        <v/>
      </c>
      <c r="Y25">
        <f>HYPERLINK("https://klasma.github.io/Logging_2523/tillsynsmail/A 46856-2023 tillsynsbegäran mail.docx", "A 46856-2023")</f>
        <v/>
      </c>
      <c r="Z25">
        <f>HYPERLINK("https://klasma.github.io/Logging_2523/fåglar/A 46856-2023 prioriterade fågelarter.docx", "A 46856-2023")</f>
        <v/>
      </c>
    </row>
    <row r="26" ht="15" customHeight="1">
      <c r="A26" t="inlineStr">
        <is>
          <t>A 15155-2025</t>
        </is>
      </c>
      <c r="B26" s="1" t="n">
        <v>45744</v>
      </c>
      <c r="C26" s="1" t="n">
        <v>45878</v>
      </c>
      <c r="D26" t="inlineStr">
        <is>
          <t>NORRBOTTENS LÄN</t>
        </is>
      </c>
      <c r="E26" t="inlineStr">
        <is>
          <t>GÄLLIVARE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Mospindling
Talltita</t>
        </is>
      </c>
      <c r="S26">
        <f>HYPERLINK("https://klasma.github.io/Logging_2523/artfynd/A 15155-2025 artfynd.xlsx", "A 15155-2025")</f>
        <v/>
      </c>
      <c r="T26">
        <f>HYPERLINK("https://klasma.github.io/Logging_2523/kartor/A 15155-2025 karta.png", "A 15155-2025")</f>
        <v/>
      </c>
      <c r="V26">
        <f>HYPERLINK("https://klasma.github.io/Logging_2523/klagomål/A 15155-2025 FSC-klagomål.docx", "A 15155-2025")</f>
        <v/>
      </c>
      <c r="W26">
        <f>HYPERLINK("https://klasma.github.io/Logging_2523/klagomålsmail/A 15155-2025 FSC-klagomål mail.docx", "A 15155-2025")</f>
        <v/>
      </c>
      <c r="X26">
        <f>HYPERLINK("https://klasma.github.io/Logging_2523/tillsyn/A 15155-2025 tillsynsbegäran.docx", "A 15155-2025")</f>
        <v/>
      </c>
      <c r="Y26">
        <f>HYPERLINK("https://klasma.github.io/Logging_2523/tillsynsmail/A 15155-2025 tillsynsbegäran mail.docx", "A 15155-2025")</f>
        <v/>
      </c>
      <c r="Z26">
        <f>HYPERLINK("https://klasma.github.io/Logging_2523/fåglar/A 15155-2025 prioriterade fågelarter.docx", "A 15155-2025")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45878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36248-2023</t>
        </is>
      </c>
      <c r="B28" s="1" t="n">
        <v>45150</v>
      </c>
      <c r="C28" s="1" t="n">
        <v>45878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Gräddporing
Nordtagging</t>
        </is>
      </c>
      <c r="S28">
        <f>HYPERLINK("https://klasma.github.io/Logging_2523/artfynd/A 36248-2023 artfynd.xlsx", "A 36248-2023")</f>
        <v/>
      </c>
      <c r="T28">
        <f>HYPERLINK("https://klasma.github.io/Logging_2523/kartor/A 36248-2023 karta.png", "A 36248-2023")</f>
        <v/>
      </c>
      <c r="V28">
        <f>HYPERLINK("https://klasma.github.io/Logging_2523/klagomål/A 36248-2023 FSC-klagomål.docx", "A 36248-2023")</f>
        <v/>
      </c>
      <c r="W28">
        <f>HYPERLINK("https://klasma.github.io/Logging_2523/klagomålsmail/A 36248-2023 FSC-klagomål mail.docx", "A 36248-2023")</f>
        <v/>
      </c>
      <c r="X28">
        <f>HYPERLINK("https://klasma.github.io/Logging_2523/tillsyn/A 36248-2023 tillsynsbegäran.docx", "A 36248-2023")</f>
        <v/>
      </c>
      <c r="Y28">
        <f>HYPERLINK("https://klasma.github.io/Logging_2523/tillsynsmail/A 36248-2023 tillsynsbegäran mail.docx", "A 36248-2023")</f>
        <v/>
      </c>
    </row>
    <row r="29" ht="15" customHeight="1">
      <c r="A29" t="inlineStr">
        <is>
          <t>A 5793-2025</t>
        </is>
      </c>
      <c r="B29" s="1" t="n">
        <v>45694</v>
      </c>
      <c r="C29" s="1" t="n">
        <v>45878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HYPERLINK("https://klasma.github.io/Logging_2523/artfynd/A 5793-2025 artfynd.xlsx", "A 5793-2025")</f>
        <v/>
      </c>
      <c r="T29">
        <f>HYPERLINK("https://klasma.github.io/Logging_2523/kartor/A 5793-2025 karta.png", "A 5793-2025")</f>
        <v/>
      </c>
      <c r="V29">
        <f>HYPERLINK("https://klasma.github.io/Logging_2523/klagomål/A 5793-2025 FSC-klagomål.docx", "A 5793-2025")</f>
        <v/>
      </c>
      <c r="W29">
        <f>HYPERLINK("https://klasma.github.io/Logging_2523/klagomålsmail/A 5793-2025 FSC-klagomål mail.docx", "A 5793-2025")</f>
        <v/>
      </c>
      <c r="X29">
        <f>HYPERLINK("https://klasma.github.io/Logging_2523/tillsyn/A 5793-2025 tillsynsbegäran.docx", "A 5793-2025")</f>
        <v/>
      </c>
      <c r="Y29">
        <f>HYPERLINK("https://klasma.github.io/Logging_2523/tillsynsmail/A 5793-2025 tillsynsbegäran mail.docx", "A 5793-2025")</f>
        <v/>
      </c>
    </row>
    <row r="30" ht="15" customHeight="1">
      <c r="A30" t="inlineStr">
        <is>
          <t>A 41651-2023</t>
        </is>
      </c>
      <c r="B30" s="1" t="n">
        <v>45175</v>
      </c>
      <c r="C30" s="1" t="n">
        <v>45878</v>
      </c>
      <c r="D30" t="inlineStr">
        <is>
          <t>NORRBOTTENS LÄN</t>
        </is>
      </c>
      <c r="E30" t="inlineStr">
        <is>
          <t>GÄLLIVARE</t>
        </is>
      </c>
      <c r="F30" t="inlineStr">
        <is>
          <t>SCA</t>
        </is>
      </c>
      <c r="G30" t="n">
        <v>2.7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Tretåig hackspett</t>
        </is>
      </c>
      <c r="S30">
        <f>HYPERLINK("https://klasma.github.io/Logging_2523/artfynd/A 41651-2023 artfynd.xlsx", "A 41651-2023")</f>
        <v/>
      </c>
      <c r="T30">
        <f>HYPERLINK("https://klasma.github.io/Logging_2523/kartor/A 41651-2023 karta.png", "A 41651-2023")</f>
        <v/>
      </c>
      <c r="V30">
        <f>HYPERLINK("https://klasma.github.io/Logging_2523/klagomål/A 41651-2023 FSC-klagomål.docx", "A 41651-2023")</f>
        <v/>
      </c>
      <c r="W30">
        <f>HYPERLINK("https://klasma.github.io/Logging_2523/klagomålsmail/A 41651-2023 FSC-klagomål mail.docx", "A 41651-2023")</f>
        <v/>
      </c>
      <c r="X30">
        <f>HYPERLINK("https://klasma.github.io/Logging_2523/tillsyn/A 41651-2023 tillsynsbegäran.docx", "A 41651-2023")</f>
        <v/>
      </c>
      <c r="Y30">
        <f>HYPERLINK("https://klasma.github.io/Logging_2523/tillsynsmail/A 41651-2023 tillsynsbegäran mail.docx", "A 41651-2023")</f>
        <v/>
      </c>
      <c r="Z30">
        <f>HYPERLINK("https://klasma.github.io/Logging_2523/fåglar/A 41651-2023 prioriterade fågelarter.docx", "A 41651-2023")</f>
        <v/>
      </c>
    </row>
    <row r="31" ht="15" customHeight="1">
      <c r="A31" t="inlineStr">
        <is>
          <t>A 36252-2023</t>
        </is>
      </c>
      <c r="B31" s="1" t="n">
        <v>45150</v>
      </c>
      <c r="C31" s="1" t="n">
        <v>45878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14.1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taggsvamp
Talltaggsvamp</t>
        </is>
      </c>
      <c r="S31">
        <f>HYPERLINK("https://klasma.github.io/Logging_2523/artfynd/A 36252-2023 artfynd.xlsx", "A 36252-2023")</f>
        <v/>
      </c>
      <c r="T31">
        <f>HYPERLINK("https://klasma.github.io/Logging_2523/kartor/A 36252-2023 karta.png", "A 36252-2023")</f>
        <v/>
      </c>
      <c r="V31">
        <f>HYPERLINK("https://klasma.github.io/Logging_2523/klagomål/A 36252-2023 FSC-klagomål.docx", "A 36252-2023")</f>
        <v/>
      </c>
      <c r="W31">
        <f>HYPERLINK("https://klasma.github.io/Logging_2523/klagomålsmail/A 36252-2023 FSC-klagomål mail.docx", "A 36252-2023")</f>
        <v/>
      </c>
      <c r="X31">
        <f>HYPERLINK("https://klasma.github.io/Logging_2523/tillsyn/A 36252-2023 tillsynsbegäran.docx", "A 36252-2023")</f>
        <v/>
      </c>
      <c r="Y31">
        <f>HYPERLINK("https://klasma.github.io/Logging_2523/tillsynsmail/A 36252-2023 tillsynsbegäran mail.docx", "A 36252-2023")</f>
        <v/>
      </c>
    </row>
    <row r="32" ht="15" customHeight="1">
      <c r="A32" t="inlineStr">
        <is>
          <t>A 44309-2024</t>
        </is>
      </c>
      <c r="B32" s="1" t="n">
        <v>45573</v>
      </c>
      <c r="C32" s="1" t="n">
        <v>45878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11.4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Blå taggsvamp
Dropptaggsvamp</t>
        </is>
      </c>
      <c r="S32">
        <f>HYPERLINK("https://klasma.github.io/Logging_2523/artfynd/A 44309-2024 artfynd.xlsx", "A 44309-2024")</f>
        <v/>
      </c>
      <c r="T32">
        <f>HYPERLINK("https://klasma.github.io/Logging_2523/kartor/A 44309-2024 karta.png", "A 44309-2024")</f>
        <v/>
      </c>
      <c r="V32">
        <f>HYPERLINK("https://klasma.github.io/Logging_2523/klagomål/A 44309-2024 FSC-klagomål.docx", "A 44309-2024")</f>
        <v/>
      </c>
      <c r="W32">
        <f>HYPERLINK("https://klasma.github.io/Logging_2523/klagomålsmail/A 44309-2024 FSC-klagomål mail.docx", "A 44309-2024")</f>
        <v/>
      </c>
      <c r="X32">
        <f>HYPERLINK("https://klasma.github.io/Logging_2523/tillsyn/A 44309-2024 tillsynsbegäran.docx", "A 44309-2024")</f>
        <v/>
      </c>
      <c r="Y32">
        <f>HYPERLINK("https://klasma.github.io/Logging_2523/tillsynsmail/A 44309-2024 tillsynsbegäran mail.docx", "A 44309-2024")</f>
        <v/>
      </c>
    </row>
    <row r="33" ht="15" customHeight="1">
      <c r="A33" t="inlineStr">
        <is>
          <t>A 27115-2025</t>
        </is>
      </c>
      <c r="B33" s="1" t="n">
        <v>45811.74119212963</v>
      </c>
      <c r="C33" s="1" t="n">
        <v>45878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Kolflarnlav
Dropptaggsvamp</t>
        </is>
      </c>
      <c r="S33">
        <f>HYPERLINK("https://klasma.github.io/Logging_2523/artfynd/A 27115-2025 artfynd.xlsx", "A 27115-2025")</f>
        <v/>
      </c>
      <c r="T33">
        <f>HYPERLINK("https://klasma.github.io/Logging_2523/kartor/A 27115-2025 karta.png", "A 27115-2025")</f>
        <v/>
      </c>
      <c r="V33">
        <f>HYPERLINK("https://klasma.github.io/Logging_2523/klagomål/A 27115-2025 FSC-klagomål.docx", "A 27115-2025")</f>
        <v/>
      </c>
      <c r="W33">
        <f>HYPERLINK("https://klasma.github.io/Logging_2523/klagomålsmail/A 27115-2025 FSC-klagomål mail.docx", "A 27115-2025")</f>
        <v/>
      </c>
      <c r="X33">
        <f>HYPERLINK("https://klasma.github.io/Logging_2523/tillsyn/A 27115-2025 tillsynsbegäran.docx", "A 27115-2025")</f>
        <v/>
      </c>
      <c r="Y33">
        <f>HYPERLINK("https://klasma.github.io/Logging_2523/tillsynsmail/A 27115-2025 tillsynsbegäran mail.docx", "A 27115-2025")</f>
        <v/>
      </c>
    </row>
    <row r="34" ht="15" customHeight="1">
      <c r="A34" t="inlineStr">
        <is>
          <t>A 41650-2023</t>
        </is>
      </c>
      <c r="B34" s="1" t="n">
        <v>45175</v>
      </c>
      <c r="C34" s="1" t="n">
        <v>45878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16.1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Gräddporing
Vaddporing</t>
        </is>
      </c>
      <c r="S34">
        <f>HYPERLINK("https://klasma.github.io/Logging_2523/artfynd/A 41650-2023 artfynd.xlsx", "A 41650-2023")</f>
        <v/>
      </c>
      <c r="T34">
        <f>HYPERLINK("https://klasma.github.io/Logging_2523/kartor/A 41650-2023 karta.png", "A 41650-2023")</f>
        <v/>
      </c>
      <c r="V34">
        <f>HYPERLINK("https://klasma.github.io/Logging_2523/klagomål/A 41650-2023 FSC-klagomål.docx", "A 41650-2023")</f>
        <v/>
      </c>
      <c r="W34">
        <f>HYPERLINK("https://klasma.github.io/Logging_2523/klagomålsmail/A 41650-2023 FSC-klagomål mail.docx", "A 41650-2023")</f>
        <v/>
      </c>
      <c r="X34">
        <f>HYPERLINK("https://klasma.github.io/Logging_2523/tillsyn/A 41650-2023 tillsynsbegäran.docx", "A 41650-2023")</f>
        <v/>
      </c>
      <c r="Y34">
        <f>HYPERLINK("https://klasma.github.io/Logging_2523/tillsynsmail/A 41650-2023 tillsynsbegäran mail.docx", "A 41650-2023")</f>
        <v/>
      </c>
    </row>
    <row r="35" ht="15" customHeight="1">
      <c r="A35" t="inlineStr">
        <is>
          <t>A 5728-2025</t>
        </is>
      </c>
      <c r="B35" s="1" t="n">
        <v>45694</v>
      </c>
      <c r="C35" s="1" t="n">
        <v>45878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13.1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HYPERLINK("https://klasma.github.io/Logging_2523/artfynd/A 5728-2025 artfynd.xlsx", "A 5728-2025")</f>
        <v/>
      </c>
      <c r="T35">
        <f>HYPERLINK("https://klasma.github.io/Logging_2523/kartor/A 5728-2025 karta.png", "A 5728-2025")</f>
        <v/>
      </c>
      <c r="V35">
        <f>HYPERLINK("https://klasma.github.io/Logging_2523/klagomål/A 5728-2025 FSC-klagomål.docx", "A 5728-2025")</f>
        <v/>
      </c>
      <c r="W35">
        <f>HYPERLINK("https://klasma.github.io/Logging_2523/klagomålsmail/A 5728-2025 FSC-klagomål mail.docx", "A 5728-2025")</f>
        <v/>
      </c>
      <c r="X35">
        <f>HYPERLINK("https://klasma.github.io/Logging_2523/tillsyn/A 5728-2025 tillsynsbegäran.docx", "A 5728-2025")</f>
        <v/>
      </c>
      <c r="Y35">
        <f>HYPERLINK("https://klasma.github.io/Logging_2523/tillsynsmail/A 5728-2025 tillsynsbegäran mail.docx", "A 5728-2025")</f>
        <v/>
      </c>
    </row>
    <row r="36" ht="15" customHeight="1">
      <c r="A36" t="inlineStr">
        <is>
          <t>A 30326-2025</t>
        </is>
      </c>
      <c r="B36" s="1" t="n">
        <v>45827.50583333334</v>
      </c>
      <c r="C36" s="1" t="n">
        <v>45878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14.5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Plattlummer</t>
        </is>
      </c>
      <c r="S36">
        <f>HYPERLINK("https://klasma.github.io/Logging_2523/artfynd/A 30326-2025 artfynd.xlsx", "A 30326-2025")</f>
        <v/>
      </c>
      <c r="T36">
        <f>HYPERLINK("https://klasma.github.io/Logging_2523/kartor/A 30326-2025 karta.png", "A 30326-2025")</f>
        <v/>
      </c>
      <c r="V36">
        <f>HYPERLINK("https://klasma.github.io/Logging_2523/klagomål/A 30326-2025 FSC-klagomål.docx", "A 30326-2025")</f>
        <v/>
      </c>
      <c r="W36">
        <f>HYPERLINK("https://klasma.github.io/Logging_2523/klagomålsmail/A 30326-2025 FSC-klagomål mail.docx", "A 30326-2025")</f>
        <v/>
      </c>
      <c r="X36">
        <f>HYPERLINK("https://klasma.github.io/Logging_2523/tillsyn/A 30326-2025 tillsynsbegäran.docx", "A 30326-2025")</f>
        <v/>
      </c>
      <c r="Y36">
        <f>HYPERLINK("https://klasma.github.io/Logging_2523/tillsynsmail/A 30326-2025 tillsynsbegäran mail.docx", "A 30326-2025")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45878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45878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51389-2023</t>
        </is>
      </c>
      <c r="B39" s="1" t="n">
        <v>45213</v>
      </c>
      <c r="C39" s="1" t="n">
        <v>45878</v>
      </c>
      <c r="D39" t="inlineStr">
        <is>
          <t>NORRBOTTENS LÄN</t>
        </is>
      </c>
      <c r="E39" t="inlineStr">
        <is>
          <t>GÄLLIVARE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HYPERLINK("https://klasma.github.io/Logging_2523/artfynd/A 51389-2023 artfynd.xlsx", "A 51389-2023")</f>
        <v/>
      </c>
      <c r="T39">
        <f>HYPERLINK("https://klasma.github.io/Logging_2523/kartor/A 51389-2023 karta.png", "A 51389-2023")</f>
        <v/>
      </c>
      <c r="V39">
        <f>HYPERLINK("https://klasma.github.io/Logging_2523/klagomål/A 51389-2023 FSC-klagomål.docx", "A 51389-2023")</f>
        <v/>
      </c>
      <c r="W39">
        <f>HYPERLINK("https://klasma.github.io/Logging_2523/klagomålsmail/A 51389-2023 FSC-klagomål mail.docx", "A 51389-2023")</f>
        <v/>
      </c>
      <c r="X39">
        <f>HYPERLINK("https://klasma.github.io/Logging_2523/tillsyn/A 51389-2023 tillsynsbegäran.docx", "A 51389-2023")</f>
        <v/>
      </c>
      <c r="Y39">
        <f>HYPERLINK("https://klasma.github.io/Logging_2523/tillsynsmail/A 51389-2023 tillsynsbegäran mail.docx", "A 51389-2023")</f>
        <v/>
      </c>
      <c r="Z39">
        <f>HYPERLINK("https://klasma.github.io/Logging_2523/fåglar/A 51389-2023 prioriterade fågelarter.docx", "A 51389-2023")</f>
        <v/>
      </c>
    </row>
    <row r="40" ht="15" customHeight="1">
      <c r="A40" t="inlineStr">
        <is>
          <t>A 18043-2024</t>
        </is>
      </c>
      <c r="B40" s="1" t="n">
        <v>45420</v>
      </c>
      <c r="C40" s="1" t="n">
        <v>45878</v>
      </c>
      <c r="D40" t="inlineStr">
        <is>
          <t>NORRBOTTENS LÄN</t>
        </is>
      </c>
      <c r="E40" t="inlineStr">
        <is>
          <t>GÄLLIVARE</t>
        </is>
      </c>
      <c r="G40" t="n">
        <v>35.5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HYPERLINK("https://klasma.github.io/Logging_2523/artfynd/A 18043-2024 artfynd.xlsx", "A 18043-2024")</f>
        <v/>
      </c>
      <c r="T40">
        <f>HYPERLINK("https://klasma.github.io/Logging_2523/kartor/A 18043-2024 karta.png", "A 18043-2024")</f>
        <v/>
      </c>
      <c r="V40">
        <f>HYPERLINK("https://klasma.github.io/Logging_2523/klagomål/A 18043-2024 FSC-klagomål.docx", "A 18043-2024")</f>
        <v/>
      </c>
      <c r="W40">
        <f>HYPERLINK("https://klasma.github.io/Logging_2523/klagomålsmail/A 18043-2024 FSC-klagomål mail.docx", "A 18043-2024")</f>
        <v/>
      </c>
      <c r="X40">
        <f>HYPERLINK("https://klasma.github.io/Logging_2523/tillsyn/A 18043-2024 tillsynsbegäran.docx", "A 18043-2024")</f>
        <v/>
      </c>
      <c r="Y40">
        <f>HYPERLINK("https://klasma.github.io/Logging_2523/tillsynsmail/A 18043-2024 tillsynsbegäran mail.docx", "A 18043-2024")</f>
        <v/>
      </c>
    </row>
    <row r="41" ht="15" customHeight="1">
      <c r="A41" t="inlineStr">
        <is>
          <t>A 53801-2024</t>
        </is>
      </c>
      <c r="B41" s="1" t="n">
        <v>45615</v>
      </c>
      <c r="C41" s="1" t="n">
        <v>45878</v>
      </c>
      <c r="D41" t="inlineStr">
        <is>
          <t>NORRBOTTENS LÄN</t>
        </is>
      </c>
      <c r="E41" t="inlineStr">
        <is>
          <t>GÄLLIVARE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HYPERLINK("https://klasma.github.io/Logging_2523/artfynd/A 53801-2024 artfynd.xlsx", "A 53801-2024")</f>
        <v/>
      </c>
      <c r="T41">
        <f>HYPERLINK("https://klasma.github.io/Logging_2523/kartor/A 53801-2024 karta.png", "A 53801-2024")</f>
        <v/>
      </c>
      <c r="V41">
        <f>HYPERLINK("https://klasma.github.io/Logging_2523/klagomål/A 53801-2024 FSC-klagomål.docx", "A 53801-2024")</f>
        <v/>
      </c>
      <c r="W41">
        <f>HYPERLINK("https://klasma.github.io/Logging_2523/klagomålsmail/A 53801-2024 FSC-klagomål mail.docx", "A 53801-2024")</f>
        <v/>
      </c>
      <c r="X41">
        <f>HYPERLINK("https://klasma.github.io/Logging_2523/tillsyn/A 53801-2024 tillsynsbegäran.docx", "A 53801-2024")</f>
        <v/>
      </c>
      <c r="Y41">
        <f>HYPERLINK("https://klasma.github.io/Logging_2523/tillsynsmail/A 53801-2024 tillsynsbegäran mail.docx", "A 53801-2024")</f>
        <v/>
      </c>
    </row>
    <row r="42" ht="15" customHeight="1">
      <c r="A42" t="inlineStr">
        <is>
          <t>A 23578-2025</t>
        </is>
      </c>
      <c r="B42" s="1" t="n">
        <v>45792</v>
      </c>
      <c r="C42" s="1" t="n">
        <v>45878</v>
      </c>
      <c r="D42" t="inlineStr">
        <is>
          <t>NORRBOTTENS LÄN</t>
        </is>
      </c>
      <c r="E42" t="inlineStr">
        <is>
          <t>GÄLLIVARE</t>
        </is>
      </c>
      <c r="F42" t="inlineStr">
        <is>
          <t>Allmännings- och besparingsskogar</t>
        </is>
      </c>
      <c r="G42" t="n">
        <v>51.6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23578-2025 artfynd.xlsx", "A 23578-2025")</f>
        <v/>
      </c>
      <c r="T42">
        <f>HYPERLINK("https://klasma.github.io/Logging_2523/kartor/A 23578-2025 karta.png", "A 23578-2025")</f>
        <v/>
      </c>
      <c r="V42">
        <f>HYPERLINK("https://klasma.github.io/Logging_2523/klagomål/A 23578-2025 FSC-klagomål.docx", "A 23578-2025")</f>
        <v/>
      </c>
      <c r="W42">
        <f>HYPERLINK("https://klasma.github.io/Logging_2523/klagomålsmail/A 23578-2025 FSC-klagomål mail.docx", "A 23578-2025")</f>
        <v/>
      </c>
      <c r="X42">
        <f>HYPERLINK("https://klasma.github.io/Logging_2523/tillsyn/A 23578-2025 tillsynsbegäran.docx", "A 23578-2025")</f>
        <v/>
      </c>
      <c r="Y42">
        <f>HYPERLINK("https://klasma.github.io/Logging_2523/tillsynsmail/A 23578-2025 tillsynsbegäran mail.docx", "A 23578-2025")</f>
        <v/>
      </c>
    </row>
    <row r="43" ht="15" customHeight="1">
      <c r="A43" t="inlineStr">
        <is>
          <t>A 4908-2025</t>
        </is>
      </c>
      <c r="B43" s="1" t="n">
        <v>45688</v>
      </c>
      <c r="C43" s="1" t="n">
        <v>45878</v>
      </c>
      <c r="D43" t="inlineStr">
        <is>
          <t>NORRBOTTENS LÄN</t>
        </is>
      </c>
      <c r="E43" t="inlineStr">
        <is>
          <t>GÄLLIVARE</t>
        </is>
      </c>
      <c r="F43" t="inlineStr">
        <is>
          <t>SCA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HYPERLINK("https://klasma.github.io/Logging_2523/artfynd/A 4908-2025 artfynd.xlsx", "A 4908-2025")</f>
        <v/>
      </c>
      <c r="T43">
        <f>HYPERLINK("https://klasma.github.io/Logging_2523/kartor/A 4908-2025 karta.png", "A 4908-2025")</f>
        <v/>
      </c>
      <c r="V43">
        <f>HYPERLINK("https://klasma.github.io/Logging_2523/klagomål/A 4908-2025 FSC-klagomål.docx", "A 4908-2025")</f>
        <v/>
      </c>
      <c r="W43">
        <f>HYPERLINK("https://klasma.github.io/Logging_2523/klagomålsmail/A 4908-2025 FSC-klagomål mail.docx", "A 4908-2025")</f>
        <v/>
      </c>
      <c r="X43">
        <f>HYPERLINK("https://klasma.github.io/Logging_2523/tillsyn/A 4908-2025 tillsynsbegäran.docx", "A 4908-2025")</f>
        <v/>
      </c>
      <c r="Y43">
        <f>HYPERLINK("https://klasma.github.io/Logging_2523/tillsynsmail/A 4908-2025 tillsynsbegäran mail.docx", "A 4908-2025")</f>
        <v/>
      </c>
    </row>
    <row r="44" ht="15" customHeight="1">
      <c r="A44" t="inlineStr">
        <is>
          <t>A 27336-2023</t>
        </is>
      </c>
      <c r="B44" s="1" t="n">
        <v>45096</v>
      </c>
      <c r="C44" s="1" t="n">
        <v>45878</v>
      </c>
      <c r="D44" t="inlineStr">
        <is>
          <t>NORRBOTTENS LÄN</t>
        </is>
      </c>
      <c r="E44" t="inlineStr">
        <is>
          <t>GÄLLIVARE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HYPERLINK("https://klasma.github.io/Logging_2523/artfynd/A 27336-2023 artfynd.xlsx", "A 27336-2023")</f>
        <v/>
      </c>
      <c r="T44">
        <f>HYPERLINK("https://klasma.github.io/Logging_2523/kartor/A 27336-2023 karta.png", "A 27336-2023")</f>
        <v/>
      </c>
      <c r="V44">
        <f>HYPERLINK("https://klasma.github.io/Logging_2523/klagomål/A 27336-2023 FSC-klagomål.docx", "A 27336-2023")</f>
        <v/>
      </c>
      <c r="W44">
        <f>HYPERLINK("https://klasma.github.io/Logging_2523/klagomålsmail/A 27336-2023 FSC-klagomål mail.docx", "A 27336-2023")</f>
        <v/>
      </c>
      <c r="X44">
        <f>HYPERLINK("https://klasma.github.io/Logging_2523/tillsyn/A 27336-2023 tillsynsbegäran.docx", "A 27336-2023")</f>
        <v/>
      </c>
      <c r="Y44">
        <f>HYPERLINK("https://klasma.github.io/Logging_2523/tillsynsmail/A 27336-2023 tillsynsbegäran mail.docx", "A 27336-2023")</f>
        <v/>
      </c>
    </row>
    <row r="45" ht="15" customHeight="1">
      <c r="A45" t="inlineStr">
        <is>
          <t>A 27114-2025</t>
        </is>
      </c>
      <c r="B45" s="1" t="n">
        <v>45811.74068287037</v>
      </c>
      <c r="C45" s="1" t="n">
        <v>45878</v>
      </c>
      <c r="D45" t="inlineStr">
        <is>
          <t>NORRBOTTENS LÄN</t>
        </is>
      </c>
      <c r="E45" t="inlineStr">
        <is>
          <t>GÄLLIVARE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27114-2025 artfynd.xlsx", "A 27114-2025")</f>
        <v/>
      </c>
      <c r="T45">
        <f>HYPERLINK("https://klasma.github.io/Logging_2523/kartor/A 27114-2025 karta.png", "A 27114-2025")</f>
        <v/>
      </c>
      <c r="V45">
        <f>HYPERLINK("https://klasma.github.io/Logging_2523/klagomål/A 27114-2025 FSC-klagomål.docx", "A 27114-2025")</f>
        <v/>
      </c>
      <c r="W45">
        <f>HYPERLINK("https://klasma.github.io/Logging_2523/klagomålsmail/A 27114-2025 FSC-klagomål mail.docx", "A 27114-2025")</f>
        <v/>
      </c>
      <c r="X45">
        <f>HYPERLINK("https://klasma.github.io/Logging_2523/tillsyn/A 27114-2025 tillsynsbegäran.docx", "A 27114-2025")</f>
        <v/>
      </c>
      <c r="Y45">
        <f>HYPERLINK("https://klasma.github.io/Logging_2523/tillsynsmail/A 27114-2025 tillsynsbegäran mail.docx", "A 27114-2025")</f>
        <v/>
      </c>
    </row>
    <row r="46" ht="15" customHeight="1">
      <c r="A46" t="inlineStr">
        <is>
          <t>A 36488-2025</t>
        </is>
      </c>
      <c r="B46" s="1" t="n">
        <v>45869.51623842592</v>
      </c>
      <c r="C46" s="1" t="n">
        <v>45878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36488-2025 artfynd.xlsx", "A 36488-2025")</f>
        <v/>
      </c>
      <c r="T46">
        <f>HYPERLINK("https://klasma.github.io/Logging_2523/kartor/A 36488-2025 karta.png", "A 36488-2025")</f>
        <v/>
      </c>
      <c r="U46">
        <f>HYPERLINK("https://klasma.github.io/Logging_2523/knärot/A 36488-2025 karta knärot.png", "A 36488-2025")</f>
        <v/>
      </c>
      <c r="V46">
        <f>HYPERLINK("https://klasma.github.io/Logging_2523/klagomål/A 36488-2025 FSC-klagomål.docx", "A 36488-2025")</f>
        <v/>
      </c>
      <c r="W46">
        <f>HYPERLINK("https://klasma.github.io/Logging_2523/klagomålsmail/A 36488-2025 FSC-klagomål mail.docx", "A 36488-2025")</f>
        <v/>
      </c>
      <c r="X46">
        <f>HYPERLINK("https://klasma.github.io/Logging_2523/tillsyn/A 36488-2025 tillsynsbegäran.docx", "A 36488-2025")</f>
        <v/>
      </c>
      <c r="Y46">
        <f>HYPERLINK("https://klasma.github.io/Logging_2523/tillsynsmail/A 36488-2025 tillsynsbegäran mail.docx", "A 36488-2025")</f>
        <v/>
      </c>
    </row>
    <row r="47" ht="15" customHeight="1">
      <c r="A47" t="inlineStr">
        <is>
          <t>A 31651-2025</t>
        </is>
      </c>
      <c r="B47" s="1" t="n">
        <v>45834.34667824074</v>
      </c>
      <c r="C47" s="1" t="n">
        <v>45878</v>
      </c>
      <c r="D47" t="inlineStr">
        <is>
          <t>NORRBOTTENS LÄN</t>
        </is>
      </c>
      <c r="E47" t="inlineStr">
        <is>
          <t>GÄLLIVARE</t>
        </is>
      </c>
      <c r="F47" t="inlineStr">
        <is>
          <t>SCA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Talltaggsvamp</t>
        </is>
      </c>
      <c r="S47">
        <f>HYPERLINK("https://klasma.github.io/Logging_2523/artfynd/A 31651-2025 artfynd.xlsx", "A 31651-2025")</f>
        <v/>
      </c>
      <c r="T47">
        <f>HYPERLINK("https://klasma.github.io/Logging_2523/kartor/A 31651-2025 karta.png", "A 31651-2025")</f>
        <v/>
      </c>
      <c r="V47">
        <f>HYPERLINK("https://klasma.github.io/Logging_2523/klagomål/A 31651-2025 FSC-klagomål.docx", "A 31651-2025")</f>
        <v/>
      </c>
      <c r="W47">
        <f>HYPERLINK("https://klasma.github.io/Logging_2523/klagomålsmail/A 31651-2025 FSC-klagomål mail.docx", "A 31651-2025")</f>
        <v/>
      </c>
      <c r="X47">
        <f>HYPERLINK("https://klasma.github.io/Logging_2523/tillsyn/A 31651-2025 tillsynsbegäran.docx", "A 31651-2025")</f>
        <v/>
      </c>
      <c r="Y47">
        <f>HYPERLINK("https://klasma.github.io/Logging_2523/tillsynsmail/A 31651-2025 tillsynsbegäran mail.docx", "A 31651-2025")</f>
        <v/>
      </c>
    </row>
    <row r="48" ht="15" customHeight="1">
      <c r="A48" t="inlineStr">
        <is>
          <t>A 44481-2024</t>
        </is>
      </c>
      <c r="B48" s="1" t="n">
        <v>45574.37987268518</v>
      </c>
      <c r="C48" s="1" t="n">
        <v>45878</v>
      </c>
      <c r="D48" t="inlineStr">
        <is>
          <t>NORRBOTTENS LÄN</t>
        </is>
      </c>
      <c r="E48" t="inlineStr">
        <is>
          <t>GÄLLIVARE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HYPERLINK("https://klasma.github.io/Logging_2523/artfynd/A 44481-2024 artfynd.xlsx", "A 44481-2024")</f>
        <v/>
      </c>
      <c r="T48">
        <f>HYPERLINK("https://klasma.github.io/Logging_2523/kartor/A 44481-2024 karta.png", "A 44481-2024")</f>
        <v/>
      </c>
      <c r="V48">
        <f>HYPERLINK("https://klasma.github.io/Logging_2523/klagomål/A 44481-2024 FSC-klagomål.docx", "A 44481-2024")</f>
        <v/>
      </c>
      <c r="W48">
        <f>HYPERLINK("https://klasma.github.io/Logging_2523/klagomålsmail/A 44481-2024 FSC-klagomål mail.docx", "A 44481-2024")</f>
        <v/>
      </c>
      <c r="X48">
        <f>HYPERLINK("https://klasma.github.io/Logging_2523/tillsyn/A 44481-2024 tillsynsbegäran.docx", "A 44481-2024")</f>
        <v/>
      </c>
      <c r="Y48">
        <f>HYPERLINK("https://klasma.github.io/Logging_2523/tillsynsmail/A 44481-2024 tillsynsbegäran mail.docx", "A 44481-2024")</f>
        <v/>
      </c>
    </row>
    <row r="49" ht="15" customHeight="1">
      <c r="A49" t="inlineStr">
        <is>
          <t>A 57535-2021</t>
        </is>
      </c>
      <c r="B49" s="1" t="n">
        <v>44483</v>
      </c>
      <c r="C49" s="1" t="n">
        <v>45878</v>
      </c>
      <c r="D49" t="inlineStr">
        <is>
          <t>NORRBOTTENS LÄN</t>
        </is>
      </c>
      <c r="E49" t="inlineStr">
        <is>
          <t>GÄLLIVARE</t>
        </is>
      </c>
      <c r="G49" t="n">
        <v>20.6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57535-2021 artfynd.xlsx", "A 57535-2021")</f>
        <v/>
      </c>
      <c r="T49">
        <f>HYPERLINK("https://klasma.github.io/Logging_2523/kartor/A 57535-2021 karta.png", "A 57535-2021")</f>
        <v/>
      </c>
      <c r="V49">
        <f>HYPERLINK("https://klasma.github.io/Logging_2523/klagomål/A 57535-2021 FSC-klagomål.docx", "A 57535-2021")</f>
        <v/>
      </c>
      <c r="W49">
        <f>HYPERLINK("https://klasma.github.io/Logging_2523/klagomålsmail/A 57535-2021 FSC-klagomål mail.docx", "A 57535-2021")</f>
        <v/>
      </c>
      <c r="X49">
        <f>HYPERLINK("https://klasma.github.io/Logging_2523/tillsyn/A 57535-2021 tillsynsbegäran.docx", "A 57535-2021")</f>
        <v/>
      </c>
      <c r="Y49">
        <f>HYPERLINK("https://klasma.github.io/Logging_2523/tillsynsmail/A 57535-2021 tillsynsbegäran mail.docx", "A 57535-2021")</f>
        <v/>
      </c>
    </row>
    <row r="50" ht="15" customHeight="1">
      <c r="A50" t="inlineStr">
        <is>
          <t>A 39331-2020</t>
        </is>
      </c>
      <c r="B50" s="1" t="n">
        <v>44063</v>
      </c>
      <c r="C50" s="1" t="n">
        <v>45878</v>
      </c>
      <c r="D50" t="inlineStr">
        <is>
          <t>NORRBOTTENS LÄN</t>
        </is>
      </c>
      <c r="E50" t="inlineStr">
        <is>
          <t>GÄLLIVARE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49019-2020</t>
        </is>
      </c>
      <c r="B51" s="1" t="n">
        <v>44104</v>
      </c>
      <c r="C51" s="1" t="n">
        <v>45878</v>
      </c>
      <c r="D51" t="inlineStr">
        <is>
          <t>NORRBOTTENS LÄN</t>
        </is>
      </c>
      <c r="E51" t="inlineStr">
        <is>
          <t>GÄLLIVARE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55180-2020</t>
        </is>
      </c>
      <c r="B52" s="1" t="n">
        <v>44130</v>
      </c>
      <c r="C52" s="1" t="n">
        <v>45878</v>
      </c>
      <c r="D52" t="inlineStr">
        <is>
          <t>NORRBOTTENS LÄN</t>
        </is>
      </c>
      <c r="E52" t="inlineStr">
        <is>
          <t>GÄLLIVARE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65484-2020</t>
        </is>
      </c>
      <c r="B53" s="1" t="n">
        <v>44169</v>
      </c>
      <c r="C53" s="1" t="n">
        <v>45878</v>
      </c>
      <c r="D53" t="inlineStr">
        <is>
          <t>NORRBOTTENS LÄN</t>
        </is>
      </c>
      <c r="E53" t="inlineStr">
        <is>
          <t>GÄLLIVARE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2018-2022</t>
        </is>
      </c>
      <c r="B54" s="1" t="n">
        <v>44575</v>
      </c>
      <c r="C54" s="1" t="n">
        <v>45878</v>
      </c>
      <c r="D54" t="inlineStr">
        <is>
          <t>NORRBOTTENS LÄN</t>
        </is>
      </c>
      <c r="E54" t="inlineStr">
        <is>
          <t>GÄLLIVARE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52055-2020</t>
        </is>
      </c>
      <c r="B55" s="1" t="n">
        <v>44116</v>
      </c>
      <c r="C55" s="1" t="n">
        <v>45878</v>
      </c>
      <c r="D55" t="inlineStr">
        <is>
          <t>NORRBOTTENS LÄN</t>
        </is>
      </c>
      <c r="E55" t="inlineStr">
        <is>
          <t>GÄLLIVARE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45878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47311-2020</t>
        </is>
      </c>
      <c r="B57" s="1" t="n">
        <v>44095</v>
      </c>
      <c r="C57" s="1" t="n">
        <v>45878</v>
      </c>
      <c r="D57" t="inlineStr">
        <is>
          <t>NORRBOTTENS LÄN</t>
        </is>
      </c>
      <c r="E57" t="inlineStr">
        <is>
          <t>GÄLLIVARE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18104-2022</t>
        </is>
      </c>
      <c r="B58" s="1" t="n">
        <v>44684</v>
      </c>
      <c r="C58" s="1" t="n">
        <v>45878</v>
      </c>
      <c r="D58" t="inlineStr">
        <is>
          <t>NORRBOTTENS LÄN</t>
        </is>
      </c>
      <c r="E58" t="inlineStr">
        <is>
          <t>GÄLLIVARE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71941-2021</t>
        </is>
      </c>
      <c r="B59" s="1" t="n">
        <v>44543</v>
      </c>
      <c r="C59" s="1" t="n">
        <v>45878</v>
      </c>
      <c r="D59" t="inlineStr">
        <is>
          <t>NORRBOTTENS LÄN</t>
        </is>
      </c>
      <c r="E59" t="inlineStr">
        <is>
          <t>GÄLLIVARE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7690-2022</t>
        </is>
      </c>
      <c r="B60" s="1" t="n">
        <v>44607</v>
      </c>
      <c r="C60" s="1" t="n">
        <v>45878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37551-2021</t>
        </is>
      </c>
      <c r="B61" s="1" t="n">
        <v>44399</v>
      </c>
      <c r="C61" s="1" t="n">
        <v>45878</v>
      </c>
      <c r="D61" t="inlineStr">
        <is>
          <t>NORRBOTTENS LÄN</t>
        </is>
      </c>
      <c r="E61" t="inlineStr">
        <is>
          <t>GÄLLIVARE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72762-2021</t>
        </is>
      </c>
      <c r="B62" s="1" t="n">
        <v>44546.94391203704</v>
      </c>
      <c r="C62" s="1" t="n">
        <v>45878</v>
      </c>
      <c r="D62" t="inlineStr">
        <is>
          <t>NORRBOTTENS LÄN</t>
        </is>
      </c>
      <c r="E62" t="inlineStr">
        <is>
          <t>GÄLLIVARE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49190-2022</t>
        </is>
      </c>
      <c r="B63" s="1" t="n">
        <v>44860.95458333333</v>
      </c>
      <c r="C63" s="1" t="n">
        <v>45878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38188-2021</t>
        </is>
      </c>
      <c r="B64" s="1" t="n">
        <v>44405</v>
      </c>
      <c r="C64" s="1" t="n">
        <v>45878</v>
      </c>
      <c r="D64" t="inlineStr">
        <is>
          <t>NORRBOTTENS LÄN</t>
        </is>
      </c>
      <c r="E64" t="inlineStr">
        <is>
          <t>GÄLLIVARE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44853-2021</t>
        </is>
      </c>
      <c r="B65" s="1" t="n">
        <v>44438</v>
      </c>
      <c r="C65" s="1" t="n">
        <v>45878</v>
      </c>
      <c r="D65" t="inlineStr">
        <is>
          <t>NORRBOTTENS LÄN</t>
        </is>
      </c>
      <c r="E65" t="inlineStr">
        <is>
          <t>GÄLLIVARE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55226-2022</t>
        </is>
      </c>
      <c r="B66" s="1" t="n">
        <v>44886.96305555556</v>
      </c>
      <c r="C66" s="1" t="n">
        <v>45878</v>
      </c>
      <c r="D66" t="inlineStr">
        <is>
          <t>NORRBOTTENS LÄN</t>
        </is>
      </c>
      <c r="E66" t="inlineStr">
        <is>
          <t>GÄLLIVARE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4016-2022</t>
        </is>
      </c>
      <c r="B67" s="1" t="n">
        <v>44587</v>
      </c>
      <c r="C67" s="1" t="n">
        <v>45878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50729-2022</t>
        </is>
      </c>
      <c r="B68" s="1" t="n">
        <v>44862</v>
      </c>
      <c r="C68" s="1" t="n">
        <v>45878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51706-2020</t>
        </is>
      </c>
      <c r="B69" s="1" t="n">
        <v>44113</v>
      </c>
      <c r="C69" s="1" t="n">
        <v>45878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51713-2020</t>
        </is>
      </c>
      <c r="B70" s="1" t="n">
        <v>44113</v>
      </c>
      <c r="C70" s="1" t="n">
        <v>45878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49869-2022</t>
        </is>
      </c>
      <c r="B71" s="1" t="n">
        <v>44862</v>
      </c>
      <c r="C71" s="1" t="n">
        <v>45878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49870-2022</t>
        </is>
      </c>
      <c r="B72" s="1" t="n">
        <v>44862</v>
      </c>
      <c r="C72" s="1" t="n">
        <v>45878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38183-2021</t>
        </is>
      </c>
      <c r="B73" s="1" t="n">
        <v>44405</v>
      </c>
      <c r="C73" s="1" t="n">
        <v>45878</v>
      </c>
      <c r="D73" t="inlineStr">
        <is>
          <t>NORRBOTTENS LÄN</t>
        </is>
      </c>
      <c r="E73" t="inlineStr">
        <is>
          <t>GÄLLIVARE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38186-2021</t>
        </is>
      </c>
      <c r="B74" s="1" t="n">
        <v>44405</v>
      </c>
      <c r="C74" s="1" t="n">
        <v>45878</v>
      </c>
      <c r="D74" t="inlineStr">
        <is>
          <t>NORRBOTTENS LÄN</t>
        </is>
      </c>
      <c r="E74" t="inlineStr">
        <is>
          <t>GÄLLIVARE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46368-2020</t>
        </is>
      </c>
      <c r="B75" s="1" t="n">
        <v>44092</v>
      </c>
      <c r="C75" s="1" t="n">
        <v>45878</v>
      </c>
      <c r="D75" t="inlineStr">
        <is>
          <t>NORRBOTTENS LÄN</t>
        </is>
      </c>
      <c r="E75" t="inlineStr">
        <is>
          <t>GÄLLIVARE</t>
        </is>
      </c>
      <c r="F75" t="inlineStr">
        <is>
          <t>SCA</t>
        </is>
      </c>
      <c r="G75" t="n">
        <v>45.9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45878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39377-2022</t>
        </is>
      </c>
      <c r="B77" s="1" t="n">
        <v>44817</v>
      </c>
      <c r="C77" s="1" t="n">
        <v>45878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39379-2022</t>
        </is>
      </c>
      <c r="B78" s="1" t="n">
        <v>44817.94689814815</v>
      </c>
      <c r="C78" s="1" t="n">
        <v>45878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59926-2021</t>
        </is>
      </c>
      <c r="B79" s="1" t="n">
        <v>44494</v>
      </c>
      <c r="C79" s="1" t="n">
        <v>45878</v>
      </c>
      <c r="D79" t="inlineStr">
        <is>
          <t>NORRBOTTENS LÄN</t>
        </is>
      </c>
      <c r="E79" t="inlineStr">
        <is>
          <t>GÄLLIVARE</t>
        </is>
      </c>
      <c r="F79" t="inlineStr">
        <is>
          <t>Allmännings- och besparingsskogar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47808-2022</t>
        </is>
      </c>
      <c r="B80" s="1" t="n">
        <v>44854</v>
      </c>
      <c r="C80" s="1" t="n">
        <v>45878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54842-2022</t>
        </is>
      </c>
      <c r="B81" s="1" t="n">
        <v>44883</v>
      </c>
      <c r="C81" s="1" t="n">
        <v>45878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49013-2020</t>
        </is>
      </c>
      <c r="B82" s="1" t="n">
        <v>44104</v>
      </c>
      <c r="C82" s="1" t="n">
        <v>45878</v>
      </c>
      <c r="D82" t="inlineStr">
        <is>
          <t>NORRBOTTENS LÄN</t>
        </is>
      </c>
      <c r="E82" t="inlineStr">
        <is>
          <t>GÄLLIVARE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21425-2021</t>
        </is>
      </c>
      <c r="B83" s="1" t="n">
        <v>44321</v>
      </c>
      <c r="C83" s="1" t="n">
        <v>45878</v>
      </c>
      <c r="D83" t="inlineStr">
        <is>
          <t>NORRBOTTENS LÄN</t>
        </is>
      </c>
      <c r="E83" t="inlineStr">
        <is>
          <t>GÄLLIVARE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38187-2021</t>
        </is>
      </c>
      <c r="B84" s="1" t="n">
        <v>44405</v>
      </c>
      <c r="C84" s="1" t="n">
        <v>45878</v>
      </c>
      <c r="D84" t="inlineStr">
        <is>
          <t>NORRBOTTENS LÄN</t>
        </is>
      </c>
      <c r="E84" t="inlineStr">
        <is>
          <t>GÄLLIVARE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58343-2021</t>
        </is>
      </c>
      <c r="B85" s="1" t="n">
        <v>44488.41368055555</v>
      </c>
      <c r="C85" s="1" t="n">
        <v>45878</v>
      </c>
      <c r="D85" t="inlineStr">
        <is>
          <t>NORRBOTTENS LÄN</t>
        </is>
      </c>
      <c r="E85" t="inlineStr">
        <is>
          <t>GÄLLIVARE</t>
        </is>
      </c>
      <c r="F85" t="inlineStr">
        <is>
          <t>Sveaskog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73341-2021</t>
        </is>
      </c>
      <c r="B86" s="1" t="n">
        <v>44550</v>
      </c>
      <c r="C86" s="1" t="n">
        <v>45878</v>
      </c>
      <c r="D86" t="inlineStr">
        <is>
          <t>NORRBOTTENS LÄN</t>
        </is>
      </c>
      <c r="E86" t="inlineStr">
        <is>
          <t>GÄLLIVARE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2545-2021</t>
        </is>
      </c>
      <c r="B87" s="1" t="n">
        <v>44214</v>
      </c>
      <c r="C87" s="1" t="n">
        <v>45878</v>
      </c>
      <c r="D87" t="inlineStr">
        <is>
          <t>NORRBOTTENS LÄN</t>
        </is>
      </c>
      <c r="E87" t="inlineStr">
        <is>
          <t>GÄLLIVARE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52181-2021</t>
        </is>
      </c>
      <c r="B88" s="1" t="n">
        <v>44463</v>
      </c>
      <c r="C88" s="1" t="n">
        <v>45878</v>
      </c>
      <c r="D88" t="inlineStr">
        <is>
          <t>NORRBOTTENS LÄN</t>
        </is>
      </c>
      <c r="E88" t="inlineStr">
        <is>
          <t>GÄLLIVARE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40427-2022</t>
        </is>
      </c>
      <c r="B89" s="1" t="n">
        <v>44823</v>
      </c>
      <c r="C89" s="1" t="n">
        <v>45878</v>
      </c>
      <c r="D89" t="inlineStr">
        <is>
          <t>NORRBOTTENS LÄN</t>
        </is>
      </c>
      <c r="E89" t="inlineStr">
        <is>
          <t>GÄLLIVARE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45878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58414-2021</t>
        </is>
      </c>
      <c r="B91" s="1" t="n">
        <v>44488</v>
      </c>
      <c r="C91" s="1" t="n">
        <v>45878</v>
      </c>
      <c r="D91" t="inlineStr">
        <is>
          <t>NORRBOTTENS LÄN</t>
        </is>
      </c>
      <c r="E91" t="inlineStr">
        <is>
          <t>GÄLLIVARE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47779-2022</t>
        </is>
      </c>
      <c r="B92" s="1" t="n">
        <v>44854</v>
      </c>
      <c r="C92" s="1" t="n">
        <v>45878</v>
      </c>
      <c r="D92" t="inlineStr">
        <is>
          <t>NORRBOTTENS LÄN</t>
        </is>
      </c>
      <c r="E92" t="inlineStr">
        <is>
          <t>GÄLLIVARE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33446-2022</t>
        </is>
      </c>
      <c r="B93" s="1" t="n">
        <v>44788.65056712963</v>
      </c>
      <c r="C93" s="1" t="n">
        <v>45878</v>
      </c>
      <c r="D93" t="inlineStr">
        <is>
          <t>NORRBOTTENS LÄN</t>
        </is>
      </c>
      <c r="E93" t="inlineStr">
        <is>
          <t>GÄLLIVARE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45878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45878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45878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45878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58412-2021</t>
        </is>
      </c>
      <c r="B98" s="1" t="n">
        <v>44488.52082175926</v>
      </c>
      <c r="C98" s="1" t="n">
        <v>45878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51992-2020</t>
        </is>
      </c>
      <c r="B99" s="1" t="n">
        <v>44109</v>
      </c>
      <c r="C99" s="1" t="n">
        <v>45878</v>
      </c>
      <c r="D99" t="inlineStr">
        <is>
          <t>NORRBOTTENS LÄN</t>
        </is>
      </c>
      <c r="E99" t="inlineStr">
        <is>
          <t>GÄLLIVARE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45878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45878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54820-2021</t>
        </is>
      </c>
      <c r="B102" s="1" t="n">
        <v>44473</v>
      </c>
      <c r="C102" s="1" t="n">
        <v>45878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45878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41057-2021</t>
        </is>
      </c>
      <c r="B104" s="1" t="n">
        <v>44421.97289351852</v>
      </c>
      <c r="C104" s="1" t="n">
        <v>45878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9493-2022</t>
        </is>
      </c>
      <c r="B105" s="1" t="n">
        <v>44616</v>
      </c>
      <c r="C105" s="1" t="n">
        <v>45878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9504-2022</t>
        </is>
      </c>
      <c r="B106" s="1" t="n">
        <v>44616</v>
      </c>
      <c r="C106" s="1" t="n">
        <v>45878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7678-2022</t>
        </is>
      </c>
      <c r="B107" s="1" t="n">
        <v>44607.94053240741</v>
      </c>
      <c r="C107" s="1" t="n">
        <v>45878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7538-2022</t>
        </is>
      </c>
      <c r="B108" s="1" t="n">
        <v>44607</v>
      </c>
      <c r="C108" s="1" t="n">
        <v>45878</v>
      </c>
      <c r="D108" t="inlineStr">
        <is>
          <t>NORRBOTTENS LÄN</t>
        </is>
      </c>
      <c r="E108" t="inlineStr">
        <is>
          <t>GÄLLIVARE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7685-2022</t>
        </is>
      </c>
      <c r="B109" s="1" t="n">
        <v>44607.9409837963</v>
      </c>
      <c r="C109" s="1" t="n">
        <v>45878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59695-2024</t>
        </is>
      </c>
      <c r="B110" s="1" t="n">
        <v>45639</v>
      </c>
      <c r="C110" s="1" t="n">
        <v>45878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46271-2023</t>
        </is>
      </c>
      <c r="B111" s="1" t="n">
        <v>45196</v>
      </c>
      <c r="C111" s="1" t="n">
        <v>45878</v>
      </c>
      <c r="D111" t="inlineStr">
        <is>
          <t>NORRBOTTENS LÄN</t>
        </is>
      </c>
      <c r="E111" t="inlineStr">
        <is>
          <t>GÄLLIVARE</t>
        </is>
      </c>
      <c r="F111" t="inlineStr">
        <is>
          <t>SCA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36233-2021</t>
        </is>
      </c>
      <c r="B112" s="1" t="n">
        <v>44389.93957175926</v>
      </c>
      <c r="C112" s="1" t="n">
        <v>45878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SCA</t>
        </is>
      </c>
      <c r="G112" t="n">
        <v>22.3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59232-2024</t>
        </is>
      </c>
      <c r="B113" s="1" t="n">
        <v>45637</v>
      </c>
      <c r="C113" s="1" t="n">
        <v>45878</v>
      </c>
      <c r="D113" t="inlineStr">
        <is>
          <t>NORRBOTTENS LÄN</t>
        </is>
      </c>
      <c r="E113" t="inlineStr">
        <is>
          <t>GÄLLIVARE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14666-2025</t>
        </is>
      </c>
      <c r="B114" s="1" t="n">
        <v>45742</v>
      </c>
      <c r="C114" s="1" t="n">
        <v>45878</v>
      </c>
      <c r="D114" t="inlineStr">
        <is>
          <t>NORRBOTTENS LÄN</t>
        </is>
      </c>
      <c r="E114" t="inlineStr">
        <is>
          <t>GÄLLIVARE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55407-2023</t>
        </is>
      </c>
      <c r="B115" s="1" t="n">
        <v>45231</v>
      </c>
      <c r="C115" s="1" t="n">
        <v>45878</v>
      </c>
      <c r="D115" t="inlineStr">
        <is>
          <t>NORRBOTTENS LÄN</t>
        </is>
      </c>
      <c r="E115" t="inlineStr">
        <is>
          <t>GÄLLIVARE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33373-2023</t>
        </is>
      </c>
      <c r="B116" s="1" t="n">
        <v>45117</v>
      </c>
      <c r="C116" s="1" t="n">
        <v>45878</v>
      </c>
      <c r="D116" t="inlineStr">
        <is>
          <t>NORRBOTTENS LÄN</t>
        </is>
      </c>
      <c r="E116" t="inlineStr">
        <is>
          <t>GÄLLIVARE</t>
        </is>
      </c>
      <c r="F116" t="inlineStr">
        <is>
          <t>Allmännings- och besparingsskogar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32720-2022</t>
        </is>
      </c>
      <c r="B117" s="1" t="n">
        <v>44783</v>
      </c>
      <c r="C117" s="1" t="n">
        <v>45878</v>
      </c>
      <c r="D117" t="inlineStr">
        <is>
          <t>NORRBOTTENS LÄN</t>
        </is>
      </c>
      <c r="E117" t="inlineStr">
        <is>
          <t>GÄLLIVARE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35579-2022</t>
        </is>
      </c>
      <c r="B118" s="1" t="n">
        <v>44799</v>
      </c>
      <c r="C118" s="1" t="n">
        <v>45878</v>
      </c>
      <c r="D118" t="inlineStr">
        <is>
          <t>NORRBOTTENS LÄN</t>
        </is>
      </c>
      <c r="E118" t="inlineStr">
        <is>
          <t>GÄLLIVARE</t>
        </is>
      </c>
      <c r="F118" t="inlineStr">
        <is>
          <t>Allmännings- och besparingsskogar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51243-2023</t>
        </is>
      </c>
      <c r="B119" s="1" t="n">
        <v>45212</v>
      </c>
      <c r="C119" s="1" t="n">
        <v>45878</v>
      </c>
      <c r="D119" t="inlineStr">
        <is>
          <t>NORRBOTTENS LÄN</t>
        </is>
      </c>
      <c r="E119" t="inlineStr">
        <is>
          <t>GÄLLIVARE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15151-2025</t>
        </is>
      </c>
      <c r="B120" s="1" t="n">
        <v>45744</v>
      </c>
      <c r="C120" s="1" t="n">
        <v>45878</v>
      </c>
      <c r="D120" t="inlineStr">
        <is>
          <t>NORRBOTTENS LÄN</t>
        </is>
      </c>
      <c r="E120" t="inlineStr">
        <is>
          <t>GÄLLIVARE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16973-2023</t>
        </is>
      </c>
      <c r="B121" s="1" t="n">
        <v>45033</v>
      </c>
      <c r="C121" s="1" t="n">
        <v>45878</v>
      </c>
      <c r="D121" t="inlineStr">
        <is>
          <t>NORRBOTTENS LÄN</t>
        </is>
      </c>
      <c r="E121" t="inlineStr">
        <is>
          <t>GÄLLIVARE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3270-2025</t>
        </is>
      </c>
      <c r="B122" s="1" t="n">
        <v>45679</v>
      </c>
      <c r="C122" s="1" t="n">
        <v>45878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9650-2024</t>
        </is>
      </c>
      <c r="B123" s="1" t="n">
        <v>45362</v>
      </c>
      <c r="C123" s="1" t="n">
        <v>45878</v>
      </c>
      <c r="D123" t="inlineStr">
        <is>
          <t>NORRBOTTENS LÄN</t>
        </is>
      </c>
      <c r="E123" t="inlineStr">
        <is>
          <t>GÄLLIVARE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42612-2023</t>
        </is>
      </c>
      <c r="B124" s="1" t="n">
        <v>45176</v>
      </c>
      <c r="C124" s="1" t="n">
        <v>45878</v>
      </c>
      <c r="D124" t="inlineStr">
        <is>
          <t>NORRBOTTENS LÄN</t>
        </is>
      </c>
      <c r="E124" t="inlineStr">
        <is>
          <t>GÄLLIVARE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16952-2023</t>
        </is>
      </c>
      <c r="B125" s="1" t="n">
        <v>45033</v>
      </c>
      <c r="C125" s="1" t="n">
        <v>45878</v>
      </c>
      <c r="D125" t="inlineStr">
        <is>
          <t>NORRBOTTENS LÄN</t>
        </is>
      </c>
      <c r="E125" t="inlineStr">
        <is>
          <t>GÄLLIVARE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49875-2023</t>
        </is>
      </c>
      <c r="B126" s="1" t="n">
        <v>45212</v>
      </c>
      <c r="C126" s="1" t="n">
        <v>45878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16068-2023</t>
        </is>
      </c>
      <c r="B127" s="1" t="n">
        <v>45027</v>
      </c>
      <c r="C127" s="1" t="n">
        <v>45878</v>
      </c>
      <c r="D127" t="inlineStr">
        <is>
          <t>NORRBOTTENS LÄN</t>
        </is>
      </c>
      <c r="E127" t="inlineStr">
        <is>
          <t>GÄLLIVARE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42886-2022</t>
        </is>
      </c>
      <c r="B128" s="1" t="n">
        <v>44832.953125</v>
      </c>
      <c r="C128" s="1" t="n">
        <v>45878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6459-2023</t>
        </is>
      </c>
      <c r="B129" s="1" t="n">
        <v>44965</v>
      </c>
      <c r="C129" s="1" t="n">
        <v>45878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17203-2024</t>
        </is>
      </c>
      <c r="B130" s="1" t="n">
        <v>45413</v>
      </c>
      <c r="C130" s="1" t="n">
        <v>45878</v>
      </c>
      <c r="D130" t="inlineStr">
        <is>
          <t>NORRBOTTENS LÄN</t>
        </is>
      </c>
      <c r="E130" t="inlineStr">
        <is>
          <t>GÄLLIVARE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17201-2024</t>
        </is>
      </c>
      <c r="B131" s="1" t="n">
        <v>45413.59373842592</v>
      </c>
      <c r="C131" s="1" t="n">
        <v>45878</v>
      </c>
      <c r="D131" t="inlineStr">
        <is>
          <t>NORRBOTTENS LÄN</t>
        </is>
      </c>
      <c r="E131" t="inlineStr">
        <is>
          <t>GÄLLIVARE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38751-2024</t>
        </is>
      </c>
      <c r="B132" s="1" t="n">
        <v>45547.42896990741</v>
      </c>
      <c r="C132" s="1" t="n">
        <v>45878</v>
      </c>
      <c r="D132" t="inlineStr">
        <is>
          <t>NORRBOTTENS LÄN</t>
        </is>
      </c>
      <c r="E132" t="inlineStr">
        <is>
          <t>GÄLLIVARE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8516-2025</t>
        </is>
      </c>
      <c r="B133" s="1" t="n">
        <v>45709</v>
      </c>
      <c r="C133" s="1" t="n">
        <v>45878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SCA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23774-2023</t>
        </is>
      </c>
      <c r="B134" s="1" t="n">
        <v>45077</v>
      </c>
      <c r="C134" s="1" t="n">
        <v>45878</v>
      </c>
      <c r="D134" t="inlineStr">
        <is>
          <t>NORRBOTTENS LÄN</t>
        </is>
      </c>
      <c r="E134" t="inlineStr">
        <is>
          <t>GÄLLIVARE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17205-2024</t>
        </is>
      </c>
      <c r="B135" s="1" t="n">
        <v>45413.65241898148</v>
      </c>
      <c r="C135" s="1" t="n">
        <v>45878</v>
      </c>
      <c r="D135" t="inlineStr">
        <is>
          <t>NORRBOTTENS LÄN</t>
        </is>
      </c>
      <c r="E135" t="inlineStr">
        <is>
          <t>GÄLLIVARE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33847-2023</t>
        </is>
      </c>
      <c r="B136" s="1" t="n">
        <v>45121</v>
      </c>
      <c r="C136" s="1" t="n">
        <v>45878</v>
      </c>
      <c r="D136" t="inlineStr">
        <is>
          <t>NORRBOTTENS LÄN</t>
        </is>
      </c>
      <c r="E136" t="inlineStr">
        <is>
          <t>GÄLLIVARE</t>
        </is>
      </c>
      <c r="F136" t="inlineStr">
        <is>
          <t>Övriga statliga verk och myndigheter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44398-2023</t>
        </is>
      </c>
      <c r="B137" s="1" t="n">
        <v>45188</v>
      </c>
      <c r="C137" s="1" t="n">
        <v>45878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14999-2024</t>
        </is>
      </c>
      <c r="B138" s="1" t="n">
        <v>45399</v>
      </c>
      <c r="C138" s="1" t="n">
        <v>45878</v>
      </c>
      <c r="D138" t="inlineStr">
        <is>
          <t>NORRBOTTENS LÄN</t>
        </is>
      </c>
      <c r="E138" t="inlineStr">
        <is>
          <t>GÄLLIVARE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5481-2025</t>
        </is>
      </c>
      <c r="B139" s="1" t="n">
        <v>45693</v>
      </c>
      <c r="C139" s="1" t="n">
        <v>45878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47805-2022</t>
        </is>
      </c>
      <c r="B140" s="1" t="n">
        <v>44854</v>
      </c>
      <c r="C140" s="1" t="n">
        <v>45878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SCA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55044-2023</t>
        </is>
      </c>
      <c r="B141" s="1" t="n">
        <v>45237</v>
      </c>
      <c r="C141" s="1" t="n">
        <v>45878</v>
      </c>
      <c r="D141" t="inlineStr">
        <is>
          <t>NORRBOTTENS LÄN</t>
        </is>
      </c>
      <c r="E141" t="inlineStr">
        <is>
          <t>GÄLLIVARE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55050-2023</t>
        </is>
      </c>
      <c r="B142" s="1" t="n">
        <v>45237</v>
      </c>
      <c r="C142" s="1" t="n">
        <v>45878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59703-2024</t>
        </is>
      </c>
      <c r="B143" s="1" t="n">
        <v>45639</v>
      </c>
      <c r="C143" s="1" t="n">
        <v>45878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61476-2024</t>
        </is>
      </c>
      <c r="B144" s="1" t="n">
        <v>45646</v>
      </c>
      <c r="C144" s="1" t="n">
        <v>45878</v>
      </c>
      <c r="D144" t="inlineStr">
        <is>
          <t>NORRBOTTENS LÄN</t>
        </is>
      </c>
      <c r="E144" t="inlineStr">
        <is>
          <t>GÄLLIVARE</t>
        </is>
      </c>
      <c r="G144" t="n">
        <v>17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12202-2024</t>
        </is>
      </c>
      <c r="B145" s="1" t="n">
        <v>45377.95069444444</v>
      </c>
      <c r="C145" s="1" t="n">
        <v>45878</v>
      </c>
      <c r="D145" t="inlineStr">
        <is>
          <t>NORRBOTTENS LÄN</t>
        </is>
      </c>
      <c r="E145" t="inlineStr">
        <is>
          <t>GÄLLIVARE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55644-2023</t>
        </is>
      </c>
      <c r="B146" s="1" t="n">
        <v>45238</v>
      </c>
      <c r="C146" s="1" t="n">
        <v>45878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54725-2023</t>
        </is>
      </c>
      <c r="B147" s="1" t="n">
        <v>45229</v>
      </c>
      <c r="C147" s="1" t="n">
        <v>45878</v>
      </c>
      <c r="D147" t="inlineStr">
        <is>
          <t>NORRBOTTENS LÄN</t>
        </is>
      </c>
      <c r="E147" t="inlineStr">
        <is>
          <t>GÄLLIVARE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60584-2023</t>
        </is>
      </c>
      <c r="B148" s="1" t="n">
        <v>45259</v>
      </c>
      <c r="C148" s="1" t="n">
        <v>45878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47862-2024</t>
        </is>
      </c>
      <c r="B149" s="1" t="n">
        <v>45588</v>
      </c>
      <c r="C149" s="1" t="n">
        <v>45878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25493-2024</t>
        </is>
      </c>
      <c r="B150" s="1" t="n">
        <v>45463</v>
      </c>
      <c r="C150" s="1" t="n">
        <v>45878</v>
      </c>
      <c r="D150" t="inlineStr">
        <is>
          <t>NORRBOTTENS LÄN</t>
        </is>
      </c>
      <c r="E150" t="inlineStr">
        <is>
          <t>GÄLLIVARE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36039-2023</t>
        </is>
      </c>
      <c r="B151" s="1" t="n">
        <v>45148</v>
      </c>
      <c r="C151" s="1" t="n">
        <v>45878</v>
      </c>
      <c r="D151" t="inlineStr">
        <is>
          <t>NORRBOTTENS LÄN</t>
        </is>
      </c>
      <c r="E151" t="inlineStr">
        <is>
          <t>GÄLLIVARE</t>
        </is>
      </c>
      <c r="F151" t="inlineStr">
        <is>
          <t>Allmännings- och besparingsskogar</t>
        </is>
      </c>
      <c r="G151" t="n">
        <v>24.3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41870-2024</t>
        </is>
      </c>
      <c r="B152" s="1" t="n">
        <v>45561</v>
      </c>
      <c r="C152" s="1" t="n">
        <v>45878</v>
      </c>
      <c r="D152" t="inlineStr">
        <is>
          <t>NORRBOTTENS LÄN</t>
        </is>
      </c>
      <c r="E152" t="inlineStr">
        <is>
          <t>GÄLLIVARE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29634-2023</t>
        </is>
      </c>
      <c r="B153" s="1" t="n">
        <v>45106.94596064815</v>
      </c>
      <c r="C153" s="1" t="n">
        <v>45878</v>
      </c>
      <c r="D153" t="inlineStr">
        <is>
          <t>NORRBOTTENS LÄN</t>
        </is>
      </c>
      <c r="E153" t="inlineStr">
        <is>
          <t>GÄLLIVARE</t>
        </is>
      </c>
      <c r="F153" t="inlineStr">
        <is>
          <t>SCA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64238-2023</t>
        </is>
      </c>
      <c r="B154" s="1" t="n">
        <v>45279</v>
      </c>
      <c r="C154" s="1" t="n">
        <v>45878</v>
      </c>
      <c r="D154" t="inlineStr">
        <is>
          <t>NORRBOTTENS LÄN</t>
        </is>
      </c>
      <c r="E154" t="inlineStr">
        <is>
          <t>GÄLLIVARE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19619-2023</t>
        </is>
      </c>
      <c r="B155" s="1" t="n">
        <v>45050</v>
      </c>
      <c r="C155" s="1" t="n">
        <v>45878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44326-2024</t>
        </is>
      </c>
      <c r="B156" s="1" t="n">
        <v>45573.59427083333</v>
      </c>
      <c r="C156" s="1" t="n">
        <v>45878</v>
      </c>
      <c r="D156" t="inlineStr">
        <is>
          <t>NORRBOTTENS LÄN</t>
        </is>
      </c>
      <c r="E156" t="inlineStr">
        <is>
          <t>GÄLLIVARE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4891-2025</t>
        </is>
      </c>
      <c r="B157" s="1" t="n">
        <v>45688</v>
      </c>
      <c r="C157" s="1" t="n">
        <v>45878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48007-2024</t>
        </is>
      </c>
      <c r="B158" s="1" t="n">
        <v>45589</v>
      </c>
      <c r="C158" s="1" t="n">
        <v>45878</v>
      </c>
      <c r="D158" t="inlineStr">
        <is>
          <t>NORRBOTTENS LÄN</t>
        </is>
      </c>
      <c r="E158" t="inlineStr">
        <is>
          <t>GÄLLIVARE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25941-2024</t>
        </is>
      </c>
      <c r="B159" s="1" t="n">
        <v>45467</v>
      </c>
      <c r="C159" s="1" t="n">
        <v>45878</v>
      </c>
      <c r="D159" t="inlineStr">
        <is>
          <t>NORRBOTTENS LÄN</t>
        </is>
      </c>
      <c r="E159" t="inlineStr">
        <is>
          <t>GÄLLIVARE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26560-2024</t>
        </is>
      </c>
      <c r="B160" s="1" t="n">
        <v>45469.63549768519</v>
      </c>
      <c r="C160" s="1" t="n">
        <v>45878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25503-2024</t>
        </is>
      </c>
      <c r="B161" s="1" t="n">
        <v>45463.48306712963</v>
      </c>
      <c r="C161" s="1" t="n">
        <v>45878</v>
      </c>
      <c r="D161" t="inlineStr">
        <is>
          <t>NORRBOTTENS LÄN</t>
        </is>
      </c>
      <c r="E161" t="inlineStr">
        <is>
          <t>GÄLLIVARE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4768-2023</t>
        </is>
      </c>
      <c r="B162" s="1" t="n">
        <v>44953</v>
      </c>
      <c r="C162" s="1" t="n">
        <v>45878</v>
      </c>
      <c r="D162" t="inlineStr">
        <is>
          <t>NORRBOTTENS LÄN</t>
        </is>
      </c>
      <c r="E162" t="inlineStr">
        <is>
          <t>GÄLLIVARE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2237-2023</t>
        </is>
      </c>
      <c r="B163" s="1" t="n">
        <v>44942.46430555556</v>
      </c>
      <c r="C163" s="1" t="n">
        <v>45878</v>
      </c>
      <c r="D163" t="inlineStr">
        <is>
          <t>NORRBOTTENS LÄN</t>
        </is>
      </c>
      <c r="E163" t="inlineStr">
        <is>
          <t>GÄLLIVARE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11008-2025</t>
        </is>
      </c>
      <c r="B164" s="1" t="n">
        <v>45723</v>
      </c>
      <c r="C164" s="1" t="n">
        <v>45878</v>
      </c>
      <c r="D164" t="inlineStr">
        <is>
          <t>NORRBOTTENS LÄN</t>
        </is>
      </c>
      <c r="E164" t="inlineStr">
        <is>
          <t>GÄLLIVARE</t>
        </is>
      </c>
      <c r="G164" t="n">
        <v>20.6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55466-2023</t>
        </is>
      </c>
      <c r="B165" s="1" t="n">
        <v>45238</v>
      </c>
      <c r="C165" s="1" t="n">
        <v>45878</v>
      </c>
      <c r="D165" t="inlineStr">
        <is>
          <t>NORRBOTTENS LÄN</t>
        </is>
      </c>
      <c r="E165" t="inlineStr">
        <is>
          <t>GÄLLIVARE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62949-2023</t>
        </is>
      </c>
      <c r="B166" s="1" t="n">
        <v>45272.54651620371</v>
      </c>
      <c r="C166" s="1" t="n">
        <v>45878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59194-2022</t>
        </is>
      </c>
      <c r="B167" s="1" t="n">
        <v>44904</v>
      </c>
      <c r="C167" s="1" t="n">
        <v>45878</v>
      </c>
      <c r="D167" t="inlineStr">
        <is>
          <t>NORRBOTTENS LÄN</t>
        </is>
      </c>
      <c r="E167" t="inlineStr">
        <is>
          <t>GÄLLIVARE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51451-2023</t>
        </is>
      </c>
      <c r="B168" s="1" t="n">
        <v>45215</v>
      </c>
      <c r="C168" s="1" t="n">
        <v>45878</v>
      </c>
      <c r="D168" t="inlineStr">
        <is>
          <t>NORRBOTTENS LÄN</t>
        </is>
      </c>
      <c r="E168" t="inlineStr">
        <is>
          <t>GÄLLIVARE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27666-2024</t>
        </is>
      </c>
      <c r="B169" s="1" t="n">
        <v>45474</v>
      </c>
      <c r="C169" s="1" t="n">
        <v>45878</v>
      </c>
      <c r="D169" t="inlineStr">
        <is>
          <t>NORRBOTTENS LÄN</t>
        </is>
      </c>
      <c r="E169" t="inlineStr">
        <is>
          <t>GÄLLIVARE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30026-2023</t>
        </is>
      </c>
      <c r="B170" s="1" t="n">
        <v>45110.31878472222</v>
      </c>
      <c r="C170" s="1" t="n">
        <v>45878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Sveaskog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4756-2023</t>
        </is>
      </c>
      <c r="B171" s="1" t="n">
        <v>44953</v>
      </c>
      <c r="C171" s="1" t="n">
        <v>45878</v>
      </c>
      <c r="D171" t="inlineStr">
        <is>
          <t>NORRBOTTENS LÄN</t>
        </is>
      </c>
      <c r="E171" t="inlineStr">
        <is>
          <t>GÄLLIVARE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62496-2022</t>
        </is>
      </c>
      <c r="B172" s="1" t="n">
        <v>44916</v>
      </c>
      <c r="C172" s="1" t="n">
        <v>45878</v>
      </c>
      <c r="D172" t="inlineStr">
        <is>
          <t>NORRBOTTENS LÄN</t>
        </is>
      </c>
      <c r="E172" t="inlineStr">
        <is>
          <t>GÄLLIVARE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50553-2024</t>
        </is>
      </c>
      <c r="B173" s="1" t="n">
        <v>45601.59490740741</v>
      </c>
      <c r="C173" s="1" t="n">
        <v>45878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25488-2024</t>
        </is>
      </c>
      <c r="B174" s="1" t="n">
        <v>45463</v>
      </c>
      <c r="C174" s="1" t="n">
        <v>45878</v>
      </c>
      <c r="D174" t="inlineStr">
        <is>
          <t>NORRBOTTENS LÄN</t>
        </is>
      </c>
      <c r="E174" t="inlineStr">
        <is>
          <t>GÄLLIVARE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36251-2023</t>
        </is>
      </c>
      <c r="B175" s="1" t="n">
        <v>45150.94185185185</v>
      </c>
      <c r="C175" s="1" t="n">
        <v>45878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36969-2023</t>
        </is>
      </c>
      <c r="B176" s="1" t="n">
        <v>45154.95400462963</v>
      </c>
      <c r="C176" s="1" t="n">
        <v>45878</v>
      </c>
      <c r="D176" t="inlineStr">
        <is>
          <t>NORRBOTTENS LÄN</t>
        </is>
      </c>
      <c r="E176" t="inlineStr">
        <is>
          <t>GÄLLIVARE</t>
        </is>
      </c>
      <c r="F176" t="inlineStr">
        <is>
          <t>SCA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28046-2024</t>
        </is>
      </c>
      <c r="B177" s="1" t="n">
        <v>45476</v>
      </c>
      <c r="C177" s="1" t="n">
        <v>45878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55394-2023</t>
        </is>
      </c>
      <c r="B178" s="1" t="n">
        <v>45231</v>
      </c>
      <c r="C178" s="1" t="n">
        <v>45878</v>
      </c>
      <c r="D178" t="inlineStr">
        <is>
          <t>NORRBOTTENS LÄN</t>
        </is>
      </c>
      <c r="E178" t="inlineStr">
        <is>
          <t>GÄLLIVARE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55221-2022</t>
        </is>
      </c>
      <c r="B179" s="1" t="n">
        <v>44886</v>
      </c>
      <c r="C179" s="1" t="n">
        <v>45878</v>
      </c>
      <c r="D179" t="inlineStr">
        <is>
          <t>NORRBOTTENS LÄN</t>
        </is>
      </c>
      <c r="E179" t="inlineStr">
        <is>
          <t>GÄLLIVARE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55223-2022</t>
        </is>
      </c>
      <c r="B180" s="1" t="n">
        <v>44886</v>
      </c>
      <c r="C180" s="1" t="n">
        <v>45878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43910-2020</t>
        </is>
      </c>
      <c r="B181" s="1" t="n">
        <v>44081</v>
      </c>
      <c r="C181" s="1" t="n">
        <v>45878</v>
      </c>
      <c r="D181" t="inlineStr">
        <is>
          <t>NORRBOTTENS LÄN</t>
        </is>
      </c>
      <c r="E181" t="inlineStr">
        <is>
          <t>GÄLLIVARE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55410-2023</t>
        </is>
      </c>
      <c r="B182" s="1" t="n">
        <v>45231</v>
      </c>
      <c r="C182" s="1" t="n">
        <v>45878</v>
      </c>
      <c r="D182" t="inlineStr">
        <is>
          <t>NORRBOTTENS LÄN</t>
        </is>
      </c>
      <c r="E182" t="inlineStr">
        <is>
          <t>GÄLLIVARE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73335-2021</t>
        </is>
      </c>
      <c r="B183" s="1" t="n">
        <v>44550</v>
      </c>
      <c r="C183" s="1" t="n">
        <v>45878</v>
      </c>
      <c r="D183" t="inlineStr">
        <is>
          <t>NORRBOTTENS LÄN</t>
        </is>
      </c>
      <c r="E183" t="inlineStr">
        <is>
          <t>GÄLLIVARE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55755-2024</t>
        </is>
      </c>
      <c r="B184" s="1" t="n">
        <v>45623</v>
      </c>
      <c r="C184" s="1" t="n">
        <v>45878</v>
      </c>
      <c r="D184" t="inlineStr">
        <is>
          <t>NORRBOTTENS LÄN</t>
        </is>
      </c>
      <c r="E184" t="inlineStr">
        <is>
          <t>GÄLLIVARE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55588-2023</t>
        </is>
      </c>
      <c r="B185" s="1" t="n">
        <v>45238.67594907407</v>
      </c>
      <c r="C185" s="1" t="n">
        <v>45878</v>
      </c>
      <c r="D185" t="inlineStr">
        <is>
          <t>NORRBOTTENS LÄN</t>
        </is>
      </c>
      <c r="E185" t="inlineStr">
        <is>
          <t>GÄLLIVARE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7650-2025</t>
        </is>
      </c>
      <c r="B186" s="1" t="n">
        <v>45705</v>
      </c>
      <c r="C186" s="1" t="n">
        <v>45878</v>
      </c>
      <c r="D186" t="inlineStr">
        <is>
          <t>NORRBOTTENS LÄN</t>
        </is>
      </c>
      <c r="E186" t="inlineStr">
        <is>
          <t>GÄLLIVARE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7651-2025</t>
        </is>
      </c>
      <c r="B187" s="1" t="n">
        <v>45705</v>
      </c>
      <c r="C187" s="1" t="n">
        <v>45878</v>
      </c>
      <c r="D187" t="inlineStr">
        <is>
          <t>NORRBOTTENS LÄN</t>
        </is>
      </c>
      <c r="E187" t="inlineStr">
        <is>
          <t>GÄLLIVARE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41843-2024</t>
        </is>
      </c>
      <c r="B188" s="1" t="n">
        <v>45561</v>
      </c>
      <c r="C188" s="1" t="n">
        <v>45878</v>
      </c>
      <c r="D188" t="inlineStr">
        <is>
          <t>NORRBOTTENS LÄN</t>
        </is>
      </c>
      <c r="E188" t="inlineStr">
        <is>
          <t>GÄLLIVARE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53891-2024</t>
        </is>
      </c>
      <c r="B189" s="1" t="n">
        <v>45614</v>
      </c>
      <c r="C189" s="1" t="n">
        <v>45878</v>
      </c>
      <c r="D189" t="inlineStr">
        <is>
          <t>NORRBOTTENS LÄN</t>
        </is>
      </c>
      <c r="E189" t="inlineStr">
        <is>
          <t>GÄLLIVARE</t>
        </is>
      </c>
      <c r="F189" t="inlineStr">
        <is>
          <t>Allmännings- och besparingsskogar</t>
        </is>
      </c>
      <c r="G189" t="n">
        <v>27.3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23613-2024</t>
        </is>
      </c>
      <c r="B190" s="1" t="n">
        <v>45454</v>
      </c>
      <c r="C190" s="1" t="n">
        <v>45878</v>
      </c>
      <c r="D190" t="inlineStr">
        <is>
          <t>NORRBOTTENS LÄN</t>
        </is>
      </c>
      <c r="E190" t="inlineStr">
        <is>
          <t>GÄLLIVARE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36681-2021</t>
        </is>
      </c>
      <c r="B191" s="1" t="n">
        <v>44392</v>
      </c>
      <c r="C191" s="1" t="n">
        <v>45878</v>
      </c>
      <c r="D191" t="inlineStr">
        <is>
          <t>NORRBOTTENS LÄN</t>
        </is>
      </c>
      <c r="E191" t="inlineStr">
        <is>
          <t>GÄLLIVARE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43109-2023</t>
        </is>
      </c>
      <c r="B192" s="1" t="n">
        <v>45182.94725694445</v>
      </c>
      <c r="C192" s="1" t="n">
        <v>45878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44191-2024</t>
        </is>
      </c>
      <c r="B193" s="1" t="n">
        <v>45573</v>
      </c>
      <c r="C193" s="1" t="n">
        <v>45878</v>
      </c>
      <c r="D193" t="inlineStr">
        <is>
          <t>NORRBOTTENS LÄN</t>
        </is>
      </c>
      <c r="E193" t="inlineStr">
        <is>
          <t>GÄLLIVARE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46131-2020</t>
        </is>
      </c>
      <c r="B194" s="1" t="n">
        <v>44091</v>
      </c>
      <c r="C194" s="1" t="n">
        <v>45878</v>
      </c>
      <c r="D194" t="inlineStr">
        <is>
          <t>NORRBOTTENS LÄN</t>
        </is>
      </c>
      <c r="E194" t="inlineStr">
        <is>
          <t>GÄLLIVARE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61471-2024</t>
        </is>
      </c>
      <c r="B195" s="1" t="n">
        <v>45646</v>
      </c>
      <c r="C195" s="1" t="n">
        <v>45878</v>
      </c>
      <c r="D195" t="inlineStr">
        <is>
          <t>NORRBOTTENS LÄN</t>
        </is>
      </c>
      <c r="E195" t="inlineStr">
        <is>
          <t>GÄLLIVARE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20884-2025</t>
        </is>
      </c>
      <c r="B196" s="1" t="n">
        <v>45777</v>
      </c>
      <c r="C196" s="1" t="n">
        <v>45878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45304-2024</t>
        </is>
      </c>
      <c r="B197" s="1" t="n">
        <v>45576</v>
      </c>
      <c r="C197" s="1" t="n">
        <v>45878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57442-2022</t>
        </is>
      </c>
      <c r="B198" s="1" t="n">
        <v>44896</v>
      </c>
      <c r="C198" s="1" t="n">
        <v>45878</v>
      </c>
      <c r="D198" t="inlineStr">
        <is>
          <t>NORRBOTTENS LÄN</t>
        </is>
      </c>
      <c r="E198" t="inlineStr">
        <is>
          <t>GÄLLIVARE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36984-2023</t>
        </is>
      </c>
      <c r="B199" s="1" t="n">
        <v>45154.95511574074</v>
      </c>
      <c r="C199" s="1" t="n">
        <v>45878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23495-2024</t>
        </is>
      </c>
      <c r="B200" s="1" t="n">
        <v>45453</v>
      </c>
      <c r="C200" s="1" t="n">
        <v>45878</v>
      </c>
      <c r="D200" t="inlineStr">
        <is>
          <t>NORRBOTTENS LÄN</t>
        </is>
      </c>
      <c r="E200" t="inlineStr">
        <is>
          <t>GÄLLIVARE</t>
        </is>
      </c>
      <c r="F200" t="inlineStr">
        <is>
          <t>Allmännings- och besparingsskogar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50554-2024</t>
        </is>
      </c>
      <c r="B201" s="1" t="n">
        <v>45601.59497685185</v>
      </c>
      <c r="C201" s="1" t="n">
        <v>45878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44530-2024</t>
        </is>
      </c>
      <c r="B202" s="1" t="n">
        <v>45574</v>
      </c>
      <c r="C202" s="1" t="n">
        <v>45878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36980-2023</t>
        </is>
      </c>
      <c r="B203" s="1" t="n">
        <v>45154.95482638889</v>
      </c>
      <c r="C203" s="1" t="n">
        <v>45878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30364-2024</t>
        </is>
      </c>
      <c r="B204" s="1" t="n">
        <v>45491</v>
      </c>
      <c r="C204" s="1" t="n">
        <v>45878</v>
      </c>
      <c r="D204" t="inlineStr">
        <is>
          <t>NORRBOTTENS LÄN</t>
        </is>
      </c>
      <c r="E204" t="inlineStr">
        <is>
          <t>GÄLLIVARE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11290-2023</t>
        </is>
      </c>
      <c r="B205" s="1" t="n">
        <v>44992</v>
      </c>
      <c r="C205" s="1" t="n">
        <v>45878</v>
      </c>
      <c r="D205" t="inlineStr">
        <is>
          <t>NORRBOTTENS LÄN</t>
        </is>
      </c>
      <c r="E205" t="inlineStr">
        <is>
          <t>GÄLLIVARE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47166-2023</t>
        </is>
      </c>
      <c r="B206" s="1" t="n">
        <v>45201</v>
      </c>
      <c r="C206" s="1" t="n">
        <v>45878</v>
      </c>
      <c r="D206" t="inlineStr">
        <is>
          <t>NORRBOTTENS LÄN</t>
        </is>
      </c>
      <c r="E206" t="inlineStr">
        <is>
          <t>GÄLLIVARE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47613-2023</t>
        </is>
      </c>
      <c r="B207" s="1" t="n">
        <v>45198</v>
      </c>
      <c r="C207" s="1" t="n">
        <v>45878</v>
      </c>
      <c r="D207" t="inlineStr">
        <is>
          <t>NORRBOTTENS LÄN</t>
        </is>
      </c>
      <c r="E207" t="inlineStr">
        <is>
          <t>GÄLLIVARE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61795-2022</t>
        </is>
      </c>
      <c r="B208" s="1" t="n">
        <v>44911</v>
      </c>
      <c r="C208" s="1" t="n">
        <v>45878</v>
      </c>
      <c r="D208" t="inlineStr">
        <is>
          <t>NORRBOTTENS LÄN</t>
        </is>
      </c>
      <c r="E208" t="inlineStr">
        <is>
          <t>GÄLLIVARE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64372-2023</t>
        </is>
      </c>
      <c r="B209" s="1" t="n">
        <v>45280</v>
      </c>
      <c r="C209" s="1" t="n">
        <v>45878</v>
      </c>
      <c r="D209" t="inlineStr">
        <is>
          <t>NORRBOTTENS LÄN</t>
        </is>
      </c>
      <c r="E209" t="inlineStr">
        <is>
          <t>GÄLLIVARE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1609-2023</t>
        </is>
      </c>
      <c r="B210" s="1" t="n">
        <v>44937</v>
      </c>
      <c r="C210" s="1" t="n">
        <v>45878</v>
      </c>
      <c r="D210" t="inlineStr">
        <is>
          <t>NORRBOTTENS LÄN</t>
        </is>
      </c>
      <c r="E210" t="inlineStr">
        <is>
          <t>GÄLLIVARE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59680-2024</t>
        </is>
      </c>
      <c r="B211" s="1" t="n">
        <v>45639</v>
      </c>
      <c r="C211" s="1" t="n">
        <v>45878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Sveaskog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14604-2025</t>
        </is>
      </c>
      <c r="B212" s="1" t="n">
        <v>45742</v>
      </c>
      <c r="C212" s="1" t="n">
        <v>45878</v>
      </c>
      <c r="D212" t="inlineStr">
        <is>
          <t>NORRBOTTENS LÄN</t>
        </is>
      </c>
      <c r="E212" t="inlineStr">
        <is>
          <t>GÄLLIVARE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61783-2023</t>
        </is>
      </c>
      <c r="B213" s="1" t="n">
        <v>45265.95695601852</v>
      </c>
      <c r="C213" s="1" t="n">
        <v>45878</v>
      </c>
      <c r="D213" t="inlineStr">
        <is>
          <t>NORRBOTTENS LÄN</t>
        </is>
      </c>
      <c r="E213" t="inlineStr">
        <is>
          <t>GÄLLIVARE</t>
        </is>
      </c>
      <c r="F213" t="inlineStr">
        <is>
          <t>SCA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21246-2025</t>
        </is>
      </c>
      <c r="B214" s="1" t="n">
        <v>45779</v>
      </c>
      <c r="C214" s="1" t="n">
        <v>45878</v>
      </c>
      <c r="D214" t="inlineStr">
        <is>
          <t>NORRBOTTENS LÄN</t>
        </is>
      </c>
      <c r="E214" t="inlineStr">
        <is>
          <t>GÄLLIVARE</t>
        </is>
      </c>
      <c r="F214" t="inlineStr">
        <is>
          <t>SCA</t>
        </is>
      </c>
      <c r="G214" t="n">
        <v>16.6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53828-2024</t>
        </is>
      </c>
      <c r="B215" s="1" t="n">
        <v>45615.61438657407</v>
      </c>
      <c r="C215" s="1" t="n">
        <v>45878</v>
      </c>
      <c r="D215" t="inlineStr">
        <is>
          <t>NORRBOTTENS LÄN</t>
        </is>
      </c>
      <c r="E215" t="inlineStr">
        <is>
          <t>GÄLLIVARE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41944-2024</t>
        </is>
      </c>
      <c r="B216" s="1" t="n">
        <v>45561</v>
      </c>
      <c r="C216" s="1" t="n">
        <v>45878</v>
      </c>
      <c r="D216" t="inlineStr">
        <is>
          <t>NORRBOTTENS LÄN</t>
        </is>
      </c>
      <c r="E216" t="inlineStr">
        <is>
          <t>GÄLLIVARE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29011-2024</t>
        </is>
      </c>
      <c r="B217" s="1" t="n">
        <v>45481</v>
      </c>
      <c r="C217" s="1" t="n">
        <v>45878</v>
      </c>
      <c r="D217" t="inlineStr">
        <is>
          <t>NORRBOTTENS LÄN</t>
        </is>
      </c>
      <c r="E217" t="inlineStr">
        <is>
          <t>GÄLLIVARE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16857-2025</t>
        </is>
      </c>
      <c r="B218" s="1" t="n">
        <v>45751</v>
      </c>
      <c r="C218" s="1" t="n">
        <v>45878</v>
      </c>
      <c r="D218" t="inlineStr">
        <is>
          <t>NORRBOTTENS LÄN</t>
        </is>
      </c>
      <c r="E218" t="inlineStr">
        <is>
          <t>GÄLLIVARE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10298-2023</t>
        </is>
      </c>
      <c r="B219" s="1" t="n">
        <v>44986</v>
      </c>
      <c r="C219" s="1" t="n">
        <v>45878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54103-2024</t>
        </is>
      </c>
      <c r="B220" s="1" t="n">
        <v>45616</v>
      </c>
      <c r="C220" s="1" t="n">
        <v>45878</v>
      </c>
      <c r="D220" t="inlineStr">
        <is>
          <t>NORRBOTTENS LÄN</t>
        </is>
      </c>
      <c r="E220" t="inlineStr">
        <is>
          <t>GÄLLIVARE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41224-2024</t>
        </is>
      </c>
      <c r="B221" s="1" t="n">
        <v>45559</v>
      </c>
      <c r="C221" s="1" t="n">
        <v>45878</v>
      </c>
      <c r="D221" t="inlineStr">
        <is>
          <t>NORRBOTTENS LÄN</t>
        </is>
      </c>
      <c r="E221" t="inlineStr">
        <is>
          <t>GÄLLIVARE</t>
        </is>
      </c>
      <c r="F221" t="inlineStr">
        <is>
          <t>Allmännings- och besparingsskogar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39757-2024</t>
        </is>
      </c>
      <c r="B222" s="1" t="n">
        <v>45552</v>
      </c>
      <c r="C222" s="1" t="n">
        <v>45878</v>
      </c>
      <c r="D222" t="inlineStr">
        <is>
          <t>NORRBOTTENS LÄN</t>
        </is>
      </c>
      <c r="E222" t="inlineStr">
        <is>
          <t>GÄLLIVARE</t>
        </is>
      </c>
      <c r="F222" t="inlineStr">
        <is>
          <t>Allmännings- och besparingsskogar</t>
        </is>
      </c>
      <c r="G222" t="n">
        <v>36.2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44314-2024</t>
        </is>
      </c>
      <c r="B223" s="1" t="n">
        <v>45573</v>
      </c>
      <c r="C223" s="1" t="n">
        <v>45878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44315-2024</t>
        </is>
      </c>
      <c r="B224" s="1" t="n">
        <v>45573.58244212963</v>
      </c>
      <c r="C224" s="1" t="n">
        <v>45878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44328-2024</t>
        </is>
      </c>
      <c r="B225" s="1" t="n">
        <v>45573</v>
      </c>
      <c r="C225" s="1" t="n">
        <v>45878</v>
      </c>
      <c r="D225" t="inlineStr">
        <is>
          <t>NORRBOTTENS LÄN</t>
        </is>
      </c>
      <c r="E225" t="inlineStr">
        <is>
          <t>GÄLLIVARE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23607-2025</t>
        </is>
      </c>
      <c r="B226" s="1" t="n">
        <v>45792.65668981482</v>
      </c>
      <c r="C226" s="1" t="n">
        <v>45878</v>
      </c>
      <c r="D226" t="inlineStr">
        <is>
          <t>NORRBOTTENS LÄN</t>
        </is>
      </c>
      <c r="E226" t="inlineStr">
        <is>
          <t>GÄLLIVARE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39559-2022</t>
        </is>
      </c>
      <c r="B227" s="1" t="n">
        <v>44818</v>
      </c>
      <c r="C227" s="1" t="n">
        <v>45878</v>
      </c>
      <c r="D227" t="inlineStr">
        <is>
          <t>NORRBOTTENS LÄN</t>
        </is>
      </c>
      <c r="E227" t="inlineStr">
        <is>
          <t>GÄLLIVARE</t>
        </is>
      </c>
      <c r="F227" t="inlineStr">
        <is>
          <t>Sveaskog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23638-2025</t>
        </is>
      </c>
      <c r="B228" s="1" t="n">
        <v>45792</v>
      </c>
      <c r="C228" s="1" t="n">
        <v>45878</v>
      </c>
      <c r="D228" t="inlineStr">
        <is>
          <t>NORRBOTTENS LÄN</t>
        </is>
      </c>
      <c r="E228" t="inlineStr">
        <is>
          <t>GÄLLIVARE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833-2025</t>
        </is>
      </c>
      <c r="B229" s="1" t="n">
        <v>45665</v>
      </c>
      <c r="C229" s="1" t="n">
        <v>45878</v>
      </c>
      <c r="D229" t="inlineStr">
        <is>
          <t>NORRBOTTENS LÄN</t>
        </is>
      </c>
      <c r="E229" t="inlineStr">
        <is>
          <t>GÄLLIVARE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836-2025</t>
        </is>
      </c>
      <c r="B230" s="1" t="n">
        <v>45665</v>
      </c>
      <c r="C230" s="1" t="n">
        <v>45878</v>
      </c>
      <c r="D230" t="inlineStr">
        <is>
          <t>NORRBOTTENS LÄN</t>
        </is>
      </c>
      <c r="E230" t="inlineStr">
        <is>
          <t>GÄLLIVARE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839-2025</t>
        </is>
      </c>
      <c r="B231" s="1" t="n">
        <v>45665</v>
      </c>
      <c r="C231" s="1" t="n">
        <v>45878</v>
      </c>
      <c r="D231" t="inlineStr">
        <is>
          <t>NORRBOTTENS LÄN</t>
        </is>
      </c>
      <c r="E231" t="inlineStr">
        <is>
          <t>GÄLLIVARE</t>
        </is>
      </c>
      <c r="F231" t="inlineStr">
        <is>
          <t>Sveaskog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21159-2023</t>
        </is>
      </c>
      <c r="B232" s="1" t="n">
        <v>45062</v>
      </c>
      <c r="C232" s="1" t="n">
        <v>45878</v>
      </c>
      <c r="D232" t="inlineStr">
        <is>
          <t>NORRBOTTENS LÄN</t>
        </is>
      </c>
      <c r="E232" t="inlineStr">
        <is>
          <t>GÄLLIVARE</t>
        </is>
      </c>
      <c r="F232" t="inlineStr">
        <is>
          <t>Sveaskog</t>
        </is>
      </c>
      <c r="G232" t="n">
        <v>111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44391-2024</t>
        </is>
      </c>
      <c r="B233" s="1" t="n">
        <v>45573</v>
      </c>
      <c r="C233" s="1" t="n">
        <v>45878</v>
      </c>
      <c r="D233" t="inlineStr">
        <is>
          <t>NORRBOTTENS LÄN</t>
        </is>
      </c>
      <c r="E233" t="inlineStr">
        <is>
          <t>GÄLLIVARE</t>
        </is>
      </c>
      <c r="F233" t="inlineStr">
        <is>
          <t>Allmännings- och besparingsskogar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44392-2024</t>
        </is>
      </c>
      <c r="B234" s="1" t="n">
        <v>45573</v>
      </c>
      <c r="C234" s="1" t="n">
        <v>45878</v>
      </c>
      <c r="D234" t="inlineStr">
        <is>
          <t>NORRBOTTENS LÄN</t>
        </is>
      </c>
      <c r="E234" t="inlineStr">
        <is>
          <t>GÄLLIVARE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47433-2024</t>
        </is>
      </c>
      <c r="B235" s="1" t="n">
        <v>45587</v>
      </c>
      <c r="C235" s="1" t="n">
        <v>45878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Sveaskog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55381-2024</t>
        </is>
      </c>
      <c r="B236" s="1" t="n">
        <v>45622</v>
      </c>
      <c r="C236" s="1" t="n">
        <v>45878</v>
      </c>
      <c r="D236" t="inlineStr">
        <is>
          <t>NORRBOTTENS LÄN</t>
        </is>
      </c>
      <c r="E236" t="inlineStr">
        <is>
          <t>GÄLLIVARE</t>
        </is>
      </c>
      <c r="F236" t="inlineStr">
        <is>
          <t>Sveaskog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57909-2023</t>
        </is>
      </c>
      <c r="B237" s="1" t="n">
        <v>45244</v>
      </c>
      <c r="C237" s="1" t="n">
        <v>45878</v>
      </c>
      <c r="D237" t="inlineStr">
        <is>
          <t>NORRBOTTENS LÄN</t>
        </is>
      </c>
      <c r="E237" t="inlineStr">
        <is>
          <t>GÄLLIVARE</t>
        </is>
      </c>
      <c r="F237" t="inlineStr">
        <is>
          <t>Allmännings- och besparingsskogar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59675-2024</t>
        </is>
      </c>
      <c r="B238" s="1" t="n">
        <v>45639</v>
      </c>
      <c r="C238" s="1" t="n">
        <v>45878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44690-2023</t>
        </is>
      </c>
      <c r="B239" s="1" t="n">
        <v>45189</v>
      </c>
      <c r="C239" s="1" t="n">
        <v>45878</v>
      </c>
      <c r="D239" t="inlineStr">
        <is>
          <t>NORRBOTTENS LÄN</t>
        </is>
      </c>
      <c r="E239" t="inlineStr">
        <is>
          <t>GÄLLIVARE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61679-2022</t>
        </is>
      </c>
      <c r="B240" s="1" t="n">
        <v>44909</v>
      </c>
      <c r="C240" s="1" t="n">
        <v>45878</v>
      </c>
      <c r="D240" t="inlineStr">
        <is>
          <t>NORRBOTTENS LÄN</t>
        </is>
      </c>
      <c r="E240" t="inlineStr">
        <is>
          <t>GÄLLIVARE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36246-2023</t>
        </is>
      </c>
      <c r="B241" s="1" t="n">
        <v>45150</v>
      </c>
      <c r="C241" s="1" t="n">
        <v>45878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20286-2025</t>
        </is>
      </c>
      <c r="B242" s="1" t="n">
        <v>45774</v>
      </c>
      <c r="C242" s="1" t="n">
        <v>45878</v>
      </c>
      <c r="D242" t="inlineStr">
        <is>
          <t>NORRBOTTENS LÄN</t>
        </is>
      </c>
      <c r="E242" t="inlineStr">
        <is>
          <t>GÄLLIVARE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4185-2023</t>
        </is>
      </c>
      <c r="B243" s="1" t="n">
        <v>44953</v>
      </c>
      <c r="C243" s="1" t="n">
        <v>45878</v>
      </c>
      <c r="D243" t="inlineStr">
        <is>
          <t>NORRBOTTENS LÄN</t>
        </is>
      </c>
      <c r="E243" t="inlineStr">
        <is>
          <t>GÄLLIVARE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41713-2024</t>
        </is>
      </c>
      <c r="B244" s="1" t="n">
        <v>45560.71907407408</v>
      </c>
      <c r="C244" s="1" t="n">
        <v>45878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24139-2025</t>
        </is>
      </c>
      <c r="B245" s="1" t="n">
        <v>45796</v>
      </c>
      <c r="C245" s="1" t="n">
        <v>45878</v>
      </c>
      <c r="D245" t="inlineStr">
        <is>
          <t>NORRBOTTENS LÄN</t>
        </is>
      </c>
      <c r="E245" t="inlineStr">
        <is>
          <t>GÄLLIVARE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5166-2025</t>
        </is>
      </c>
      <c r="B246" s="1" t="n">
        <v>45691</v>
      </c>
      <c r="C246" s="1" t="n">
        <v>45878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59698-2024</t>
        </is>
      </c>
      <c r="B247" s="1" t="n">
        <v>45639</v>
      </c>
      <c r="C247" s="1" t="n">
        <v>45878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59704-2024</t>
        </is>
      </c>
      <c r="B248" s="1" t="n">
        <v>45639</v>
      </c>
      <c r="C248" s="1" t="n">
        <v>45878</v>
      </c>
      <c r="D248" t="inlineStr">
        <is>
          <t>NORRBOTTENS LÄN</t>
        </is>
      </c>
      <c r="E248" t="inlineStr">
        <is>
          <t>GÄLLIVARE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24125-2025</t>
        </is>
      </c>
      <c r="B249" s="1" t="n">
        <v>45796</v>
      </c>
      <c r="C249" s="1" t="n">
        <v>45878</v>
      </c>
      <c r="D249" t="inlineStr">
        <is>
          <t>NORRBOTTENS LÄN</t>
        </is>
      </c>
      <c r="E249" t="inlineStr">
        <is>
          <t>GÄLLIVARE</t>
        </is>
      </c>
      <c r="F249" t="inlineStr">
        <is>
          <t>Allmännings- och besparingsskogar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36322-2023</t>
        </is>
      </c>
      <c r="B250" s="1" t="n">
        <v>45152</v>
      </c>
      <c r="C250" s="1" t="n">
        <v>45878</v>
      </c>
      <c r="D250" t="inlineStr">
        <is>
          <t>NORRBOTTENS LÄN</t>
        </is>
      </c>
      <c r="E250" t="inlineStr">
        <is>
          <t>GÄLLIVARE</t>
        </is>
      </c>
      <c r="F250" t="inlineStr">
        <is>
          <t>Allmännings- och besparingsskogar</t>
        </is>
      </c>
      <c r="G250" t="n">
        <v>36.8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5709-2023</t>
        </is>
      </c>
      <c r="B251" s="1" t="n">
        <v>44960</v>
      </c>
      <c r="C251" s="1" t="n">
        <v>45878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49877-2023</t>
        </is>
      </c>
      <c r="B252" s="1" t="n">
        <v>45212.95590277778</v>
      </c>
      <c r="C252" s="1" t="n">
        <v>45878</v>
      </c>
      <c r="D252" t="inlineStr">
        <is>
          <t>NORRBOTTENS LÄN</t>
        </is>
      </c>
      <c r="E252" t="inlineStr">
        <is>
          <t>GÄLLIVARE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44340-2024</t>
        </is>
      </c>
      <c r="B253" s="1" t="n">
        <v>45573</v>
      </c>
      <c r="C253" s="1" t="n">
        <v>45878</v>
      </c>
      <c r="D253" t="inlineStr">
        <is>
          <t>NORRBOTTENS LÄN</t>
        </is>
      </c>
      <c r="E253" t="inlineStr">
        <is>
          <t>GÄLLIVARE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39060-2024</t>
        </is>
      </c>
      <c r="B254" s="1" t="n">
        <v>45548</v>
      </c>
      <c r="C254" s="1" t="n">
        <v>45878</v>
      </c>
      <c r="D254" t="inlineStr">
        <is>
          <t>NORRBOTTENS LÄN</t>
        </is>
      </c>
      <c r="E254" t="inlineStr">
        <is>
          <t>GÄLLIVARE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24148-2025</t>
        </is>
      </c>
      <c r="B255" s="1" t="n">
        <v>45796</v>
      </c>
      <c r="C255" s="1" t="n">
        <v>45878</v>
      </c>
      <c r="D255" t="inlineStr">
        <is>
          <t>NORRBOTTENS LÄN</t>
        </is>
      </c>
      <c r="E255" t="inlineStr">
        <is>
          <t>GÄLLIVARE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57535-2024</t>
        </is>
      </c>
      <c r="B256" s="1" t="n">
        <v>45630.42950231482</v>
      </c>
      <c r="C256" s="1" t="n">
        <v>45878</v>
      </c>
      <c r="D256" t="inlineStr">
        <is>
          <t>NORRBOTTENS LÄN</t>
        </is>
      </c>
      <c r="E256" t="inlineStr">
        <is>
          <t>GÄLLIVARE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48531-2023</t>
        </is>
      </c>
      <c r="B257" s="1" t="n">
        <v>45208</v>
      </c>
      <c r="C257" s="1" t="n">
        <v>45878</v>
      </c>
      <c r="D257" t="inlineStr">
        <is>
          <t>NORRBOTTENS LÄN</t>
        </is>
      </c>
      <c r="E257" t="inlineStr">
        <is>
          <t>GÄLLIVARE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23944-2025</t>
        </is>
      </c>
      <c r="B258" s="1" t="n">
        <v>45796.34444444445</v>
      </c>
      <c r="C258" s="1" t="n">
        <v>45878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SCA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53893-2024</t>
        </is>
      </c>
      <c r="B259" s="1" t="n">
        <v>45615</v>
      </c>
      <c r="C259" s="1" t="n">
        <v>45878</v>
      </c>
      <c r="D259" t="inlineStr">
        <is>
          <t>NORRBOTTENS LÄN</t>
        </is>
      </c>
      <c r="E259" t="inlineStr">
        <is>
          <t>GÄLLIVARE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65517-2021</t>
        </is>
      </c>
      <c r="B260" s="1" t="n">
        <v>44516</v>
      </c>
      <c r="C260" s="1" t="n">
        <v>45878</v>
      </c>
      <c r="D260" t="inlineStr">
        <is>
          <t>NORRBOTTENS LÄN</t>
        </is>
      </c>
      <c r="E260" t="inlineStr">
        <is>
          <t>GÄLLIVARE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45654-2024</t>
        </is>
      </c>
      <c r="B261" s="1" t="n">
        <v>45579</v>
      </c>
      <c r="C261" s="1" t="n">
        <v>45878</v>
      </c>
      <c r="D261" t="inlineStr">
        <is>
          <t>NORRBOTTENS LÄN</t>
        </is>
      </c>
      <c r="E261" t="inlineStr">
        <is>
          <t>GÄLLIVARE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53784-2024</t>
        </is>
      </c>
      <c r="B262" s="1" t="n">
        <v>45615</v>
      </c>
      <c r="C262" s="1" t="n">
        <v>45878</v>
      </c>
      <c r="D262" t="inlineStr">
        <is>
          <t>NORRBOTTENS LÄN</t>
        </is>
      </c>
      <c r="E262" t="inlineStr">
        <is>
          <t>GÄLLIVARE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5086-2025</t>
        </is>
      </c>
      <c r="B263" s="1" t="n">
        <v>45691</v>
      </c>
      <c r="C263" s="1" t="n">
        <v>45878</v>
      </c>
      <c r="D263" t="inlineStr">
        <is>
          <t>NORRBOTTENS LÄN</t>
        </is>
      </c>
      <c r="E263" t="inlineStr">
        <is>
          <t>GÄLLIVARE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55034-2023</t>
        </is>
      </c>
      <c r="B264" s="1" t="n">
        <v>45237</v>
      </c>
      <c r="C264" s="1" t="n">
        <v>45878</v>
      </c>
      <c r="D264" t="inlineStr">
        <is>
          <t>NORRBOTTENS LÄN</t>
        </is>
      </c>
      <c r="E264" t="inlineStr">
        <is>
          <t>GÄLLIVARE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23885-2025</t>
        </is>
      </c>
      <c r="B265" s="1" t="n">
        <v>45793.72648148148</v>
      </c>
      <c r="C265" s="1" t="n">
        <v>45878</v>
      </c>
      <c r="D265" t="inlineStr">
        <is>
          <t>NORRBOTTENS LÄN</t>
        </is>
      </c>
      <c r="E265" t="inlineStr">
        <is>
          <t>GÄLLIVARE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39756-2024</t>
        </is>
      </c>
      <c r="B266" s="1" t="n">
        <v>45552</v>
      </c>
      <c r="C266" s="1" t="n">
        <v>45878</v>
      </c>
      <c r="D266" t="inlineStr">
        <is>
          <t>NORRBOTTENS LÄN</t>
        </is>
      </c>
      <c r="E266" t="inlineStr">
        <is>
          <t>GÄLLIVARE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47239-2023</t>
        </is>
      </c>
      <c r="B267" s="1" t="n">
        <v>45196</v>
      </c>
      <c r="C267" s="1" t="n">
        <v>45878</v>
      </c>
      <c r="D267" t="inlineStr">
        <is>
          <t>NORRBOTTENS LÄN</t>
        </is>
      </c>
      <c r="E267" t="inlineStr">
        <is>
          <t>GÄLLIVARE</t>
        </is>
      </c>
      <c r="F267" t="inlineStr">
        <is>
          <t>Övriga statliga verk och myndigheter</t>
        </is>
      </c>
      <c r="G267" t="n">
        <v>65.40000000000001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47239-2023</t>
        </is>
      </c>
      <c r="B268" s="1" t="n">
        <v>45196</v>
      </c>
      <c r="C268" s="1" t="n">
        <v>45878</v>
      </c>
      <c r="D268" t="inlineStr">
        <is>
          <t>NORRBOTTENS LÄN</t>
        </is>
      </c>
      <c r="E268" t="inlineStr">
        <is>
          <t>GÄLLIVARE</t>
        </is>
      </c>
      <c r="F268" t="inlineStr">
        <is>
          <t>Övriga statliga verk och myndigheter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24624-2025</t>
        </is>
      </c>
      <c r="B269" s="1" t="n">
        <v>45798.59435185185</v>
      </c>
      <c r="C269" s="1" t="n">
        <v>45878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24237-2025</t>
        </is>
      </c>
      <c r="B270" s="1" t="n">
        <v>45797</v>
      </c>
      <c r="C270" s="1" t="n">
        <v>45878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50095-2024</t>
        </is>
      </c>
      <c r="B271" s="1" t="n">
        <v>45600</v>
      </c>
      <c r="C271" s="1" t="n">
        <v>45878</v>
      </c>
      <c r="D271" t="inlineStr">
        <is>
          <t>NORRBOTTENS LÄN</t>
        </is>
      </c>
      <c r="E271" t="inlineStr">
        <is>
          <t>GÄLLIVARE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24457-2025</t>
        </is>
      </c>
      <c r="B272" s="1" t="n">
        <v>45798</v>
      </c>
      <c r="C272" s="1" t="n">
        <v>45878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27050-2022</t>
        </is>
      </c>
      <c r="B273" s="1" t="n">
        <v>44741</v>
      </c>
      <c r="C273" s="1" t="n">
        <v>45878</v>
      </c>
      <c r="D273" t="inlineStr">
        <is>
          <t>NORRBOTTENS LÄN</t>
        </is>
      </c>
      <c r="E273" t="inlineStr">
        <is>
          <t>GÄLLIVARE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45026-2023</t>
        </is>
      </c>
      <c r="B274" s="1" t="n">
        <v>45190.96262731482</v>
      </c>
      <c r="C274" s="1" t="n">
        <v>45878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SCA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24221-2025</t>
        </is>
      </c>
      <c r="B275" s="1" t="n">
        <v>45797.36483796296</v>
      </c>
      <c r="C275" s="1" t="n">
        <v>45878</v>
      </c>
      <c r="D275" t="inlineStr">
        <is>
          <t>NORRBOTTENS LÄN</t>
        </is>
      </c>
      <c r="E275" t="inlineStr">
        <is>
          <t>GÄLLIVARE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30781-2023</t>
        </is>
      </c>
      <c r="B276" s="1" t="n">
        <v>45112</v>
      </c>
      <c r="C276" s="1" t="n">
        <v>45878</v>
      </c>
      <c r="D276" t="inlineStr">
        <is>
          <t>NORRBOTTENS LÄN</t>
        </is>
      </c>
      <c r="E276" t="inlineStr">
        <is>
          <t>GÄLLIVARE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33226-2025</t>
        </is>
      </c>
      <c r="B277" s="1" t="n">
        <v>45840.63622685185</v>
      </c>
      <c r="C277" s="1" t="n">
        <v>45878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SCA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14974-2025</t>
        </is>
      </c>
      <c r="B278" s="1" t="n">
        <v>45743</v>
      </c>
      <c r="C278" s="1" t="n">
        <v>45878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SCA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24276-2025</t>
        </is>
      </c>
      <c r="B279" s="1" t="n">
        <v>45797.44836805556</v>
      </c>
      <c r="C279" s="1" t="n">
        <v>45878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SCA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52947-2023</t>
        </is>
      </c>
      <c r="B280" s="1" t="n">
        <v>45219</v>
      </c>
      <c r="C280" s="1" t="n">
        <v>45878</v>
      </c>
      <c r="D280" t="inlineStr">
        <is>
          <t>NORRBOTTENS LÄN</t>
        </is>
      </c>
      <c r="E280" t="inlineStr">
        <is>
          <t>GÄLLIVARE</t>
        </is>
      </c>
      <c r="F280" t="inlineStr">
        <is>
          <t>Övriga statliga verk och myndigheter</t>
        </is>
      </c>
      <c r="G280" t="n">
        <v>23.7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25467-2024</t>
        </is>
      </c>
      <c r="B281" s="1" t="n">
        <v>45463</v>
      </c>
      <c r="C281" s="1" t="n">
        <v>45878</v>
      </c>
      <c r="D281" t="inlineStr">
        <is>
          <t>NORRBOTTENS LÄN</t>
        </is>
      </c>
      <c r="E281" t="inlineStr">
        <is>
          <t>GÄLLIVARE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33668-2025</t>
        </is>
      </c>
      <c r="B282" s="1" t="n">
        <v>45841.67427083333</v>
      </c>
      <c r="C282" s="1" t="n">
        <v>45878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25035-2025</t>
        </is>
      </c>
      <c r="B283" s="1" t="n">
        <v>45799.65689814815</v>
      </c>
      <c r="C283" s="1" t="n">
        <v>45878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5111-2025</t>
        </is>
      </c>
      <c r="B284" s="1" t="n">
        <v>45691</v>
      </c>
      <c r="C284" s="1" t="n">
        <v>45878</v>
      </c>
      <c r="D284" t="inlineStr">
        <is>
          <t>NORRBOTTENS LÄN</t>
        </is>
      </c>
      <c r="E284" t="inlineStr">
        <is>
          <t>GÄLLIVARE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33742-2025</t>
        </is>
      </c>
      <c r="B285" s="1" t="n">
        <v>45842.34484953704</v>
      </c>
      <c r="C285" s="1" t="n">
        <v>45878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24734-2025</t>
        </is>
      </c>
      <c r="B286" s="1" t="n">
        <v>45799</v>
      </c>
      <c r="C286" s="1" t="n">
        <v>45878</v>
      </c>
      <c r="D286" t="inlineStr">
        <is>
          <t>NORRBOTTENS LÄN</t>
        </is>
      </c>
      <c r="E286" t="inlineStr">
        <is>
          <t>GÄLLIVARE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46857-2023</t>
        </is>
      </c>
      <c r="B287" s="1" t="n">
        <v>45199.97033564815</v>
      </c>
      <c r="C287" s="1" t="n">
        <v>45878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8018-2022</t>
        </is>
      </c>
      <c r="B288" s="1" t="n">
        <v>44609</v>
      </c>
      <c r="C288" s="1" t="n">
        <v>45878</v>
      </c>
      <c r="D288" t="inlineStr">
        <is>
          <t>NORRBOTTENS LÄN</t>
        </is>
      </c>
      <c r="E288" t="inlineStr">
        <is>
          <t>GÄLLIVARE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4633-2025</t>
        </is>
      </c>
      <c r="B289" s="1" t="n">
        <v>45687</v>
      </c>
      <c r="C289" s="1" t="n">
        <v>45878</v>
      </c>
      <c r="D289" t="inlineStr">
        <is>
          <t>NORRBOTTENS LÄN</t>
        </is>
      </c>
      <c r="E289" t="inlineStr">
        <is>
          <t>GÄLLIVARE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25038-2025</t>
        </is>
      </c>
      <c r="B290" s="1" t="n">
        <v>45799.65711805555</v>
      </c>
      <c r="C290" s="1" t="n">
        <v>45878</v>
      </c>
      <c r="D290" t="inlineStr">
        <is>
          <t>NORRBOTTENS LÄN</t>
        </is>
      </c>
      <c r="E290" t="inlineStr">
        <is>
          <t>GÄLLIVARE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25041-2025</t>
        </is>
      </c>
      <c r="B291" s="1" t="n">
        <v>45799</v>
      </c>
      <c r="C291" s="1" t="n">
        <v>45878</v>
      </c>
      <c r="D291" t="inlineStr">
        <is>
          <t>NORRBOTTENS LÄN</t>
        </is>
      </c>
      <c r="E291" t="inlineStr">
        <is>
          <t>GÄLLIVARE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16473-2024</t>
        </is>
      </c>
      <c r="B292" s="1" t="n">
        <v>45408</v>
      </c>
      <c r="C292" s="1" t="n">
        <v>45878</v>
      </c>
      <c r="D292" t="inlineStr">
        <is>
          <t>NORRBOTTENS LÄN</t>
        </is>
      </c>
      <c r="E292" t="inlineStr">
        <is>
          <t>GÄLLIVARE</t>
        </is>
      </c>
      <c r="F292" t="inlineStr">
        <is>
          <t>SCA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24739-2025</t>
        </is>
      </c>
      <c r="B293" s="1" t="n">
        <v>45799</v>
      </c>
      <c r="C293" s="1" t="n">
        <v>45878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24741-2025</t>
        </is>
      </c>
      <c r="B294" s="1" t="n">
        <v>45799.34563657407</v>
      </c>
      <c r="C294" s="1" t="n">
        <v>45878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52446-2024</t>
        </is>
      </c>
      <c r="B295" s="1" t="n">
        <v>45609</v>
      </c>
      <c r="C295" s="1" t="n">
        <v>45878</v>
      </c>
      <c r="D295" t="inlineStr">
        <is>
          <t>NORRBOTTENS LÄN</t>
        </is>
      </c>
      <c r="E295" t="inlineStr">
        <is>
          <t>GÄLLIVARE</t>
        </is>
      </c>
      <c r="F295" t="inlineStr">
        <is>
          <t>Allmännings- och besparingsskogar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44327-2024</t>
        </is>
      </c>
      <c r="B296" s="1" t="n">
        <v>45573</v>
      </c>
      <c r="C296" s="1" t="n">
        <v>45878</v>
      </c>
      <c r="D296" t="inlineStr">
        <is>
          <t>NORRBOTTENS LÄN</t>
        </is>
      </c>
      <c r="E296" t="inlineStr">
        <is>
          <t>GÄLLIVARE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36014-2023</t>
        </is>
      </c>
      <c r="B297" s="1" t="n">
        <v>45148</v>
      </c>
      <c r="C297" s="1" t="n">
        <v>45878</v>
      </c>
      <c r="D297" t="inlineStr">
        <is>
          <t>NORRBOTTENS LÄN</t>
        </is>
      </c>
      <c r="E297" t="inlineStr">
        <is>
          <t>GÄLLIVARE</t>
        </is>
      </c>
      <c r="F297" t="inlineStr">
        <is>
          <t>Allmännings- och besparingsskogar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25981-2025</t>
        </is>
      </c>
      <c r="B298" s="1" t="n">
        <v>45804</v>
      </c>
      <c r="C298" s="1" t="n">
        <v>45878</v>
      </c>
      <c r="D298" t="inlineStr">
        <is>
          <t>NORRBOTTENS LÄN</t>
        </is>
      </c>
      <c r="E298" t="inlineStr">
        <is>
          <t>GÄLLIVARE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33980-2025</t>
        </is>
      </c>
      <c r="B299" s="1" t="n">
        <v>45843.34418981482</v>
      </c>
      <c r="C299" s="1" t="n">
        <v>45878</v>
      </c>
      <c r="D299" t="inlineStr">
        <is>
          <t>NORRBOTTENS LÄN</t>
        </is>
      </c>
      <c r="E299" t="inlineStr">
        <is>
          <t>GÄLLIVARE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56259-2023</t>
        </is>
      </c>
      <c r="B300" s="1" t="n">
        <v>45240.94666666666</v>
      </c>
      <c r="C300" s="1" t="n">
        <v>45878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35730-2023</t>
        </is>
      </c>
      <c r="B301" s="1" t="n">
        <v>45147</v>
      </c>
      <c r="C301" s="1" t="n">
        <v>45878</v>
      </c>
      <c r="D301" t="inlineStr">
        <is>
          <t>NORRBOTTENS LÄN</t>
        </is>
      </c>
      <c r="E301" t="inlineStr">
        <is>
          <t>GÄLLIVARE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18257-2025</t>
        </is>
      </c>
      <c r="B302" s="1" t="n">
        <v>45762</v>
      </c>
      <c r="C302" s="1" t="n">
        <v>45878</v>
      </c>
      <c r="D302" t="inlineStr">
        <is>
          <t>NORRBOTTENS LÄN</t>
        </is>
      </c>
      <c r="E302" t="inlineStr">
        <is>
          <t>GÄLLIVARE</t>
        </is>
      </c>
      <c r="G302" t="n">
        <v>20.8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35362-2023</t>
        </is>
      </c>
      <c r="B303" s="1" t="n">
        <v>45146</v>
      </c>
      <c r="C303" s="1" t="n">
        <v>45878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4639-2025</t>
        </is>
      </c>
      <c r="B304" s="1" t="n">
        <v>45687.65006944445</v>
      </c>
      <c r="C304" s="1" t="n">
        <v>45878</v>
      </c>
      <c r="D304" t="inlineStr">
        <is>
          <t>NORRBOTTENS LÄN</t>
        </is>
      </c>
      <c r="E304" t="inlineStr">
        <is>
          <t>GÄLLIVARE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4647-2025</t>
        </is>
      </c>
      <c r="B305" s="1" t="n">
        <v>45687.65789351852</v>
      </c>
      <c r="C305" s="1" t="n">
        <v>45878</v>
      </c>
      <c r="D305" t="inlineStr">
        <is>
          <t>NORRBOTTENS LÄN</t>
        </is>
      </c>
      <c r="E305" t="inlineStr">
        <is>
          <t>GÄLLIVARE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53909-2024</t>
        </is>
      </c>
      <c r="B306" s="1" t="n">
        <v>45615.7202662037</v>
      </c>
      <c r="C306" s="1" t="n">
        <v>45878</v>
      </c>
      <c r="D306" t="inlineStr">
        <is>
          <t>NORRBOTTENS LÄN</t>
        </is>
      </c>
      <c r="E306" t="inlineStr">
        <is>
          <t>GÄLLIVARE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31450-2024</t>
        </is>
      </c>
      <c r="B307" s="1" t="n">
        <v>45505</v>
      </c>
      <c r="C307" s="1" t="n">
        <v>45878</v>
      </c>
      <c r="D307" t="inlineStr">
        <is>
          <t>NORRBOTTENS LÄN</t>
        </is>
      </c>
      <c r="E307" t="inlineStr">
        <is>
          <t>GÄLLIVARE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26284-2025</t>
        </is>
      </c>
      <c r="B308" s="1" t="n">
        <v>45805</v>
      </c>
      <c r="C308" s="1" t="n">
        <v>45878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41873-2024</t>
        </is>
      </c>
      <c r="B309" s="1" t="n">
        <v>45561.47195601852</v>
      </c>
      <c r="C309" s="1" t="n">
        <v>45878</v>
      </c>
      <c r="D309" t="inlineStr">
        <is>
          <t>NORRBOTTENS LÄN</t>
        </is>
      </c>
      <c r="E309" t="inlineStr">
        <is>
          <t>GÄLLIVARE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41917-2024</t>
        </is>
      </c>
      <c r="B310" s="1" t="n">
        <v>45561.55268518518</v>
      </c>
      <c r="C310" s="1" t="n">
        <v>45878</v>
      </c>
      <c r="D310" t="inlineStr">
        <is>
          <t>NORRBOTTENS LÄN</t>
        </is>
      </c>
      <c r="E310" t="inlineStr">
        <is>
          <t>GÄLLIVARE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29728-2021</t>
        </is>
      </c>
      <c r="B311" s="1" t="n">
        <v>44362</v>
      </c>
      <c r="C311" s="1" t="n">
        <v>45878</v>
      </c>
      <c r="D311" t="inlineStr">
        <is>
          <t>NORRBOTTENS LÄN</t>
        </is>
      </c>
      <c r="E311" t="inlineStr">
        <is>
          <t>GÄLLIVARE</t>
        </is>
      </c>
      <c r="F311" t="inlineStr">
        <is>
          <t>Övriga statliga verk och myndigheter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26243-2025</t>
        </is>
      </c>
      <c r="B312" s="1" t="n">
        <v>45805.57359953703</v>
      </c>
      <c r="C312" s="1" t="n">
        <v>45878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29196-2021</t>
        </is>
      </c>
      <c r="B313" s="1" t="n">
        <v>44358</v>
      </c>
      <c r="C313" s="1" t="n">
        <v>45878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26291-2025</t>
        </is>
      </c>
      <c r="B314" s="1" t="n">
        <v>45805</v>
      </c>
      <c r="C314" s="1" t="n">
        <v>45878</v>
      </c>
      <c r="D314" t="inlineStr">
        <is>
          <t>NORRBOTTENS LÄN</t>
        </is>
      </c>
      <c r="E314" t="inlineStr">
        <is>
          <t>GÄLLIVARE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26242-2025</t>
        </is>
      </c>
      <c r="B315" s="1" t="n">
        <v>45805</v>
      </c>
      <c r="C315" s="1" t="n">
        <v>45878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26208-2025</t>
        </is>
      </c>
      <c r="B316" s="1" t="n">
        <v>45805.53162037037</v>
      </c>
      <c r="C316" s="1" t="n">
        <v>45878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36245-2023</t>
        </is>
      </c>
      <c r="B317" s="1" t="n">
        <v>45150</v>
      </c>
      <c r="C317" s="1" t="n">
        <v>45878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34848-2025</t>
        </is>
      </c>
      <c r="B318" s="1" t="n">
        <v>45849.4200462963</v>
      </c>
      <c r="C318" s="1" t="n">
        <v>45878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8152-2025</t>
        </is>
      </c>
      <c r="B319" s="1" t="n">
        <v>45708</v>
      </c>
      <c r="C319" s="1" t="n">
        <v>45878</v>
      </c>
      <c r="D319" t="inlineStr">
        <is>
          <t>NORRBOTTENS LÄN</t>
        </is>
      </c>
      <c r="E319" t="inlineStr">
        <is>
          <t>GÄLLIVARE</t>
        </is>
      </c>
      <c r="F319" t="inlineStr">
        <is>
          <t>Sveaskog</t>
        </is>
      </c>
      <c r="G319" t="n">
        <v>42.1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53824-2024</t>
        </is>
      </c>
      <c r="B320" s="1" t="n">
        <v>45615.61038194445</v>
      </c>
      <c r="C320" s="1" t="n">
        <v>45878</v>
      </c>
      <c r="D320" t="inlineStr">
        <is>
          <t>NORRBOTTENS LÄN</t>
        </is>
      </c>
      <c r="E320" t="inlineStr">
        <is>
          <t>GÄLLIVARE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64262-2023</t>
        </is>
      </c>
      <c r="B321" s="1" t="n">
        <v>45279</v>
      </c>
      <c r="C321" s="1" t="n">
        <v>45878</v>
      </c>
      <c r="D321" t="inlineStr">
        <is>
          <t>NORRBOTTENS LÄN</t>
        </is>
      </c>
      <c r="E321" t="inlineStr">
        <is>
          <t>GÄLLIVARE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26638-2025</t>
        </is>
      </c>
      <c r="B322" s="1" t="n">
        <v>45810</v>
      </c>
      <c r="C322" s="1" t="n">
        <v>45878</v>
      </c>
      <c r="D322" t="inlineStr">
        <is>
          <t>NORRBOTTENS LÄN</t>
        </is>
      </c>
      <c r="E322" t="inlineStr">
        <is>
          <t>GÄLLIVARE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36881-2023</t>
        </is>
      </c>
      <c r="B323" s="1" t="n">
        <v>45154</v>
      </c>
      <c r="C323" s="1" t="n">
        <v>45878</v>
      </c>
      <c r="D323" t="inlineStr">
        <is>
          <t>NORRBOTTENS LÄN</t>
        </is>
      </c>
      <c r="E323" t="inlineStr">
        <is>
          <t>GÄLLIVARE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34127-2025</t>
        </is>
      </c>
      <c r="B324" s="1" t="n">
        <v>45845.53070601852</v>
      </c>
      <c r="C324" s="1" t="n">
        <v>45878</v>
      </c>
      <c r="D324" t="inlineStr">
        <is>
          <t>NORRBOTTENS LÄN</t>
        </is>
      </c>
      <c r="E324" t="inlineStr">
        <is>
          <t>GÄLLIVARE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27182-2025</t>
        </is>
      </c>
      <c r="B325" s="1" t="n">
        <v>45812.35888888889</v>
      </c>
      <c r="C325" s="1" t="n">
        <v>45878</v>
      </c>
      <c r="D325" t="inlineStr">
        <is>
          <t>NORRBOTTENS LÄN</t>
        </is>
      </c>
      <c r="E325" t="inlineStr">
        <is>
          <t>GÄLLIVARE</t>
        </is>
      </c>
      <c r="F325" t="inlineStr">
        <is>
          <t>Sveaskog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21441-2021</t>
        </is>
      </c>
      <c r="B326" s="1" t="n">
        <v>44321</v>
      </c>
      <c r="C326" s="1" t="n">
        <v>45878</v>
      </c>
      <c r="D326" t="inlineStr">
        <is>
          <t>NORRBOTTENS LÄN</t>
        </is>
      </c>
      <c r="E326" t="inlineStr">
        <is>
          <t>GÄLLIVARE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53794-2024</t>
        </is>
      </c>
      <c r="B327" s="1" t="n">
        <v>45615.57726851852</v>
      </c>
      <c r="C327" s="1" t="n">
        <v>45878</v>
      </c>
      <c r="D327" t="inlineStr">
        <is>
          <t>NORRBOTTENS LÄN</t>
        </is>
      </c>
      <c r="E327" t="inlineStr">
        <is>
          <t>GÄLLIVARE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26772-2025</t>
        </is>
      </c>
      <c r="B328" s="1" t="n">
        <v>45810</v>
      </c>
      <c r="C328" s="1" t="n">
        <v>45878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55584-2023</t>
        </is>
      </c>
      <c r="B329" s="1" t="n">
        <v>45238</v>
      </c>
      <c r="C329" s="1" t="n">
        <v>45878</v>
      </c>
      <c r="D329" t="inlineStr">
        <is>
          <t>NORRBOTTENS LÄN</t>
        </is>
      </c>
      <c r="E329" t="inlineStr">
        <is>
          <t>GÄLLIVARE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53674-2024</t>
        </is>
      </c>
      <c r="B330" s="1" t="n">
        <v>45612</v>
      </c>
      <c r="C330" s="1" t="n">
        <v>45878</v>
      </c>
      <c r="D330" t="inlineStr">
        <is>
          <t>NORRBOTTENS LÄN</t>
        </is>
      </c>
      <c r="E330" t="inlineStr">
        <is>
          <t>GÄLLIVARE</t>
        </is>
      </c>
      <c r="F330" t="inlineStr">
        <is>
          <t>Allmännings- och besparingsskogar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36511-2024</t>
        </is>
      </c>
      <c r="B331" s="1" t="n">
        <v>45537</v>
      </c>
      <c r="C331" s="1" t="n">
        <v>45878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Sveaskog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32943-2025</t>
        </is>
      </c>
      <c r="B332" s="1" t="n">
        <v>45839</v>
      </c>
      <c r="C332" s="1" t="n">
        <v>45878</v>
      </c>
      <c r="D332" t="inlineStr">
        <is>
          <t>NORRBOTTENS LÄN</t>
        </is>
      </c>
      <c r="E332" t="inlineStr">
        <is>
          <t>GÄLLIVARE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57705-2024</t>
        </is>
      </c>
      <c r="B333" s="1" t="n">
        <v>45630</v>
      </c>
      <c r="C333" s="1" t="n">
        <v>45878</v>
      </c>
      <c r="D333" t="inlineStr">
        <is>
          <t>NORRBOTTENS LÄN</t>
        </is>
      </c>
      <c r="E333" t="inlineStr">
        <is>
          <t>GÄLLIVARE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24564-2022</t>
        </is>
      </c>
      <c r="B334" s="1" t="n">
        <v>44726</v>
      </c>
      <c r="C334" s="1" t="n">
        <v>45878</v>
      </c>
      <c r="D334" t="inlineStr">
        <is>
          <t>NORRBOTTENS LÄN</t>
        </is>
      </c>
      <c r="E334" t="inlineStr">
        <is>
          <t>GÄLLIVARE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32936-2025</t>
        </is>
      </c>
      <c r="B335" s="1" t="n">
        <v>45839</v>
      </c>
      <c r="C335" s="1" t="n">
        <v>45878</v>
      </c>
      <c r="D335" t="inlineStr">
        <is>
          <t>NORRBOTTENS LÄN</t>
        </is>
      </c>
      <c r="E335" t="inlineStr">
        <is>
          <t>GÄLLIVARE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8190-2025</t>
        </is>
      </c>
      <c r="B336" s="1" t="n">
        <v>45708.40659722222</v>
      </c>
      <c r="C336" s="1" t="n">
        <v>45878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61473-2024</t>
        </is>
      </c>
      <c r="B337" s="1" t="n">
        <v>45646</v>
      </c>
      <c r="C337" s="1" t="n">
        <v>45878</v>
      </c>
      <c r="D337" t="inlineStr">
        <is>
          <t>NORRBOTTENS LÄN</t>
        </is>
      </c>
      <c r="E337" t="inlineStr">
        <is>
          <t>GÄLLIVARE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47239-2023</t>
        </is>
      </c>
      <c r="B338" s="1" t="n">
        <v>45196</v>
      </c>
      <c r="C338" s="1" t="n">
        <v>45878</v>
      </c>
      <c r="D338" t="inlineStr">
        <is>
          <t>NORRBOTTENS LÄN</t>
        </is>
      </c>
      <c r="E338" t="inlineStr">
        <is>
          <t>GÄLLIVARE</t>
        </is>
      </c>
      <c r="F338" t="inlineStr">
        <is>
          <t>Övriga statliga verk och myndigheter</t>
        </is>
      </c>
      <c r="G338" t="n">
        <v>28.1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53821-2024</t>
        </is>
      </c>
      <c r="B339" s="1" t="n">
        <v>45615</v>
      </c>
      <c r="C339" s="1" t="n">
        <v>45878</v>
      </c>
      <c r="D339" t="inlineStr">
        <is>
          <t>NORRBOTTENS LÄN</t>
        </is>
      </c>
      <c r="E339" t="inlineStr">
        <is>
          <t>GÄLLIVARE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48760-2023</t>
        </is>
      </c>
      <c r="B340" s="1" t="n">
        <v>45208.92326388889</v>
      </c>
      <c r="C340" s="1" t="n">
        <v>45878</v>
      </c>
      <c r="D340" t="inlineStr">
        <is>
          <t>NORRBOTTENS LÄN</t>
        </is>
      </c>
      <c r="E340" t="inlineStr">
        <is>
          <t>GÄLLIVARE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29140-2022</t>
        </is>
      </c>
      <c r="B341" s="1" t="n">
        <v>44750</v>
      </c>
      <c r="C341" s="1" t="n">
        <v>45878</v>
      </c>
      <c r="D341" t="inlineStr">
        <is>
          <t>NORRBOTTENS LÄN</t>
        </is>
      </c>
      <c r="E341" t="inlineStr">
        <is>
          <t>GÄLLIVARE</t>
        </is>
      </c>
      <c r="G341" t="n">
        <v>13.6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36244-2023</t>
        </is>
      </c>
      <c r="B342" s="1" t="n">
        <v>45150</v>
      </c>
      <c r="C342" s="1" t="n">
        <v>45878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11782-2025</t>
        </is>
      </c>
      <c r="B343" s="1" t="n">
        <v>45727.71935185185</v>
      </c>
      <c r="C343" s="1" t="n">
        <v>45878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28646-2023</t>
        </is>
      </c>
      <c r="B344" s="1" t="n">
        <v>45096</v>
      </c>
      <c r="C344" s="1" t="n">
        <v>45878</v>
      </c>
      <c r="D344" t="inlineStr">
        <is>
          <t>NORRBOTTENS LÄN</t>
        </is>
      </c>
      <c r="E344" t="inlineStr">
        <is>
          <t>GÄLLIVARE</t>
        </is>
      </c>
      <c r="F344" t="inlineStr">
        <is>
          <t>Allmännings- och besparingsskogar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40974-2023</t>
        </is>
      </c>
      <c r="B345" s="1" t="n">
        <v>45173</v>
      </c>
      <c r="C345" s="1" t="n">
        <v>45878</v>
      </c>
      <c r="D345" t="inlineStr">
        <is>
          <t>NORRBOTTENS LÄN</t>
        </is>
      </c>
      <c r="E345" t="inlineStr">
        <is>
          <t>GÄLLIVARE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33307-2025</t>
        </is>
      </c>
      <c r="B346" s="1" t="n">
        <v>45841.31274305555</v>
      </c>
      <c r="C346" s="1" t="n">
        <v>45878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8075-2025</t>
        </is>
      </c>
      <c r="B347" s="1" t="n">
        <v>45707</v>
      </c>
      <c r="C347" s="1" t="n">
        <v>45878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Sveaskog</t>
        </is>
      </c>
      <c r="G347" t="n">
        <v>43.4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34130-2025</t>
        </is>
      </c>
      <c r="B348" s="1" t="n">
        <v>45845.53159722222</v>
      </c>
      <c r="C348" s="1" t="n">
        <v>45878</v>
      </c>
      <c r="D348" t="inlineStr">
        <is>
          <t>NORRBOTTENS LÄN</t>
        </is>
      </c>
      <c r="E348" t="inlineStr">
        <is>
          <t>GÄLLIVARE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33654-2025</t>
        </is>
      </c>
      <c r="B349" s="1" t="n">
        <v>45841.65853009259</v>
      </c>
      <c r="C349" s="1" t="n">
        <v>45878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53677-2024</t>
        </is>
      </c>
      <c r="B350" s="1" t="n">
        <v>45612</v>
      </c>
      <c r="C350" s="1" t="n">
        <v>45878</v>
      </c>
      <c r="D350" t="inlineStr">
        <is>
          <t>NORRBOTTENS LÄN</t>
        </is>
      </c>
      <c r="E350" t="inlineStr">
        <is>
          <t>GÄLLIVARE</t>
        </is>
      </c>
      <c r="F350" t="inlineStr">
        <is>
          <t>Allmännings- och besparingsskogar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47162-2023</t>
        </is>
      </c>
      <c r="B351" s="1" t="n">
        <v>45201</v>
      </c>
      <c r="C351" s="1" t="n">
        <v>45878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27567-2025</t>
        </is>
      </c>
      <c r="B352" s="1" t="n">
        <v>45813.48991898148</v>
      </c>
      <c r="C352" s="1" t="n">
        <v>45878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36979-2023</t>
        </is>
      </c>
      <c r="B353" s="1" t="n">
        <v>45154.95475694445</v>
      </c>
      <c r="C353" s="1" t="n">
        <v>45878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SCA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36983-2023</t>
        </is>
      </c>
      <c r="B354" s="1" t="n">
        <v>45154.95504629629</v>
      </c>
      <c r="C354" s="1" t="n">
        <v>45878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35471-2025</t>
        </is>
      </c>
      <c r="B355" s="1" t="n">
        <v>45855</v>
      </c>
      <c r="C355" s="1" t="n">
        <v>45878</v>
      </c>
      <c r="D355" t="inlineStr">
        <is>
          <t>NORRBOTTENS LÄN</t>
        </is>
      </c>
      <c r="E355" t="inlineStr">
        <is>
          <t>GÄLLIVARE</t>
        </is>
      </c>
      <c r="F355" t="inlineStr">
        <is>
          <t>Allmännings- och besparingsskogar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38114-2020</t>
        </is>
      </c>
      <c r="B356" s="1" t="n">
        <v>44058</v>
      </c>
      <c r="C356" s="1" t="n">
        <v>45878</v>
      </c>
      <c r="D356" t="inlineStr">
        <is>
          <t>NORRBOTTENS LÄN</t>
        </is>
      </c>
      <c r="E356" t="inlineStr">
        <is>
          <t>GÄLLIVARE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35470-2025</t>
        </is>
      </c>
      <c r="B357" s="1" t="n">
        <v>45855</v>
      </c>
      <c r="C357" s="1" t="n">
        <v>45878</v>
      </c>
      <c r="D357" t="inlineStr">
        <is>
          <t>NORRBOTTENS LÄN</t>
        </is>
      </c>
      <c r="E357" t="inlineStr">
        <is>
          <t>GÄLLIVARE</t>
        </is>
      </c>
      <c r="F357" t="inlineStr">
        <is>
          <t>Allmännings- och besparingsskogar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47048-2023</t>
        </is>
      </c>
      <c r="B358" s="1" t="n">
        <v>45201</v>
      </c>
      <c r="C358" s="1" t="n">
        <v>45878</v>
      </c>
      <c r="D358" t="inlineStr">
        <is>
          <t>NORRBOTTENS LÄN</t>
        </is>
      </c>
      <c r="E358" t="inlineStr">
        <is>
          <t>GÄLLIVARE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11783-2025</t>
        </is>
      </c>
      <c r="B359" s="1" t="n">
        <v>45727.71951388889</v>
      </c>
      <c r="C359" s="1" t="n">
        <v>45878</v>
      </c>
      <c r="D359" t="inlineStr">
        <is>
          <t>NORRBOTTENS LÄN</t>
        </is>
      </c>
      <c r="E359" t="inlineStr">
        <is>
          <t>GÄLLIVARE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28272-2025</t>
        </is>
      </c>
      <c r="B360" s="1" t="n">
        <v>45818</v>
      </c>
      <c r="C360" s="1" t="n">
        <v>45878</v>
      </c>
      <c r="D360" t="inlineStr">
        <is>
          <t>NORRBOTTENS LÄN</t>
        </is>
      </c>
      <c r="E360" t="inlineStr">
        <is>
          <t>GÄLLIVARE</t>
        </is>
      </c>
      <c r="F360" t="inlineStr">
        <is>
          <t>Sveaskog</t>
        </is>
      </c>
      <c r="G360" t="n">
        <v>24.8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15373-2024</t>
        </is>
      </c>
      <c r="B361" s="1" t="n">
        <v>45400</v>
      </c>
      <c r="C361" s="1" t="n">
        <v>45878</v>
      </c>
      <c r="D361" t="inlineStr">
        <is>
          <t>NORRBOTTENS LÄN</t>
        </is>
      </c>
      <c r="E361" t="inlineStr">
        <is>
          <t>GÄLLIVARE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64360-2023</t>
        </is>
      </c>
      <c r="B362" s="1" t="n">
        <v>45280</v>
      </c>
      <c r="C362" s="1" t="n">
        <v>45878</v>
      </c>
      <c r="D362" t="inlineStr">
        <is>
          <t>NORRBOTTENS LÄN</t>
        </is>
      </c>
      <c r="E362" t="inlineStr">
        <is>
          <t>GÄLLIVARE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44982-2023</t>
        </is>
      </c>
      <c r="B363" s="1" t="n">
        <v>45190.95821759259</v>
      </c>
      <c r="C363" s="1" t="n">
        <v>45878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44985-2023</t>
        </is>
      </c>
      <c r="B364" s="1" t="n">
        <v>45190.95814814815</v>
      </c>
      <c r="C364" s="1" t="n">
        <v>45878</v>
      </c>
      <c r="D364" t="inlineStr">
        <is>
          <t>NORRBOTTENS LÄN</t>
        </is>
      </c>
      <c r="E364" t="inlineStr">
        <is>
          <t>GÄLLIVARE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57208-2021</t>
        </is>
      </c>
      <c r="B365" s="1" t="n">
        <v>44482.94003472223</v>
      </c>
      <c r="C365" s="1" t="n">
        <v>45878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21556-2023</t>
        </is>
      </c>
      <c r="B366" s="1" t="n">
        <v>45063</v>
      </c>
      <c r="C366" s="1" t="n">
        <v>45878</v>
      </c>
      <c r="D366" t="inlineStr">
        <is>
          <t>NORRBOTTENS LÄN</t>
        </is>
      </c>
      <c r="E366" t="inlineStr">
        <is>
          <t>GÄLLIVARE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17418-2024</t>
        </is>
      </c>
      <c r="B367" s="1" t="n">
        <v>45414</v>
      </c>
      <c r="C367" s="1" t="n">
        <v>45878</v>
      </c>
      <c r="D367" t="inlineStr">
        <is>
          <t>NORRBOTTENS LÄN</t>
        </is>
      </c>
      <c r="E367" t="inlineStr">
        <is>
          <t>GÄLLIVARE</t>
        </is>
      </c>
      <c r="F367" t="inlineStr">
        <is>
          <t>SCA</t>
        </is>
      </c>
      <c r="G367" t="n">
        <v>48.6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28126-2025</t>
        </is>
      </c>
      <c r="B368" s="1" t="n">
        <v>45818.31854166667</v>
      </c>
      <c r="C368" s="1" t="n">
        <v>45878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Sveaskog</t>
        </is>
      </c>
      <c r="G368" t="n">
        <v>29.9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20126-2023</t>
        </is>
      </c>
      <c r="B369" s="1" t="n">
        <v>45051</v>
      </c>
      <c r="C369" s="1" t="n">
        <v>45878</v>
      </c>
      <c r="D369" t="inlineStr">
        <is>
          <t>NORRBOTTENS LÄN</t>
        </is>
      </c>
      <c r="E369" t="inlineStr">
        <is>
          <t>GÄLLIVARE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28124-2025</t>
        </is>
      </c>
      <c r="B370" s="1" t="n">
        <v>45818.31184027778</v>
      </c>
      <c r="C370" s="1" t="n">
        <v>45878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28125-2025</t>
        </is>
      </c>
      <c r="B371" s="1" t="n">
        <v>45818.31322916667</v>
      </c>
      <c r="C371" s="1" t="n">
        <v>45878</v>
      </c>
      <c r="D371" t="inlineStr">
        <is>
          <t>NORRBOTTENS LÄN</t>
        </is>
      </c>
      <c r="E371" t="inlineStr">
        <is>
          <t>GÄLLIVARE</t>
        </is>
      </c>
      <c r="F371" t="inlineStr">
        <is>
          <t>Sveaskog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9655-2024</t>
        </is>
      </c>
      <c r="B372" s="1" t="n">
        <v>45362</v>
      </c>
      <c r="C372" s="1" t="n">
        <v>45878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Sveaskog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35474-2025</t>
        </is>
      </c>
      <c r="B373" s="1" t="n">
        <v>45855</v>
      </c>
      <c r="C373" s="1" t="n">
        <v>45878</v>
      </c>
      <c r="D373" t="inlineStr">
        <is>
          <t>NORRBOTTENS LÄN</t>
        </is>
      </c>
      <c r="E373" t="inlineStr">
        <is>
          <t>GÄLLIVARE</t>
        </is>
      </c>
      <c r="F373" t="inlineStr">
        <is>
          <t>Allmännings- och besparingsskogar</t>
        </is>
      </c>
      <c r="G373" t="n">
        <v>28.5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28580-2025</t>
        </is>
      </c>
      <c r="B374" s="1" t="n">
        <v>45819.57340277778</v>
      </c>
      <c r="C374" s="1" t="n">
        <v>45878</v>
      </c>
      <c r="D374" t="inlineStr">
        <is>
          <t>NORRBOTTENS LÄN</t>
        </is>
      </c>
      <c r="E374" t="inlineStr">
        <is>
          <t>GÄLLIVARE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2135-2024</t>
        </is>
      </c>
      <c r="B375" s="1" t="n">
        <v>45309</v>
      </c>
      <c r="C375" s="1" t="n">
        <v>45878</v>
      </c>
      <c r="D375" t="inlineStr">
        <is>
          <t>NORRBOTTENS LÄN</t>
        </is>
      </c>
      <c r="E375" t="inlineStr">
        <is>
          <t>GÄLLIVARE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60868-2023</t>
        </is>
      </c>
      <c r="B376" s="1" t="n">
        <v>45260</v>
      </c>
      <c r="C376" s="1" t="n">
        <v>45878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35472-2025</t>
        </is>
      </c>
      <c r="B377" s="1" t="n">
        <v>45855</v>
      </c>
      <c r="C377" s="1" t="n">
        <v>45878</v>
      </c>
      <c r="D377" t="inlineStr">
        <is>
          <t>NORRBOTTENS LÄN</t>
        </is>
      </c>
      <c r="E377" t="inlineStr">
        <is>
          <t>GÄLLIVARE</t>
        </is>
      </c>
      <c r="F377" t="inlineStr">
        <is>
          <t>Allmännings- och besparingsskogar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4918-2025</t>
        </is>
      </c>
      <c r="B378" s="1" t="n">
        <v>45688.68222222223</v>
      </c>
      <c r="C378" s="1" t="n">
        <v>45878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10948-2025</t>
        </is>
      </c>
      <c r="B379" s="1" t="n">
        <v>45723.34453703704</v>
      </c>
      <c r="C379" s="1" t="n">
        <v>45878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61190-2023</t>
        </is>
      </c>
      <c r="B380" s="1" t="n">
        <v>45264</v>
      </c>
      <c r="C380" s="1" t="n">
        <v>45878</v>
      </c>
      <c r="D380" t="inlineStr">
        <is>
          <t>NORRBOTTENS LÄN</t>
        </is>
      </c>
      <c r="E380" t="inlineStr">
        <is>
          <t>GÄLLIVARE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55606-2023</t>
        </is>
      </c>
      <c r="B381" s="1" t="n">
        <v>45238</v>
      </c>
      <c r="C381" s="1" t="n">
        <v>45878</v>
      </c>
      <c r="D381" t="inlineStr">
        <is>
          <t>NORRBOTTENS LÄN</t>
        </is>
      </c>
      <c r="E381" t="inlineStr">
        <is>
          <t>GÄLLIVARE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29254-2024</t>
        </is>
      </c>
      <c r="B382" s="1" t="n">
        <v>45482</v>
      </c>
      <c r="C382" s="1" t="n">
        <v>45878</v>
      </c>
      <c r="D382" t="inlineStr">
        <is>
          <t>NORRBOTTENS LÄN</t>
        </is>
      </c>
      <c r="E382" t="inlineStr">
        <is>
          <t>GÄLLIVARE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36249-2023</t>
        </is>
      </c>
      <c r="B383" s="1" t="n">
        <v>45150.9416087963</v>
      </c>
      <c r="C383" s="1" t="n">
        <v>45878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36250-2023</t>
        </is>
      </c>
      <c r="B384" s="1" t="n">
        <v>45150.94170138889</v>
      </c>
      <c r="C384" s="1" t="n">
        <v>45878</v>
      </c>
      <c r="D384" t="inlineStr">
        <is>
          <t>NORRBOTTENS LÄN</t>
        </is>
      </c>
      <c r="E384" t="inlineStr">
        <is>
          <t>GÄLLIVARE</t>
        </is>
      </c>
      <c r="F384" t="inlineStr">
        <is>
          <t>SCA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58776-2022</t>
        </is>
      </c>
      <c r="B385" s="1" t="n">
        <v>44895</v>
      </c>
      <c r="C385" s="1" t="n">
        <v>45878</v>
      </c>
      <c r="D385" t="inlineStr">
        <is>
          <t>NORRBOTTENS LÄN</t>
        </is>
      </c>
      <c r="E385" t="inlineStr">
        <is>
          <t>GÄLLIVARE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29383-2025</t>
        </is>
      </c>
      <c r="B386" s="1" t="n">
        <v>45824</v>
      </c>
      <c r="C386" s="1" t="n">
        <v>45878</v>
      </c>
      <c r="D386" t="inlineStr">
        <is>
          <t>NORRBOTTENS LÄN</t>
        </is>
      </c>
      <c r="E386" t="inlineStr">
        <is>
          <t>GÄLLIVARE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59172-2022</t>
        </is>
      </c>
      <c r="B387" s="1" t="n">
        <v>44904.48228009259</v>
      </c>
      <c r="C387" s="1" t="n">
        <v>45878</v>
      </c>
      <c r="D387" t="inlineStr">
        <is>
          <t>NORRBOTTENS LÄN</t>
        </is>
      </c>
      <c r="E387" t="inlineStr">
        <is>
          <t>GÄLLIVARE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29481-2025</t>
        </is>
      </c>
      <c r="B388" s="1" t="n">
        <v>45824</v>
      </c>
      <c r="C388" s="1" t="n">
        <v>45878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8149-2025</t>
        </is>
      </c>
      <c r="B389" s="1" t="n">
        <v>45708</v>
      </c>
      <c r="C389" s="1" t="n">
        <v>45878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33.3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5776-2025</t>
        </is>
      </c>
      <c r="B390" s="1" t="n">
        <v>45694</v>
      </c>
      <c r="C390" s="1" t="n">
        <v>45878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SCA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36137-2025</t>
        </is>
      </c>
      <c r="B391" s="1" t="n">
        <v>45866.64355324074</v>
      </c>
      <c r="C391" s="1" t="n">
        <v>45878</v>
      </c>
      <c r="D391" t="inlineStr">
        <is>
          <t>NORRBOTTENS LÄN</t>
        </is>
      </c>
      <c r="E391" t="inlineStr">
        <is>
          <t>GÄLLIVARE</t>
        </is>
      </c>
      <c r="F391" t="inlineStr">
        <is>
          <t>Sveaskog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55259-2024</t>
        </is>
      </c>
      <c r="B392" s="1" t="n">
        <v>45621</v>
      </c>
      <c r="C392" s="1" t="n">
        <v>45878</v>
      </c>
      <c r="D392" t="inlineStr">
        <is>
          <t>NORRBOTTENS LÄN</t>
        </is>
      </c>
      <c r="E392" t="inlineStr">
        <is>
          <t>GÄLLIVARE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29781-2024</t>
        </is>
      </c>
      <c r="B393" s="1" t="n">
        <v>45485.45442129629</v>
      </c>
      <c r="C393" s="1" t="n">
        <v>45878</v>
      </c>
      <c r="D393" t="inlineStr">
        <is>
          <t>NORRBOTTENS LÄN</t>
        </is>
      </c>
      <c r="E393" t="inlineStr">
        <is>
          <t>GÄLLIVARE</t>
        </is>
      </c>
      <c r="F393" t="inlineStr">
        <is>
          <t>Sveaskog</t>
        </is>
      </c>
      <c r="G393" t="n">
        <v>23.4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52887-2023</t>
        </is>
      </c>
      <c r="B394" s="1" t="n">
        <v>45219</v>
      </c>
      <c r="C394" s="1" t="n">
        <v>45878</v>
      </c>
      <c r="D394" t="inlineStr">
        <is>
          <t>NORRBOTTENS LÄN</t>
        </is>
      </c>
      <c r="E394" t="inlineStr">
        <is>
          <t>GÄLLIVARE</t>
        </is>
      </c>
      <c r="F394" t="inlineStr">
        <is>
          <t>Övriga statliga verk och myndigheter</t>
        </is>
      </c>
      <c r="G394" t="n">
        <v>23.1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29478-2025</t>
        </is>
      </c>
      <c r="B395" s="1" t="n">
        <v>45824</v>
      </c>
      <c r="C395" s="1" t="n">
        <v>45878</v>
      </c>
      <c r="D395" t="inlineStr">
        <is>
          <t>NORRBOTTENS LÄN</t>
        </is>
      </c>
      <c r="E395" t="inlineStr">
        <is>
          <t>GÄLLIVARE</t>
        </is>
      </c>
      <c r="F395" t="inlineStr">
        <is>
          <t>Allmännings- och besparingsskogar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30367-2024</t>
        </is>
      </c>
      <c r="B396" s="1" t="n">
        <v>45491</v>
      </c>
      <c r="C396" s="1" t="n">
        <v>45878</v>
      </c>
      <c r="D396" t="inlineStr">
        <is>
          <t>NORRBOTTENS LÄN</t>
        </is>
      </c>
      <c r="E396" t="inlineStr">
        <is>
          <t>GÄLLIVARE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44983-2023</t>
        </is>
      </c>
      <c r="B397" s="1" t="n">
        <v>45190</v>
      </c>
      <c r="C397" s="1" t="n">
        <v>45878</v>
      </c>
      <c r="D397" t="inlineStr">
        <is>
          <t>NORRBOTTENS LÄN</t>
        </is>
      </c>
      <c r="E397" t="inlineStr">
        <is>
          <t>GÄLLIVARE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29476-2025</t>
        </is>
      </c>
      <c r="B398" s="1" t="n">
        <v>45824</v>
      </c>
      <c r="C398" s="1" t="n">
        <v>45878</v>
      </c>
      <c r="D398" t="inlineStr">
        <is>
          <t>NORRBOTTENS LÄN</t>
        </is>
      </c>
      <c r="E398" t="inlineStr">
        <is>
          <t>GÄLLIVARE</t>
        </is>
      </c>
      <c r="F398" t="inlineStr">
        <is>
          <t>Allmännings- och besparingsskogar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29841-2025</t>
        </is>
      </c>
      <c r="B399" s="1" t="n">
        <v>45826.30746527778</v>
      </c>
      <c r="C399" s="1" t="n">
        <v>45878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36351-2025</t>
        </is>
      </c>
      <c r="B400" s="1" t="n">
        <v>45868.48922453704</v>
      </c>
      <c r="C400" s="1" t="n">
        <v>45878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30030-2025</t>
        </is>
      </c>
      <c r="B401" s="1" t="n">
        <v>45826.56829861111</v>
      </c>
      <c r="C401" s="1" t="n">
        <v>45878</v>
      </c>
      <c r="D401" t="inlineStr">
        <is>
          <t>NORRBOTTENS LÄN</t>
        </is>
      </c>
      <c r="E401" t="inlineStr">
        <is>
          <t>GÄLLIVARE</t>
        </is>
      </c>
      <c r="F401" t="inlineStr">
        <is>
          <t>Sveaskog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36346-2025</t>
        </is>
      </c>
      <c r="B402" s="1" t="n">
        <v>45868.47645833333</v>
      </c>
      <c r="C402" s="1" t="n">
        <v>45878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14975-2025</t>
        </is>
      </c>
      <c r="B403" s="1" t="n">
        <v>45743</v>
      </c>
      <c r="C403" s="1" t="n">
        <v>45878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21275-2025</t>
        </is>
      </c>
      <c r="B404" s="1" t="n">
        <v>45779</v>
      </c>
      <c r="C404" s="1" t="n">
        <v>45878</v>
      </c>
      <c r="D404" t="inlineStr">
        <is>
          <t>NORRBOTTENS LÄN</t>
        </is>
      </c>
      <c r="E404" t="inlineStr">
        <is>
          <t>GÄLLIVARE</t>
        </is>
      </c>
      <c r="F404" t="inlineStr">
        <is>
          <t>SCA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14664-2025</t>
        </is>
      </c>
      <c r="B405" s="1" t="n">
        <v>45742</v>
      </c>
      <c r="C405" s="1" t="n">
        <v>45878</v>
      </c>
      <c r="D405" t="inlineStr">
        <is>
          <t>NORRBOTTENS LÄN</t>
        </is>
      </c>
      <c r="E405" t="inlineStr">
        <is>
          <t>GÄLLIVARE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8033-2025</t>
        </is>
      </c>
      <c r="B406" s="1" t="n">
        <v>45707</v>
      </c>
      <c r="C406" s="1" t="n">
        <v>45878</v>
      </c>
      <c r="D406" t="inlineStr">
        <is>
          <t>NORRBOTTENS LÄN</t>
        </is>
      </c>
      <c r="E406" t="inlineStr">
        <is>
          <t>GÄLLIVARE</t>
        </is>
      </c>
      <c r="F406" t="inlineStr">
        <is>
          <t>Sveaskog</t>
        </is>
      </c>
      <c r="G406" t="n">
        <v>34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36344-2025</t>
        </is>
      </c>
      <c r="B407" s="1" t="n">
        <v>45868.47358796297</v>
      </c>
      <c r="C407" s="1" t="n">
        <v>45878</v>
      </c>
      <c r="D407" t="inlineStr">
        <is>
          <t>NORRBOTTENS LÄN</t>
        </is>
      </c>
      <c r="E407" t="inlineStr">
        <is>
          <t>GÄLLIVARE</t>
        </is>
      </c>
      <c r="F407" t="inlineStr">
        <is>
          <t>Sveaskog</t>
        </is>
      </c>
      <c r="G407" t="n">
        <v>21.2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36348-2025</t>
        </is>
      </c>
      <c r="B408" s="1" t="n">
        <v>45868.4797337963</v>
      </c>
      <c r="C408" s="1" t="n">
        <v>45878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36326-2025</t>
        </is>
      </c>
      <c r="B409" s="1" t="n">
        <v>45868.42105324074</v>
      </c>
      <c r="C409" s="1" t="n">
        <v>45878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29253-2024</t>
        </is>
      </c>
      <c r="B410" s="1" t="n">
        <v>45482</v>
      </c>
      <c r="C410" s="1" t="n">
        <v>45878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14660-2025</t>
        </is>
      </c>
      <c r="B411" s="1" t="n">
        <v>45742</v>
      </c>
      <c r="C411" s="1" t="n">
        <v>45878</v>
      </c>
      <c r="D411" t="inlineStr">
        <is>
          <t>NORRBOTTENS LÄN</t>
        </is>
      </c>
      <c r="E411" t="inlineStr">
        <is>
          <t>GÄLLIVARE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30253-2025</t>
        </is>
      </c>
      <c r="B412" s="1" t="n">
        <v>45827.4234375</v>
      </c>
      <c r="C412" s="1" t="n">
        <v>45878</v>
      </c>
      <c r="D412" t="inlineStr">
        <is>
          <t>NORRBOTTENS LÄN</t>
        </is>
      </c>
      <c r="E412" t="inlineStr">
        <is>
          <t>GÄLLIVARE</t>
        </is>
      </c>
      <c r="F412" t="inlineStr">
        <is>
          <t>Sveaskog</t>
        </is>
      </c>
      <c r="G412" t="n">
        <v>25.6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30305-2025</t>
        </is>
      </c>
      <c r="B413" s="1" t="n">
        <v>45827.48145833334</v>
      </c>
      <c r="C413" s="1" t="n">
        <v>45878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Sveaskog</t>
        </is>
      </c>
      <c r="G413" t="n">
        <v>33.6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36623-2025</t>
        </is>
      </c>
      <c r="B414" s="1" t="n">
        <v>45870.65719907408</v>
      </c>
      <c r="C414" s="1" t="n">
        <v>45878</v>
      </c>
      <c r="D414" t="inlineStr">
        <is>
          <t>NORRBOTTENS LÄN</t>
        </is>
      </c>
      <c r="E414" t="inlineStr">
        <is>
          <t>GÄLLIVARE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18804-2025</t>
        </is>
      </c>
      <c r="B415" s="1" t="n">
        <v>45764.35172453704</v>
      </c>
      <c r="C415" s="1" t="n">
        <v>45878</v>
      </c>
      <c r="D415" t="inlineStr">
        <is>
          <t>NORRBOTTENS LÄN</t>
        </is>
      </c>
      <c r="E415" t="inlineStr">
        <is>
          <t>GÄLLIVARE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36479-2025</t>
        </is>
      </c>
      <c r="B416" s="1" t="n">
        <v>45869.49376157407</v>
      </c>
      <c r="C416" s="1" t="n">
        <v>45878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HYPERLINK("https://klasma.github.io/Logging_2523/knärot/A 36479-2025 karta knärot.png", "A 36479-2025")</f>
        <v/>
      </c>
      <c r="V416">
        <f>HYPERLINK("https://klasma.github.io/Logging_2523/klagomål/A 36479-2025 FSC-klagomål.docx", "A 36479-2025")</f>
        <v/>
      </c>
      <c r="W416">
        <f>HYPERLINK("https://klasma.github.io/Logging_2523/klagomålsmail/A 36479-2025 FSC-klagomål mail.docx", "A 36479-2025")</f>
        <v/>
      </c>
      <c r="X416">
        <f>HYPERLINK("https://klasma.github.io/Logging_2523/tillsyn/A 36479-2025 tillsynsbegäran.docx", "A 36479-2025")</f>
        <v/>
      </c>
      <c r="Y416">
        <f>HYPERLINK("https://klasma.github.io/Logging_2523/tillsynsmail/A 36479-2025 tillsynsbegäran mail.docx", "A 36479-2025")</f>
        <v/>
      </c>
    </row>
    <row r="417" ht="15" customHeight="1">
      <c r="A417" t="inlineStr">
        <is>
          <t>A 36554-2025</t>
        </is>
      </c>
      <c r="B417" s="1" t="n">
        <v>45870.34461805555</v>
      </c>
      <c r="C417" s="1" t="n">
        <v>45878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SCA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30476-2025</t>
        </is>
      </c>
      <c r="B418" s="1" t="n">
        <v>45828</v>
      </c>
      <c r="C418" s="1" t="n">
        <v>45878</v>
      </c>
      <c r="D418" t="inlineStr">
        <is>
          <t>NORRBOTTENS LÄN</t>
        </is>
      </c>
      <c r="E418" t="inlineStr">
        <is>
          <t>GÄLLIVARE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36555-2025</t>
        </is>
      </c>
      <c r="B419" s="1" t="n">
        <v>45870.34471064815</v>
      </c>
      <c r="C419" s="1" t="n">
        <v>45878</v>
      </c>
      <c r="D419" t="inlineStr">
        <is>
          <t>NORRBOTTENS LÄN</t>
        </is>
      </c>
      <c r="E419" t="inlineStr">
        <is>
          <t>GÄLLIVARE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36556-2025</t>
        </is>
      </c>
      <c r="B420" s="1" t="n">
        <v>45870.34478009259</v>
      </c>
      <c r="C420" s="1" t="n">
        <v>45878</v>
      </c>
      <c r="D420" t="inlineStr">
        <is>
          <t>NORRBOTTENS LÄN</t>
        </is>
      </c>
      <c r="E420" t="inlineStr">
        <is>
          <t>GÄLLIVARE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36624-2025</t>
        </is>
      </c>
      <c r="B421" s="1" t="n">
        <v>45870.65721064815</v>
      </c>
      <c r="C421" s="1" t="n">
        <v>45878</v>
      </c>
      <c r="D421" t="inlineStr">
        <is>
          <t>NORRBOTTENS LÄN</t>
        </is>
      </c>
      <c r="E421" t="inlineStr">
        <is>
          <t>GÄLLIVARE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36557-2025</t>
        </is>
      </c>
      <c r="B422" s="1" t="n">
        <v>45870.34482638889</v>
      </c>
      <c r="C422" s="1" t="n">
        <v>45878</v>
      </c>
      <c r="D422" t="inlineStr">
        <is>
          <t>NORRBOTTENS LÄN</t>
        </is>
      </c>
      <c r="E422" t="inlineStr">
        <is>
          <t>GÄLLIVARE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36625-2025</t>
        </is>
      </c>
      <c r="B423" s="1" t="n">
        <v>45870.65722222222</v>
      </c>
      <c r="C423" s="1" t="n">
        <v>45878</v>
      </c>
      <c r="D423" t="inlineStr">
        <is>
          <t>NORRBOTTENS LÄN</t>
        </is>
      </c>
      <c r="E423" t="inlineStr">
        <is>
          <t>GÄLLIVARE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20259-2025</t>
        </is>
      </c>
      <c r="B424" s="1" t="n">
        <v>45773.344375</v>
      </c>
      <c r="C424" s="1" t="n">
        <v>45878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SCA</t>
        </is>
      </c>
      <c r="G424" t="n">
        <v>25.2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4636-2025</t>
        </is>
      </c>
      <c r="B425" s="1" t="n">
        <v>45687.64724537037</v>
      </c>
      <c r="C425" s="1" t="n">
        <v>45878</v>
      </c>
      <c r="D425" t="inlineStr">
        <is>
          <t>NORRBOTTENS LÄN</t>
        </is>
      </c>
      <c r="E425" t="inlineStr">
        <is>
          <t>GÄLLIVARE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36568-2025</t>
        </is>
      </c>
      <c r="B426" s="1" t="n">
        <v>45870.38605324074</v>
      </c>
      <c r="C426" s="1" t="n">
        <v>45878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34129-2025</t>
        </is>
      </c>
      <c r="B427" s="1" t="n">
        <v>45845</v>
      </c>
      <c r="C427" s="1" t="n">
        <v>45878</v>
      </c>
      <c r="D427" t="inlineStr">
        <is>
          <t>NORRBOTTENS LÄN</t>
        </is>
      </c>
      <c r="E427" t="inlineStr">
        <is>
          <t>GÄLLIVARE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36476-2025</t>
        </is>
      </c>
      <c r="B428" s="1" t="n">
        <v>45869.48997685185</v>
      </c>
      <c r="C428" s="1" t="n">
        <v>45878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36320-2025</t>
        </is>
      </c>
      <c r="B429" s="1" t="n">
        <v>45868</v>
      </c>
      <c r="C429" s="1" t="n">
        <v>45878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36997-2025</t>
        </is>
      </c>
      <c r="B430" s="1" t="n">
        <v>45874.67802083334</v>
      </c>
      <c r="C430" s="1" t="n">
        <v>45878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31333-2025</t>
        </is>
      </c>
      <c r="B431" s="1" t="n">
        <v>45832</v>
      </c>
      <c r="C431" s="1" t="n">
        <v>45878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36560-2025</t>
        </is>
      </c>
      <c r="B432" s="1" t="n">
        <v>45870.36483796296</v>
      </c>
      <c r="C432" s="1" t="n">
        <v>45878</v>
      </c>
      <c r="D432" t="inlineStr">
        <is>
          <t>NORRBOTTENS LÄN</t>
        </is>
      </c>
      <c r="E432" t="inlineStr">
        <is>
          <t>GÄLLIVARE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838-2025</t>
        </is>
      </c>
      <c r="B433" s="1" t="n">
        <v>45665</v>
      </c>
      <c r="C433" s="1" t="n">
        <v>45878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36904-2025</t>
        </is>
      </c>
      <c r="B434" s="1" t="n">
        <v>45874.49055555555</v>
      </c>
      <c r="C434" s="1" t="n">
        <v>45878</v>
      </c>
      <c r="D434" t="inlineStr">
        <is>
          <t>NORRBOTTENS LÄN</t>
        </is>
      </c>
      <c r="E434" t="inlineStr">
        <is>
          <t>GÄLLIVARE</t>
        </is>
      </c>
      <c r="F434" t="inlineStr">
        <is>
          <t>Sveaskog</t>
        </is>
      </c>
      <c r="G434" t="n">
        <v>45.8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35949-2025</t>
        </is>
      </c>
      <c r="B435" s="1" t="n">
        <v>45862</v>
      </c>
      <c r="C435" s="1" t="n">
        <v>45878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36868-2025</t>
        </is>
      </c>
      <c r="B436" s="1" t="n">
        <v>45874.42767361111</v>
      </c>
      <c r="C436" s="1" t="n">
        <v>45878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SCA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31097-2025</t>
        </is>
      </c>
      <c r="B437" s="1" t="n">
        <v>45832.59638888889</v>
      </c>
      <c r="C437" s="1" t="n">
        <v>45878</v>
      </c>
      <c r="D437" t="inlineStr">
        <is>
          <t>NORRBOTTENS LÄN</t>
        </is>
      </c>
      <c r="E437" t="inlineStr">
        <is>
          <t>GÄLLIVARE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36790-2025</t>
        </is>
      </c>
      <c r="B438" s="1" t="n">
        <v>45873.63587962963</v>
      </c>
      <c r="C438" s="1" t="n">
        <v>45878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36908-2025</t>
        </is>
      </c>
      <c r="B439" s="1" t="n">
        <v>45874.49350694445</v>
      </c>
      <c r="C439" s="1" t="n">
        <v>45878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26435-2024</t>
        </is>
      </c>
      <c r="B440" s="1" t="n">
        <v>45469.48792824074</v>
      </c>
      <c r="C440" s="1" t="n">
        <v>45878</v>
      </c>
      <c r="D440" t="inlineStr">
        <is>
          <t>NORRBOTTENS LÄN</t>
        </is>
      </c>
      <c r="E440" t="inlineStr">
        <is>
          <t>GÄLLIVARE</t>
        </is>
      </c>
      <c r="G440" t="n">
        <v>31.9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36924-2025</t>
        </is>
      </c>
      <c r="B441" s="1" t="n">
        <v>45874.54712962963</v>
      </c>
      <c r="C441" s="1" t="n">
        <v>45878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34386-2025</t>
        </is>
      </c>
      <c r="B442" s="1" t="n">
        <v>45846</v>
      </c>
      <c r="C442" s="1" t="n">
        <v>45878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36552-2025</t>
        </is>
      </c>
      <c r="B443" s="1" t="n">
        <v>45870.34417824074</v>
      </c>
      <c r="C443" s="1" t="n">
        <v>45878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31652-2025</t>
        </is>
      </c>
      <c r="B444" s="1" t="n">
        <v>45834</v>
      </c>
      <c r="C444" s="1" t="n">
        <v>45878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25935-2024</t>
        </is>
      </c>
      <c r="B445" s="1" t="n">
        <v>45467</v>
      </c>
      <c r="C445" s="1" t="n">
        <v>45878</v>
      </c>
      <c r="D445" t="inlineStr">
        <is>
          <t>NORRBOTTENS LÄN</t>
        </is>
      </c>
      <c r="E445" t="inlineStr">
        <is>
          <t>GÄLLIVARE</t>
        </is>
      </c>
      <c r="F445" t="inlineStr">
        <is>
          <t>Allmännings- och besparingsskogar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35449-2025</t>
        </is>
      </c>
      <c r="B446" s="1" t="n">
        <v>45855</v>
      </c>
      <c r="C446" s="1" t="n">
        <v>45878</v>
      </c>
      <c r="D446" t="inlineStr">
        <is>
          <t>NORRBOTTENS LÄN</t>
        </is>
      </c>
      <c r="E446" t="inlineStr">
        <is>
          <t>GÄLLIVARE</t>
        </is>
      </c>
      <c r="F446" t="inlineStr">
        <is>
          <t>Allmännings- och besparingsskogar</t>
        </is>
      </c>
      <c r="G446" t="n">
        <v>31.5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31647-2025</t>
        </is>
      </c>
      <c r="B447" s="1" t="n">
        <v>45834.34582175926</v>
      </c>
      <c r="C447" s="1" t="n">
        <v>45878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36321-2025</t>
        </is>
      </c>
      <c r="B448" s="1" t="n">
        <v>45868</v>
      </c>
      <c r="C448" s="1" t="n">
        <v>45878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31541-2025</t>
        </is>
      </c>
      <c r="B449" s="1" t="n">
        <v>45833</v>
      </c>
      <c r="C449" s="1" t="n">
        <v>45878</v>
      </c>
      <c r="D449" t="inlineStr">
        <is>
          <t>NORRBOTTENS LÄN</t>
        </is>
      </c>
      <c r="E449" t="inlineStr">
        <is>
          <t>GÄLLIVARE</t>
        </is>
      </c>
      <c r="F449" t="inlineStr">
        <is>
          <t>Allmännings- och besparingsskogar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36332-2025</t>
        </is>
      </c>
      <c r="B450" s="1" t="n">
        <v>45868</v>
      </c>
      <c r="C450" s="1" t="n">
        <v>45878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31639-2025</t>
        </is>
      </c>
      <c r="B451" s="1" t="n">
        <v>45834.34429398148</v>
      </c>
      <c r="C451" s="1" t="n">
        <v>45878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31643-2025</t>
        </is>
      </c>
      <c r="B452" s="1" t="n">
        <v>45834.34496527778</v>
      </c>
      <c r="C452" s="1" t="n">
        <v>45878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31644-2025</t>
        </is>
      </c>
      <c r="B453" s="1" t="n">
        <v>45834.34519675926</v>
      </c>
      <c r="C453" s="1" t="n">
        <v>45878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31648-2025</t>
        </is>
      </c>
      <c r="B454" s="1" t="n">
        <v>45834</v>
      </c>
      <c r="C454" s="1" t="n">
        <v>45878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31650-2025</t>
        </is>
      </c>
      <c r="B455" s="1" t="n">
        <v>45834.3466087963</v>
      </c>
      <c r="C455" s="1" t="n">
        <v>45878</v>
      </c>
      <c r="D455" t="inlineStr">
        <is>
          <t>NORRBOTTENS LÄN</t>
        </is>
      </c>
      <c r="E455" t="inlineStr">
        <is>
          <t>GÄLLIVARE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31653-2025</t>
        </is>
      </c>
      <c r="B456" s="1" t="n">
        <v>45834.34711805556</v>
      </c>
      <c r="C456" s="1" t="n">
        <v>45878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31430-2025</t>
        </is>
      </c>
      <c r="B457" s="1" t="n">
        <v>45833.49342592592</v>
      </c>
      <c r="C457" s="1" t="n">
        <v>45878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31436-2025</t>
        </is>
      </c>
      <c r="B458" s="1" t="n">
        <v>45833.49737268518</v>
      </c>
      <c r="C458" s="1" t="n">
        <v>45878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31553-2025</t>
        </is>
      </c>
      <c r="B459" s="1" t="n">
        <v>45833</v>
      </c>
      <c r="C459" s="1" t="n">
        <v>45878</v>
      </c>
      <c r="D459" t="inlineStr">
        <is>
          <t>NORRBOTTENS LÄN</t>
        </is>
      </c>
      <c r="E459" t="inlineStr">
        <is>
          <t>GÄLLIVARE</t>
        </is>
      </c>
      <c r="F459" t="inlineStr">
        <is>
          <t>Allmännings- och besparingsskogar</t>
        </is>
      </c>
      <c r="G459" t="n">
        <v>40.8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25923-2024</t>
        </is>
      </c>
      <c r="B460" s="1" t="n">
        <v>45467</v>
      </c>
      <c r="C460" s="1" t="n">
        <v>45878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15.1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61468-2024</t>
        </is>
      </c>
      <c r="B461" s="1" t="n">
        <v>45646</v>
      </c>
      <c r="C461" s="1" t="n">
        <v>45878</v>
      </c>
      <c r="D461" t="inlineStr">
        <is>
          <t>NORRBOTTENS LÄN</t>
        </is>
      </c>
      <c r="E461" t="inlineStr">
        <is>
          <t>GÄLLIVARE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39319-2020</t>
        </is>
      </c>
      <c r="B462" s="1" t="n">
        <v>44063</v>
      </c>
      <c r="C462" s="1" t="n">
        <v>45878</v>
      </c>
      <c r="D462" t="inlineStr">
        <is>
          <t>NORRBOTTENS LÄN</t>
        </is>
      </c>
      <c r="E462" t="inlineStr">
        <is>
          <t>GÄLLIVARE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6781-2023</t>
        </is>
      </c>
      <c r="B463" s="1" t="n">
        <v>44966</v>
      </c>
      <c r="C463" s="1" t="n">
        <v>45878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63155-2021</t>
        </is>
      </c>
      <c r="B464" s="1" t="n">
        <v>44505</v>
      </c>
      <c r="C464" s="1" t="n">
        <v>45878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291-2021</t>
        </is>
      </c>
      <c r="B465" s="1" t="n">
        <v>44200</v>
      </c>
      <c r="C465" s="1" t="n">
        <v>45878</v>
      </c>
      <c r="D465" t="inlineStr">
        <is>
          <t>NORRBOTTENS LÄN</t>
        </is>
      </c>
      <c r="E465" t="inlineStr">
        <is>
          <t>GÄLLIVARE</t>
        </is>
      </c>
      <c r="F465" t="inlineStr">
        <is>
          <t>Allmännings- och besparingsskogar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6271-2024</t>
        </is>
      </c>
      <c r="B466" s="1" t="n">
        <v>45337</v>
      </c>
      <c r="C466" s="1" t="n">
        <v>45878</v>
      </c>
      <c r="D466" t="inlineStr">
        <is>
          <t>NORRBOTTENS LÄN</t>
        </is>
      </c>
      <c r="E466" t="inlineStr">
        <is>
          <t>GÄLLIVARE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6272-2024</t>
        </is>
      </c>
      <c r="B467" s="1" t="n">
        <v>45337</v>
      </c>
      <c r="C467" s="1" t="n">
        <v>45878</v>
      </c>
      <c r="D467" t="inlineStr">
        <is>
          <t>NORRBOTTENS LÄN</t>
        </is>
      </c>
      <c r="E467" t="inlineStr">
        <is>
          <t>GÄLLIVARE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53785-2022</t>
        </is>
      </c>
      <c r="B468" s="1" t="n">
        <v>44875</v>
      </c>
      <c r="C468" s="1" t="n">
        <v>45878</v>
      </c>
      <c r="D468" t="inlineStr">
        <is>
          <t>NORRBOTTENS LÄN</t>
        </is>
      </c>
      <c r="E468" t="inlineStr">
        <is>
          <t>GÄLLIVARE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4135-2022</t>
        </is>
      </c>
      <c r="B469" s="1" t="n">
        <v>44588</v>
      </c>
      <c r="C469" s="1" t="n">
        <v>45878</v>
      </c>
      <c r="D469" t="inlineStr">
        <is>
          <t>NORRBOTTENS LÄN</t>
        </is>
      </c>
      <c r="E469" t="inlineStr">
        <is>
          <t>GÄLLIVARE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10652-2022</t>
        </is>
      </c>
      <c r="B470" s="1" t="n">
        <v>44624</v>
      </c>
      <c r="C470" s="1" t="n">
        <v>45878</v>
      </c>
      <c r="D470" t="inlineStr">
        <is>
          <t>NORRBOTTENS LÄN</t>
        </is>
      </c>
      <c r="E470" t="inlineStr">
        <is>
          <t>GÄLLIVARE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2244-2023</t>
        </is>
      </c>
      <c r="B471" s="1" t="n">
        <v>44942</v>
      </c>
      <c r="C471" s="1" t="n">
        <v>45878</v>
      </c>
      <c r="D471" t="inlineStr">
        <is>
          <t>NORRBOTTENS LÄN</t>
        </is>
      </c>
      <c r="E471" t="inlineStr">
        <is>
          <t>GÄLLIVARE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2276-2023</t>
        </is>
      </c>
      <c r="B472" s="1" t="n">
        <v>44942</v>
      </c>
      <c r="C472" s="1" t="n">
        <v>45878</v>
      </c>
      <c r="D472" t="inlineStr">
        <is>
          <t>NORRBOTTENS LÄN</t>
        </is>
      </c>
      <c r="E472" t="inlineStr">
        <is>
          <t>GÄLLIVARE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55413-2024</t>
        </is>
      </c>
      <c r="B473" s="1" t="n">
        <v>45622</v>
      </c>
      <c r="C473" s="1" t="n">
        <v>45878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Sveaskog</t>
        </is>
      </c>
      <c r="G473" t="n">
        <v>40.9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41653-2023</t>
        </is>
      </c>
      <c r="B474" s="1" t="n">
        <v>45175.95738425926</v>
      </c>
      <c r="C474" s="1" t="n">
        <v>45878</v>
      </c>
      <c r="D474" t="inlineStr">
        <is>
          <t>NORRBOTTENS LÄN</t>
        </is>
      </c>
      <c r="E474" t="inlineStr">
        <is>
          <t>GÄLLIVARE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7649-2025</t>
        </is>
      </c>
      <c r="B475" s="1" t="n">
        <v>45705</v>
      </c>
      <c r="C475" s="1" t="n">
        <v>45878</v>
      </c>
      <c r="D475" t="inlineStr">
        <is>
          <t>NORRBOTTENS LÄN</t>
        </is>
      </c>
      <c r="E475" t="inlineStr">
        <is>
          <t>GÄLLIVARE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41927-2024</t>
        </is>
      </c>
      <c r="B476" s="1" t="n">
        <v>45561.55981481481</v>
      </c>
      <c r="C476" s="1" t="n">
        <v>45878</v>
      </c>
      <c r="D476" t="inlineStr">
        <is>
          <t>NORRBOTTENS LÄN</t>
        </is>
      </c>
      <c r="E476" t="inlineStr">
        <is>
          <t>GÄLLIVARE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2538-2021</t>
        </is>
      </c>
      <c r="B477" s="1" t="n">
        <v>44214</v>
      </c>
      <c r="C477" s="1" t="n">
        <v>45878</v>
      </c>
      <c r="D477" t="inlineStr">
        <is>
          <t>NORRBOTTENS LÄN</t>
        </is>
      </c>
      <c r="E477" t="inlineStr">
        <is>
          <t>GÄLLIVARE</t>
        </is>
      </c>
      <c r="F477" t="inlineStr">
        <is>
          <t>Kommuner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2548-2021</t>
        </is>
      </c>
      <c r="B478" s="1" t="n">
        <v>44214</v>
      </c>
      <c r="C478" s="1" t="n">
        <v>45878</v>
      </c>
      <c r="D478" t="inlineStr">
        <is>
          <t>NORRBOTTENS LÄN</t>
        </is>
      </c>
      <c r="E478" t="inlineStr">
        <is>
          <t>GÄLLIVARE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51570-2024</t>
        </is>
      </c>
      <c r="B479" s="1" t="n">
        <v>45604</v>
      </c>
      <c r="C479" s="1" t="n">
        <v>45878</v>
      </c>
      <c r="D479" t="inlineStr">
        <is>
          <t>NORRBOTTENS LÄN</t>
        </is>
      </c>
      <c r="E479" t="inlineStr">
        <is>
          <t>GÄLLIVARE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24591-2024</t>
        </is>
      </c>
      <c r="B480" s="1" t="n">
        <v>45460</v>
      </c>
      <c r="C480" s="1" t="n">
        <v>45878</v>
      </c>
      <c r="D480" t="inlineStr">
        <is>
          <t>NORRBOTTENS LÄN</t>
        </is>
      </c>
      <c r="E480" t="inlineStr">
        <is>
          <t>GÄLLIVARE</t>
        </is>
      </c>
      <c r="F480" t="inlineStr">
        <is>
          <t>Allmännings- och besparingsskogar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5708-2023</t>
        </is>
      </c>
      <c r="B481" s="1" t="n">
        <v>44960</v>
      </c>
      <c r="C481" s="1" t="n">
        <v>45878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4238-2023</t>
        </is>
      </c>
      <c r="B482" s="1" t="n">
        <v>44953</v>
      </c>
      <c r="C482" s="1" t="n">
        <v>45878</v>
      </c>
      <c r="D482" t="inlineStr">
        <is>
          <t>NORRBOTTENS LÄN</t>
        </is>
      </c>
      <c r="E482" t="inlineStr">
        <is>
          <t>GÄLLIVARE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7693-2022</t>
        </is>
      </c>
      <c r="B483" s="1" t="n">
        <v>44607</v>
      </c>
      <c r="C483" s="1" t="n">
        <v>45878</v>
      </c>
      <c r="D483" t="inlineStr">
        <is>
          <t>NORRBOTTENS LÄN</t>
        </is>
      </c>
      <c r="E483" t="inlineStr">
        <is>
          <t>GÄLLIVARE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44981-2023</t>
        </is>
      </c>
      <c r="B484" s="1" t="n">
        <v>45190.95791666667</v>
      </c>
      <c r="C484" s="1" t="n">
        <v>45878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54281-2024</t>
        </is>
      </c>
      <c r="B485" s="1" t="n">
        <v>45616</v>
      </c>
      <c r="C485" s="1" t="n">
        <v>45878</v>
      </c>
      <c r="D485" t="inlineStr">
        <is>
          <t>NORRBOTTENS LÄN</t>
        </is>
      </c>
      <c r="E485" t="inlineStr">
        <is>
          <t>GÄLLIVARE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46056-2023</t>
        </is>
      </c>
      <c r="B486" s="1" t="n">
        <v>45196</v>
      </c>
      <c r="C486" s="1" t="n">
        <v>45878</v>
      </c>
      <c r="D486" t="inlineStr">
        <is>
          <t>NORRBOTTENS LÄN</t>
        </is>
      </c>
      <c r="E486" t="inlineStr">
        <is>
          <t>GÄLLIVARE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49873-2023</t>
        </is>
      </c>
      <c r="B487" s="1" t="n">
        <v>45212</v>
      </c>
      <c r="C487" s="1" t="n">
        <v>45878</v>
      </c>
      <c r="D487" t="inlineStr">
        <is>
          <t>NORRBOTTENS LÄN</t>
        </is>
      </c>
      <c r="E487" t="inlineStr">
        <is>
          <t>GÄLLIVARE</t>
        </is>
      </c>
      <c r="F487" t="inlineStr">
        <is>
          <t>SCA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59697-2024</t>
        </is>
      </c>
      <c r="B488" s="1" t="n">
        <v>45639</v>
      </c>
      <c r="C488" s="1" t="n">
        <v>45878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64237-2023</t>
        </is>
      </c>
      <c r="B489" s="1" t="n">
        <v>45279.92658564815</v>
      </c>
      <c r="C489" s="1" t="n">
        <v>45878</v>
      </c>
      <c r="D489" t="inlineStr">
        <is>
          <t>NORRBOTTENS LÄN</t>
        </is>
      </c>
      <c r="E489" t="inlineStr">
        <is>
          <t>GÄLLIVARE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4390-2025</t>
        </is>
      </c>
      <c r="B490" s="1" t="n">
        <v>45686.41289351852</v>
      </c>
      <c r="C490" s="1" t="n">
        <v>45878</v>
      </c>
      <c r="D490" t="inlineStr">
        <is>
          <t>NORRBOTTENS LÄN</t>
        </is>
      </c>
      <c r="E490" t="inlineStr">
        <is>
          <t>GÄLLIVARE</t>
        </is>
      </c>
      <c r="F490" t="inlineStr">
        <is>
          <t>Sveaskog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404-2023</t>
        </is>
      </c>
      <c r="B491" s="1" t="n">
        <v>44923</v>
      </c>
      <c r="C491" s="1" t="n">
        <v>45878</v>
      </c>
      <c r="D491" t="inlineStr">
        <is>
          <t>NORRBOTTENS LÄN</t>
        </is>
      </c>
      <c r="E491" t="inlineStr">
        <is>
          <t>GÄLLIVARE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2025-08-09T18:53:18Z</dcterms:created>
  <dcterms:modified xmlns:dcterms="http://purl.org/dc/terms/" xmlns:xsi="http://www.w3.org/2001/XMLSchema-instance" xsi:type="dcterms:W3CDTF">2025-08-09T18:53:19Z</dcterms:modified>
</cp:coreProperties>
</file>