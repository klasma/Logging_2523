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45642</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45642</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45642</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45642</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45642</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45642</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45642</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45642</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45642</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45642</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45642</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45642</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45642</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45642</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45642</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45642</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45642</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45642</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45642</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45642</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45642</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45642</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45642</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45642</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45642</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45642</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45642</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45642</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45642</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45642</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45642</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45642</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45642</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45642</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45642</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45642</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45642</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45642</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45642</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45642</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45642</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45642</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45642</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45642</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45642</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45642</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45642</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45642</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45642</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45642</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45642</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45642</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45642</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45642</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45642</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45642</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45642</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45642</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45642</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45642</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45642</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45642</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45642</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45642</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45642</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45642</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45642</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45642</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45642</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45642</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45642</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45642</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45642</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45642</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45642</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45642</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45642</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52060-2020</t>
        </is>
      </c>
      <c r="B79" s="1" t="n">
        <v>44116</v>
      </c>
      <c r="C79" s="1" t="n">
        <v>45642</v>
      </c>
      <c r="D79" t="inlineStr">
        <is>
          <t>NORRBOTTENS LÄN</t>
        </is>
      </c>
      <c r="E79" t="inlineStr">
        <is>
          <t>GÄLLIVARE</t>
        </is>
      </c>
      <c r="F79" t="inlineStr">
        <is>
          <t>SCA</t>
        </is>
      </c>
      <c r="G79" t="n">
        <v>8.5</v>
      </c>
      <c r="H79" t="n">
        <v>0</v>
      </c>
      <c r="I79" t="n">
        <v>0</v>
      </c>
      <c r="J79" t="n">
        <v>0</v>
      </c>
      <c r="K79" t="n">
        <v>1</v>
      </c>
      <c r="L79" t="n">
        <v>0</v>
      </c>
      <c r="M79" t="n">
        <v>0</v>
      </c>
      <c r="N79" t="n">
        <v>0</v>
      </c>
      <c r="O79" t="n">
        <v>1</v>
      </c>
      <c r="P79" t="n">
        <v>1</v>
      </c>
      <c r="Q79" t="n">
        <v>1</v>
      </c>
      <c r="R79" s="2" t="inlineStr">
        <is>
          <t>Gräddporing</t>
        </is>
      </c>
      <c r="S79">
        <f>HYPERLINK("https://klasma.github.io/Logging_2523/artfynd/A 52060-2020 artfynd.xlsx", "A 52060-2020")</f>
        <v/>
      </c>
      <c r="T79">
        <f>HYPERLINK("https://klasma.github.io/Logging_2523/kartor/A 52060-2020 karta.png", "A 52060-2020")</f>
        <v/>
      </c>
      <c r="V79">
        <f>HYPERLINK("https://klasma.github.io/Logging_2523/klagomål/A 52060-2020 FSC-klagomål.docx", "A 52060-2020")</f>
        <v/>
      </c>
      <c r="W79">
        <f>HYPERLINK("https://klasma.github.io/Logging_2523/klagomålsmail/A 52060-2020 FSC-klagomål mail.docx", "A 52060-2020")</f>
        <v/>
      </c>
      <c r="X79">
        <f>HYPERLINK("https://klasma.github.io/Logging_2523/tillsyn/A 52060-2020 tillsynsbegäran.docx", "A 52060-2020")</f>
        <v/>
      </c>
      <c r="Y79">
        <f>HYPERLINK("https://klasma.github.io/Logging_2523/tillsynsmail/A 52060-2020 tillsynsbegäran mail.docx", "A 52060-2020")</f>
        <v/>
      </c>
    </row>
    <row r="80" ht="15" customHeight="1">
      <c r="A80" t="inlineStr">
        <is>
          <t>A 45017-2021</t>
        </is>
      </c>
      <c r="B80" s="1" t="n">
        <v>44438</v>
      </c>
      <c r="C80" s="1" t="n">
        <v>45642</v>
      </c>
      <c r="D80" t="inlineStr">
        <is>
          <t>NORRBOTTENS LÄN</t>
        </is>
      </c>
      <c r="E80" t="inlineStr">
        <is>
          <t>GÄLLIVARE</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HYPERLINK("https://klasma.github.io/Logging_2523/artfynd/A 45017-2021 artfynd.xlsx", "A 45017-2021")</f>
        <v/>
      </c>
      <c r="T80">
        <f>HYPERLINK("https://klasma.github.io/Logging_2523/kartor/A 45017-2021 karta.png", "A 45017-2021")</f>
        <v/>
      </c>
      <c r="V80">
        <f>HYPERLINK("https://klasma.github.io/Logging_2523/klagomål/A 45017-2021 FSC-klagomål.docx", "A 45017-2021")</f>
        <v/>
      </c>
      <c r="W80">
        <f>HYPERLINK("https://klasma.github.io/Logging_2523/klagomålsmail/A 45017-2021 FSC-klagomål mail.docx", "A 45017-2021")</f>
        <v/>
      </c>
      <c r="X80">
        <f>HYPERLINK("https://klasma.github.io/Logging_2523/tillsyn/A 45017-2021 tillsynsbegäran.docx", "A 45017-2021")</f>
        <v/>
      </c>
      <c r="Y80">
        <f>HYPERLINK("https://klasma.github.io/Logging_2523/tillsynsmail/A 45017-2021 tillsynsbegäran mail.docx", "A 45017-2021")</f>
        <v/>
      </c>
    </row>
    <row r="81" ht="15" customHeight="1">
      <c r="A81" t="inlineStr">
        <is>
          <t>A 57535-2021</t>
        </is>
      </c>
      <c r="B81" s="1" t="n">
        <v>44483</v>
      </c>
      <c r="C81" s="1" t="n">
        <v>45642</v>
      </c>
      <c r="D81" t="inlineStr">
        <is>
          <t>NORRBOTTENS LÄN</t>
        </is>
      </c>
      <c r="E81" t="inlineStr">
        <is>
          <t>GÄLLIVARE</t>
        </is>
      </c>
      <c r="G81" t="n">
        <v>20.6</v>
      </c>
      <c r="H81" t="n">
        <v>1</v>
      </c>
      <c r="I81" t="n">
        <v>0</v>
      </c>
      <c r="J81" t="n">
        <v>0</v>
      </c>
      <c r="K81" t="n">
        <v>0</v>
      </c>
      <c r="L81" t="n">
        <v>0</v>
      </c>
      <c r="M81" t="n">
        <v>0</v>
      </c>
      <c r="N81" t="n">
        <v>0</v>
      </c>
      <c r="O81" t="n">
        <v>0</v>
      </c>
      <c r="P81" t="n">
        <v>0</v>
      </c>
      <c r="Q81" t="n">
        <v>1</v>
      </c>
      <c r="R81" s="2" t="inlineStr">
        <is>
          <t>Revlummer</t>
        </is>
      </c>
      <c r="S81">
        <f>HYPERLINK("https://klasma.github.io/Logging_2523/artfynd/A 57535-2021 artfynd.xlsx", "A 57535-2021")</f>
        <v/>
      </c>
      <c r="T81">
        <f>HYPERLINK("https://klasma.github.io/Logging_2523/kartor/A 57535-2021 karta.png", "A 57535-2021")</f>
        <v/>
      </c>
      <c r="V81">
        <f>HYPERLINK("https://klasma.github.io/Logging_2523/klagomål/A 57535-2021 FSC-klagomål.docx", "A 57535-2021")</f>
        <v/>
      </c>
      <c r="W81">
        <f>HYPERLINK("https://klasma.github.io/Logging_2523/klagomålsmail/A 57535-2021 FSC-klagomål mail.docx", "A 57535-2021")</f>
        <v/>
      </c>
      <c r="X81">
        <f>HYPERLINK("https://klasma.github.io/Logging_2523/tillsyn/A 57535-2021 tillsynsbegäran.docx", "A 57535-2021")</f>
        <v/>
      </c>
      <c r="Y81">
        <f>HYPERLINK("https://klasma.github.io/Logging_2523/tillsynsmail/A 57535-2021 tillsynsbegäran mail.docx", "A 57535-2021")</f>
        <v/>
      </c>
    </row>
    <row r="82" ht="15" customHeight="1">
      <c r="A82" t="inlineStr">
        <is>
          <t>A 49188-2022</t>
        </is>
      </c>
      <c r="B82" s="1" t="n">
        <v>44860</v>
      </c>
      <c r="C82" s="1" t="n">
        <v>45642</v>
      </c>
      <c r="D82" t="inlineStr">
        <is>
          <t>NORRBOTTENS LÄN</t>
        </is>
      </c>
      <c r="E82" t="inlineStr">
        <is>
          <t>GÄLLIVARE</t>
        </is>
      </c>
      <c r="F82" t="inlineStr">
        <is>
          <t>SCA</t>
        </is>
      </c>
      <c r="G82" t="n">
        <v>5.4</v>
      </c>
      <c r="H82" t="n">
        <v>0</v>
      </c>
      <c r="I82" t="n">
        <v>1</v>
      </c>
      <c r="J82" t="n">
        <v>0</v>
      </c>
      <c r="K82" t="n">
        <v>0</v>
      </c>
      <c r="L82" t="n">
        <v>0</v>
      </c>
      <c r="M82" t="n">
        <v>0</v>
      </c>
      <c r="N82" t="n">
        <v>0</v>
      </c>
      <c r="O82" t="n">
        <v>0</v>
      </c>
      <c r="P82" t="n">
        <v>0</v>
      </c>
      <c r="Q82" t="n">
        <v>1</v>
      </c>
      <c r="R82" s="2" t="inlineStr">
        <is>
          <t>Dropptaggsvamp</t>
        </is>
      </c>
      <c r="S82">
        <f>HYPERLINK("https://klasma.github.io/Logging_2523/artfynd/A 49188-2022 artfynd.xlsx", "A 49188-2022")</f>
        <v/>
      </c>
      <c r="T82">
        <f>HYPERLINK("https://klasma.github.io/Logging_2523/kartor/A 49188-2022 karta.png", "A 49188-2022")</f>
        <v/>
      </c>
      <c r="V82">
        <f>HYPERLINK("https://klasma.github.io/Logging_2523/klagomål/A 49188-2022 FSC-klagomål.docx", "A 49188-2022")</f>
        <v/>
      </c>
      <c r="W82">
        <f>HYPERLINK("https://klasma.github.io/Logging_2523/klagomålsmail/A 49188-2022 FSC-klagomål mail.docx", "A 49188-2022")</f>
        <v/>
      </c>
      <c r="X82">
        <f>HYPERLINK("https://klasma.github.io/Logging_2523/tillsyn/A 49188-2022 tillsynsbegäran.docx", "A 49188-2022")</f>
        <v/>
      </c>
      <c r="Y82">
        <f>HYPERLINK("https://klasma.github.io/Logging_2523/tillsynsmail/A 49188-2022 tillsynsbegäran mail.docx", "A 49188-2022")</f>
        <v/>
      </c>
    </row>
    <row r="83" ht="15" customHeight="1">
      <c r="A83" t="inlineStr">
        <is>
          <t>A 27336-2023</t>
        </is>
      </c>
      <c r="B83" s="1" t="n">
        <v>45096</v>
      </c>
      <c r="C83" s="1" t="n">
        <v>45642</v>
      </c>
      <c r="D83" t="inlineStr">
        <is>
          <t>NORRBOTTENS LÄN</t>
        </is>
      </c>
      <c r="E83" t="inlineStr">
        <is>
          <t>GÄLLIVARE</t>
        </is>
      </c>
      <c r="G83" t="n">
        <v>1.8</v>
      </c>
      <c r="H83" t="n">
        <v>0</v>
      </c>
      <c r="I83" t="n">
        <v>1</v>
      </c>
      <c r="J83" t="n">
        <v>0</v>
      </c>
      <c r="K83" t="n">
        <v>0</v>
      </c>
      <c r="L83" t="n">
        <v>0</v>
      </c>
      <c r="M83" t="n">
        <v>0</v>
      </c>
      <c r="N83" t="n">
        <v>0</v>
      </c>
      <c r="O83" t="n">
        <v>0</v>
      </c>
      <c r="P83" t="n">
        <v>0</v>
      </c>
      <c r="Q83" t="n">
        <v>1</v>
      </c>
      <c r="R83" s="2" t="inlineStr">
        <is>
          <t>Dropptaggsvamp</t>
        </is>
      </c>
      <c r="S83">
        <f>HYPERLINK("https://klasma.github.io/Logging_2523/artfynd/A 27336-2023 artfynd.xlsx", "A 27336-2023")</f>
        <v/>
      </c>
      <c r="T83">
        <f>HYPERLINK("https://klasma.github.io/Logging_2523/kartor/A 27336-2023 karta.png", "A 27336-2023")</f>
        <v/>
      </c>
      <c r="V83">
        <f>HYPERLINK("https://klasma.github.io/Logging_2523/klagomål/A 27336-2023 FSC-klagomål.docx", "A 27336-2023")</f>
        <v/>
      </c>
      <c r="W83">
        <f>HYPERLINK("https://klasma.github.io/Logging_2523/klagomålsmail/A 27336-2023 FSC-klagomål mail.docx", "A 27336-2023")</f>
        <v/>
      </c>
      <c r="X83">
        <f>HYPERLINK("https://klasma.github.io/Logging_2523/tillsyn/A 27336-2023 tillsynsbegäran.docx", "A 27336-2023")</f>
        <v/>
      </c>
      <c r="Y83">
        <f>HYPERLINK("https://klasma.github.io/Logging_2523/tillsynsmail/A 27336-2023 tillsynsbegäran mail.docx", "A 27336-2023")</f>
        <v/>
      </c>
    </row>
    <row r="84" ht="15" customHeight="1">
      <c r="A84" t="inlineStr">
        <is>
          <t>A 30746-2023</t>
        </is>
      </c>
      <c r="B84" s="1" t="n">
        <v>45103</v>
      </c>
      <c r="C84" s="1" t="n">
        <v>45642</v>
      </c>
      <c r="D84" t="inlineStr">
        <is>
          <t>NORRBOTTENS LÄN</t>
        </is>
      </c>
      <c r="E84" t="inlineStr">
        <is>
          <t>GÄLLIVARE</t>
        </is>
      </c>
      <c r="F84" t="inlineStr">
        <is>
          <t>Allmännings- och besparingsskogar</t>
        </is>
      </c>
      <c r="G84" t="n">
        <v>13.9</v>
      </c>
      <c r="H84" t="n">
        <v>0</v>
      </c>
      <c r="I84" t="n">
        <v>0</v>
      </c>
      <c r="J84" t="n">
        <v>1</v>
      </c>
      <c r="K84" t="n">
        <v>0</v>
      </c>
      <c r="L84" t="n">
        <v>0</v>
      </c>
      <c r="M84" t="n">
        <v>0</v>
      </c>
      <c r="N84" t="n">
        <v>0</v>
      </c>
      <c r="O84" t="n">
        <v>1</v>
      </c>
      <c r="P84" t="n">
        <v>0</v>
      </c>
      <c r="Q84" t="n">
        <v>1</v>
      </c>
      <c r="R84" s="2" t="inlineStr">
        <is>
          <t>Mörk kolflarnlav</t>
        </is>
      </c>
      <c r="S84">
        <f>HYPERLINK("https://klasma.github.io/Logging_2523/artfynd/A 30746-2023 artfynd.xlsx", "A 30746-2023")</f>
        <v/>
      </c>
      <c r="T84">
        <f>HYPERLINK("https://klasma.github.io/Logging_2523/kartor/A 30746-2023 karta.png", "A 30746-2023")</f>
        <v/>
      </c>
      <c r="V84">
        <f>HYPERLINK("https://klasma.github.io/Logging_2523/klagomål/A 30746-2023 FSC-klagomål.docx", "A 30746-2023")</f>
        <v/>
      </c>
      <c r="W84">
        <f>HYPERLINK("https://klasma.github.io/Logging_2523/klagomålsmail/A 30746-2023 FSC-klagomål mail.docx", "A 30746-2023")</f>
        <v/>
      </c>
      <c r="X84">
        <f>HYPERLINK("https://klasma.github.io/Logging_2523/tillsyn/A 30746-2023 tillsynsbegäran.docx", "A 30746-2023")</f>
        <v/>
      </c>
      <c r="Y84">
        <f>HYPERLINK("https://klasma.github.io/Logging_2523/tillsynsmail/A 30746-2023 tillsynsbegäran mail.docx", "A 30746-2023")</f>
        <v/>
      </c>
    </row>
    <row r="85" ht="15" customHeight="1">
      <c r="A85" t="inlineStr">
        <is>
          <t>A 33388-2023</t>
        </is>
      </c>
      <c r="B85" s="1" t="n">
        <v>45117</v>
      </c>
      <c r="C85" s="1" t="n">
        <v>45642</v>
      </c>
      <c r="D85" t="inlineStr">
        <is>
          <t>NORRBOTTENS LÄN</t>
        </is>
      </c>
      <c r="E85" t="inlineStr">
        <is>
          <t>GÄLLIVARE</t>
        </is>
      </c>
      <c r="F85" t="inlineStr">
        <is>
          <t>Allmännings- och besparingsskogar</t>
        </is>
      </c>
      <c r="G85" t="n">
        <v>3.8</v>
      </c>
      <c r="H85" t="n">
        <v>0</v>
      </c>
      <c r="I85" t="n">
        <v>0</v>
      </c>
      <c r="J85" t="n">
        <v>1</v>
      </c>
      <c r="K85" t="n">
        <v>0</v>
      </c>
      <c r="L85" t="n">
        <v>0</v>
      </c>
      <c r="M85" t="n">
        <v>0</v>
      </c>
      <c r="N85" t="n">
        <v>0</v>
      </c>
      <c r="O85" t="n">
        <v>1</v>
      </c>
      <c r="P85" t="n">
        <v>0</v>
      </c>
      <c r="Q85" t="n">
        <v>1</v>
      </c>
      <c r="R85" s="2" t="inlineStr">
        <is>
          <t>Kolflarnlav</t>
        </is>
      </c>
      <c r="S85">
        <f>HYPERLINK("https://klasma.github.io/Logging_2523/artfynd/A 33388-2023 artfynd.xlsx", "A 33388-2023")</f>
        <v/>
      </c>
      <c r="T85">
        <f>HYPERLINK("https://klasma.github.io/Logging_2523/kartor/A 33388-2023 karta.png", "A 33388-2023")</f>
        <v/>
      </c>
      <c r="V85">
        <f>HYPERLINK("https://klasma.github.io/Logging_2523/klagomål/A 33388-2023 FSC-klagomål.docx", "A 33388-2023")</f>
        <v/>
      </c>
      <c r="W85">
        <f>HYPERLINK("https://klasma.github.io/Logging_2523/klagomålsmail/A 33388-2023 FSC-klagomål mail.docx", "A 33388-2023")</f>
        <v/>
      </c>
      <c r="X85">
        <f>HYPERLINK("https://klasma.github.io/Logging_2523/tillsyn/A 33388-2023 tillsynsbegäran.docx", "A 33388-2023")</f>
        <v/>
      </c>
      <c r="Y85">
        <f>HYPERLINK("https://klasma.github.io/Logging_2523/tillsynsmail/A 33388-2023 tillsynsbegäran mail.docx", "A 33388-2023")</f>
        <v/>
      </c>
    </row>
    <row r="86" ht="15" customHeight="1">
      <c r="A86" t="inlineStr">
        <is>
          <t>A 40815-2023</t>
        </is>
      </c>
      <c r="B86" s="1" t="n">
        <v>45171</v>
      </c>
      <c r="C86" s="1" t="n">
        <v>45642</v>
      </c>
      <c r="D86" t="inlineStr">
        <is>
          <t>NORRBOTTENS LÄN</t>
        </is>
      </c>
      <c r="E86" t="inlineStr">
        <is>
          <t>GÄLLIVARE</t>
        </is>
      </c>
      <c r="F86" t="inlineStr">
        <is>
          <t>Sveaskog</t>
        </is>
      </c>
      <c r="G86" t="n">
        <v>31.4</v>
      </c>
      <c r="H86" t="n">
        <v>0</v>
      </c>
      <c r="I86" t="n">
        <v>0</v>
      </c>
      <c r="J86" t="n">
        <v>1</v>
      </c>
      <c r="K86" t="n">
        <v>0</v>
      </c>
      <c r="L86" t="n">
        <v>0</v>
      </c>
      <c r="M86" t="n">
        <v>0</v>
      </c>
      <c r="N86" t="n">
        <v>0</v>
      </c>
      <c r="O86" t="n">
        <v>1</v>
      </c>
      <c r="P86" t="n">
        <v>0</v>
      </c>
      <c r="Q86" t="n">
        <v>1</v>
      </c>
      <c r="R86" s="2" t="inlineStr">
        <is>
          <t>Talltaggsvamp</t>
        </is>
      </c>
      <c r="S86">
        <f>HYPERLINK("https://klasma.github.io/Logging_2523/artfynd/A 40815-2023 artfynd.xlsx", "A 40815-2023")</f>
        <v/>
      </c>
      <c r="T86">
        <f>HYPERLINK("https://klasma.github.io/Logging_2523/kartor/A 40815-2023 karta.png", "A 40815-2023")</f>
        <v/>
      </c>
      <c r="V86">
        <f>HYPERLINK("https://klasma.github.io/Logging_2523/klagomål/A 40815-2023 FSC-klagomål.docx", "A 40815-2023")</f>
        <v/>
      </c>
      <c r="W86">
        <f>HYPERLINK("https://klasma.github.io/Logging_2523/klagomålsmail/A 40815-2023 FSC-klagomål mail.docx", "A 40815-2023")</f>
        <v/>
      </c>
      <c r="X86">
        <f>HYPERLINK("https://klasma.github.io/Logging_2523/tillsyn/A 40815-2023 tillsynsbegäran.docx", "A 40815-2023")</f>
        <v/>
      </c>
      <c r="Y86">
        <f>HYPERLINK("https://klasma.github.io/Logging_2523/tillsynsmail/A 40815-2023 tillsynsbegäran mail.docx", "A 40815-2023")</f>
        <v/>
      </c>
    </row>
    <row r="87" ht="15" customHeight="1">
      <c r="A87" t="inlineStr">
        <is>
          <t>A 43323-2023</t>
        </is>
      </c>
      <c r="B87" s="1" t="n">
        <v>45183</v>
      </c>
      <c r="C87" s="1" t="n">
        <v>45642</v>
      </c>
      <c r="D87" t="inlineStr">
        <is>
          <t>NORRBOTTENS LÄN</t>
        </is>
      </c>
      <c r="E87" t="inlineStr">
        <is>
          <t>GÄLLIVARE</t>
        </is>
      </c>
      <c r="F87" t="inlineStr">
        <is>
          <t>Sveaskog</t>
        </is>
      </c>
      <c r="G87" t="n">
        <v>30.4</v>
      </c>
      <c r="H87" t="n">
        <v>1</v>
      </c>
      <c r="I87" t="n">
        <v>1</v>
      </c>
      <c r="J87" t="n">
        <v>0</v>
      </c>
      <c r="K87" t="n">
        <v>0</v>
      </c>
      <c r="L87" t="n">
        <v>0</v>
      </c>
      <c r="M87" t="n">
        <v>0</v>
      </c>
      <c r="N87" t="n">
        <v>0</v>
      </c>
      <c r="O87" t="n">
        <v>0</v>
      </c>
      <c r="P87" t="n">
        <v>0</v>
      </c>
      <c r="Q87" t="n">
        <v>1</v>
      </c>
      <c r="R87" s="2" t="inlineStr">
        <is>
          <t>Plattlummer</t>
        </is>
      </c>
      <c r="S87">
        <f>HYPERLINK("https://klasma.github.io/Logging_2523/artfynd/A 43323-2023 artfynd.xlsx", "A 43323-2023")</f>
        <v/>
      </c>
      <c r="T87">
        <f>HYPERLINK("https://klasma.github.io/Logging_2523/kartor/A 43323-2023 karta.png", "A 43323-2023")</f>
        <v/>
      </c>
      <c r="V87">
        <f>HYPERLINK("https://klasma.github.io/Logging_2523/klagomål/A 43323-2023 FSC-klagomål.docx", "A 43323-2023")</f>
        <v/>
      </c>
      <c r="W87">
        <f>HYPERLINK("https://klasma.github.io/Logging_2523/klagomålsmail/A 43323-2023 FSC-klagomål mail.docx", "A 43323-2023")</f>
        <v/>
      </c>
      <c r="X87">
        <f>HYPERLINK("https://klasma.github.io/Logging_2523/tillsyn/A 43323-2023 tillsynsbegäran.docx", "A 43323-2023")</f>
        <v/>
      </c>
      <c r="Y87">
        <f>HYPERLINK("https://klasma.github.io/Logging_2523/tillsynsmail/A 43323-2023 tillsynsbegäran mail.docx", "A 43323-2023")</f>
        <v/>
      </c>
    </row>
    <row r="88" ht="15" customHeight="1">
      <c r="A88" t="inlineStr">
        <is>
          <t>A 51389-2023</t>
        </is>
      </c>
      <c r="B88" s="1" t="n">
        <v>45213</v>
      </c>
      <c r="C88" s="1" t="n">
        <v>45642</v>
      </c>
      <c r="D88" t="inlineStr">
        <is>
          <t>NORRBOTTENS LÄN</t>
        </is>
      </c>
      <c r="E88" t="inlineStr">
        <is>
          <t>GÄLLIVARE</t>
        </is>
      </c>
      <c r="G88" t="n">
        <v>4.5</v>
      </c>
      <c r="H88" t="n">
        <v>1</v>
      </c>
      <c r="I88" t="n">
        <v>0</v>
      </c>
      <c r="J88" t="n">
        <v>1</v>
      </c>
      <c r="K88" t="n">
        <v>0</v>
      </c>
      <c r="L88" t="n">
        <v>0</v>
      </c>
      <c r="M88" t="n">
        <v>0</v>
      </c>
      <c r="N88" t="n">
        <v>0</v>
      </c>
      <c r="O88" t="n">
        <v>1</v>
      </c>
      <c r="P88" t="n">
        <v>0</v>
      </c>
      <c r="Q88" t="n">
        <v>1</v>
      </c>
      <c r="R88" s="2" t="inlineStr">
        <is>
          <t>Spillkråka</t>
        </is>
      </c>
      <c r="S88">
        <f>HYPERLINK("https://klasma.github.io/Logging_2523/artfynd/A 51389-2023 artfynd.xlsx", "A 51389-2023")</f>
        <v/>
      </c>
      <c r="T88">
        <f>HYPERLINK("https://klasma.github.io/Logging_2523/kartor/A 51389-2023 karta.png", "A 51389-2023")</f>
        <v/>
      </c>
      <c r="V88">
        <f>HYPERLINK("https://klasma.github.io/Logging_2523/klagomål/A 51389-2023 FSC-klagomål.docx", "A 51389-2023")</f>
        <v/>
      </c>
      <c r="W88">
        <f>HYPERLINK("https://klasma.github.io/Logging_2523/klagomålsmail/A 51389-2023 FSC-klagomål mail.docx", "A 51389-2023")</f>
        <v/>
      </c>
      <c r="X88">
        <f>HYPERLINK("https://klasma.github.io/Logging_2523/tillsyn/A 51389-2023 tillsynsbegäran.docx", "A 51389-2023")</f>
        <v/>
      </c>
      <c r="Y88">
        <f>HYPERLINK("https://klasma.github.io/Logging_2523/tillsynsmail/A 51389-2023 tillsynsbegäran mail.docx", "A 51389-2023")</f>
        <v/>
      </c>
      <c r="Z88">
        <f>HYPERLINK("https://klasma.github.io/Logging_2523/fåglar/A 51389-2023 prioriterade fågelarter.docx", "A 51389-2023")</f>
        <v/>
      </c>
    </row>
    <row r="89" ht="15" customHeight="1">
      <c r="A89" t="inlineStr">
        <is>
          <t>A 1625-2024</t>
        </is>
      </c>
      <c r="B89" s="1" t="n">
        <v>45306</v>
      </c>
      <c r="C89" s="1" t="n">
        <v>45642</v>
      </c>
      <c r="D89" t="inlineStr">
        <is>
          <t>NORRBOTTENS LÄN</t>
        </is>
      </c>
      <c r="E89" t="inlineStr">
        <is>
          <t>GÄLLIVARE</t>
        </is>
      </c>
      <c r="F89" t="inlineStr">
        <is>
          <t>Sveaskog</t>
        </is>
      </c>
      <c r="G89" t="n">
        <v>6.6</v>
      </c>
      <c r="H89" t="n">
        <v>0</v>
      </c>
      <c r="I89" t="n">
        <v>0</v>
      </c>
      <c r="J89" t="n">
        <v>1</v>
      </c>
      <c r="K89" t="n">
        <v>0</v>
      </c>
      <c r="L89" t="n">
        <v>0</v>
      </c>
      <c r="M89" t="n">
        <v>0</v>
      </c>
      <c r="N89" t="n">
        <v>0</v>
      </c>
      <c r="O89" t="n">
        <v>1</v>
      </c>
      <c r="P89" t="n">
        <v>0</v>
      </c>
      <c r="Q89" t="n">
        <v>1</v>
      </c>
      <c r="R89" s="2" t="inlineStr">
        <is>
          <t>Orange taggsvamp</t>
        </is>
      </c>
      <c r="S89">
        <f>HYPERLINK("https://klasma.github.io/Logging_2523/artfynd/A 1625-2024 artfynd.xlsx", "A 1625-2024")</f>
        <v/>
      </c>
      <c r="T89">
        <f>HYPERLINK("https://klasma.github.io/Logging_2523/kartor/A 1625-2024 karta.png", "A 1625-2024")</f>
        <v/>
      </c>
      <c r="V89">
        <f>HYPERLINK("https://klasma.github.io/Logging_2523/klagomål/A 1625-2024 FSC-klagomål.docx", "A 1625-2024")</f>
        <v/>
      </c>
      <c r="W89">
        <f>HYPERLINK("https://klasma.github.io/Logging_2523/klagomålsmail/A 1625-2024 FSC-klagomål mail.docx", "A 1625-2024")</f>
        <v/>
      </c>
      <c r="X89">
        <f>HYPERLINK("https://klasma.github.io/Logging_2523/tillsyn/A 1625-2024 tillsynsbegäran.docx", "A 1625-2024")</f>
        <v/>
      </c>
      <c r="Y89">
        <f>HYPERLINK("https://klasma.github.io/Logging_2523/tillsynsmail/A 1625-2024 tillsynsbegäran mail.docx", "A 1625-2024")</f>
        <v/>
      </c>
    </row>
    <row r="90" ht="15" customHeight="1">
      <c r="A90" t="inlineStr">
        <is>
          <t>A 12224-2024</t>
        </is>
      </c>
      <c r="B90" s="1" t="n">
        <v>45378</v>
      </c>
      <c r="C90" s="1" t="n">
        <v>45642</v>
      </c>
      <c r="D90" t="inlineStr">
        <is>
          <t>NORRBOTTENS LÄN</t>
        </is>
      </c>
      <c r="E90" t="inlineStr">
        <is>
          <t>GÄLLIVARE</t>
        </is>
      </c>
      <c r="F90" t="inlineStr">
        <is>
          <t>Sveaskog</t>
        </is>
      </c>
      <c r="G90" t="n">
        <v>28.6</v>
      </c>
      <c r="H90" t="n">
        <v>0</v>
      </c>
      <c r="I90" t="n">
        <v>0</v>
      </c>
      <c r="J90" t="n">
        <v>1</v>
      </c>
      <c r="K90" t="n">
        <v>0</v>
      </c>
      <c r="L90" t="n">
        <v>0</v>
      </c>
      <c r="M90" t="n">
        <v>0</v>
      </c>
      <c r="N90" t="n">
        <v>0</v>
      </c>
      <c r="O90" t="n">
        <v>1</v>
      </c>
      <c r="P90" t="n">
        <v>0</v>
      </c>
      <c r="Q90" t="n">
        <v>1</v>
      </c>
      <c r="R90" s="2" t="inlineStr">
        <is>
          <t>Garnlav</t>
        </is>
      </c>
      <c r="S90">
        <f>HYPERLINK("https://klasma.github.io/Logging_2523/artfynd/A 12224-2024 artfynd.xlsx", "A 12224-2024")</f>
        <v/>
      </c>
      <c r="T90">
        <f>HYPERLINK("https://klasma.github.io/Logging_2523/kartor/A 12224-2024 karta.png", "A 12224-2024")</f>
        <v/>
      </c>
      <c r="V90">
        <f>HYPERLINK("https://klasma.github.io/Logging_2523/klagomål/A 12224-2024 FSC-klagomål.docx", "A 12224-2024")</f>
        <v/>
      </c>
      <c r="W90">
        <f>HYPERLINK("https://klasma.github.io/Logging_2523/klagomålsmail/A 12224-2024 FSC-klagomål mail.docx", "A 12224-2024")</f>
        <v/>
      </c>
      <c r="X90">
        <f>HYPERLINK("https://klasma.github.io/Logging_2523/tillsyn/A 12224-2024 tillsynsbegäran.docx", "A 12224-2024")</f>
        <v/>
      </c>
      <c r="Y90">
        <f>HYPERLINK("https://klasma.github.io/Logging_2523/tillsynsmail/A 12224-2024 tillsynsbegäran mail.docx", "A 12224-2024")</f>
        <v/>
      </c>
    </row>
    <row r="91" ht="15" customHeight="1">
      <c r="A91" t="inlineStr">
        <is>
          <t>A 12522-2024</t>
        </is>
      </c>
      <c r="B91" s="1" t="n">
        <v>45379</v>
      </c>
      <c r="C91" s="1" t="n">
        <v>45642</v>
      </c>
      <c r="D91" t="inlineStr">
        <is>
          <t>NORRBOTTENS LÄN</t>
        </is>
      </c>
      <c r="E91" t="inlineStr">
        <is>
          <t>GÄLLIVARE</t>
        </is>
      </c>
      <c r="F91" t="inlineStr">
        <is>
          <t>Sveaskog</t>
        </is>
      </c>
      <c r="G91" t="n">
        <v>27.8</v>
      </c>
      <c r="H91" t="n">
        <v>1</v>
      </c>
      <c r="I91" t="n">
        <v>0</v>
      </c>
      <c r="J91" t="n">
        <v>0</v>
      </c>
      <c r="K91" t="n">
        <v>1</v>
      </c>
      <c r="L91" t="n">
        <v>0</v>
      </c>
      <c r="M91" t="n">
        <v>0</v>
      </c>
      <c r="N91" t="n">
        <v>0</v>
      </c>
      <c r="O91" t="n">
        <v>1</v>
      </c>
      <c r="P91" t="n">
        <v>1</v>
      </c>
      <c r="Q91" t="n">
        <v>1</v>
      </c>
      <c r="R91" s="2" t="inlineStr">
        <is>
          <t>Doftticka</t>
        </is>
      </c>
      <c r="S91">
        <f>HYPERLINK("https://klasma.github.io/Logging_2523/artfynd/A 12522-2024 artfynd.xlsx", "A 12522-2024")</f>
        <v/>
      </c>
      <c r="T91">
        <f>HYPERLINK("https://klasma.github.io/Logging_2523/kartor/A 12522-2024 karta.png", "A 12522-2024")</f>
        <v/>
      </c>
      <c r="V91">
        <f>HYPERLINK("https://klasma.github.io/Logging_2523/klagomål/A 12522-2024 FSC-klagomål.docx", "A 12522-2024")</f>
        <v/>
      </c>
      <c r="W91">
        <f>HYPERLINK("https://klasma.github.io/Logging_2523/klagomålsmail/A 12522-2024 FSC-klagomål mail.docx", "A 12522-2024")</f>
        <v/>
      </c>
      <c r="X91">
        <f>HYPERLINK("https://klasma.github.io/Logging_2523/tillsyn/A 12522-2024 tillsynsbegäran.docx", "A 12522-2024")</f>
        <v/>
      </c>
      <c r="Y91">
        <f>HYPERLINK("https://klasma.github.io/Logging_2523/tillsynsmail/A 12522-2024 tillsynsbegäran mail.docx", "A 12522-2024")</f>
        <v/>
      </c>
    </row>
    <row r="92" ht="15" customHeight="1">
      <c r="A92" t="inlineStr">
        <is>
          <t>A 18043-2024</t>
        </is>
      </c>
      <c r="B92" s="1" t="n">
        <v>45420</v>
      </c>
      <c r="C92" s="1" t="n">
        <v>45642</v>
      </c>
      <c r="D92" t="inlineStr">
        <is>
          <t>NORRBOTTENS LÄN</t>
        </is>
      </c>
      <c r="E92" t="inlineStr">
        <is>
          <t>GÄLLIVARE</t>
        </is>
      </c>
      <c r="G92" t="n">
        <v>35.5</v>
      </c>
      <c r="H92" t="n">
        <v>0</v>
      </c>
      <c r="I92" t="n">
        <v>0</v>
      </c>
      <c r="J92" t="n">
        <v>1</v>
      </c>
      <c r="K92" t="n">
        <v>0</v>
      </c>
      <c r="L92" t="n">
        <v>0</v>
      </c>
      <c r="M92" t="n">
        <v>0</v>
      </c>
      <c r="N92" t="n">
        <v>0</v>
      </c>
      <c r="O92" t="n">
        <v>1</v>
      </c>
      <c r="P92" t="n">
        <v>0</v>
      </c>
      <c r="Q92" t="n">
        <v>1</v>
      </c>
      <c r="R92" s="2" t="inlineStr">
        <is>
          <t>Garnlav</t>
        </is>
      </c>
      <c r="S92">
        <f>HYPERLINK("https://klasma.github.io/Logging_2523/artfynd/A 18043-2024 artfynd.xlsx", "A 18043-2024")</f>
        <v/>
      </c>
      <c r="T92">
        <f>HYPERLINK("https://klasma.github.io/Logging_2523/kartor/A 18043-2024 karta.png", "A 18043-2024")</f>
        <v/>
      </c>
      <c r="V92">
        <f>HYPERLINK("https://klasma.github.io/Logging_2523/klagomål/A 18043-2024 FSC-klagomål.docx", "A 18043-2024")</f>
        <v/>
      </c>
      <c r="W92">
        <f>HYPERLINK("https://klasma.github.io/Logging_2523/klagomålsmail/A 18043-2024 FSC-klagomål mail.docx", "A 18043-2024")</f>
        <v/>
      </c>
      <c r="X92">
        <f>HYPERLINK("https://klasma.github.io/Logging_2523/tillsyn/A 18043-2024 tillsynsbegäran.docx", "A 18043-2024")</f>
        <v/>
      </c>
      <c r="Y92">
        <f>HYPERLINK("https://klasma.github.io/Logging_2523/tillsynsmail/A 18043-2024 tillsynsbegäran mail.docx", "A 18043-2024")</f>
        <v/>
      </c>
    </row>
    <row r="93" ht="15" customHeight="1">
      <c r="A93" t="inlineStr">
        <is>
          <t>A 26551-2024</t>
        </is>
      </c>
      <c r="B93" s="1" t="n">
        <v>45469</v>
      </c>
      <c r="C93" s="1" t="n">
        <v>45642</v>
      </c>
      <c r="D93" t="inlineStr">
        <is>
          <t>NORRBOTTENS LÄN</t>
        </is>
      </c>
      <c r="E93" t="inlineStr">
        <is>
          <t>GÄLLIVARE</t>
        </is>
      </c>
      <c r="F93" t="inlineStr">
        <is>
          <t>Sveaskog</t>
        </is>
      </c>
      <c r="G93" t="n">
        <v>8.699999999999999</v>
      </c>
      <c r="H93" t="n">
        <v>0</v>
      </c>
      <c r="I93" t="n">
        <v>0</v>
      </c>
      <c r="J93" t="n">
        <v>1</v>
      </c>
      <c r="K93" t="n">
        <v>0</v>
      </c>
      <c r="L93" t="n">
        <v>0</v>
      </c>
      <c r="M93" t="n">
        <v>0</v>
      </c>
      <c r="N93" t="n">
        <v>0</v>
      </c>
      <c r="O93" t="n">
        <v>1</v>
      </c>
      <c r="P93" t="n">
        <v>0</v>
      </c>
      <c r="Q93" t="n">
        <v>1</v>
      </c>
      <c r="R93" s="2" t="inlineStr">
        <is>
          <t>Lunglav</t>
        </is>
      </c>
      <c r="S93">
        <f>HYPERLINK("https://klasma.github.io/Logging_2523/artfynd/A 26551-2024 artfynd.xlsx", "A 26551-2024")</f>
        <v/>
      </c>
      <c r="T93">
        <f>HYPERLINK("https://klasma.github.io/Logging_2523/kartor/A 26551-2024 karta.png", "A 26551-2024")</f>
        <v/>
      </c>
      <c r="V93">
        <f>HYPERLINK("https://klasma.github.io/Logging_2523/klagomål/A 26551-2024 FSC-klagomål.docx", "A 26551-2024")</f>
        <v/>
      </c>
      <c r="W93">
        <f>HYPERLINK("https://klasma.github.io/Logging_2523/klagomålsmail/A 26551-2024 FSC-klagomål mail.docx", "A 26551-2024")</f>
        <v/>
      </c>
      <c r="X93">
        <f>HYPERLINK("https://klasma.github.io/Logging_2523/tillsyn/A 26551-2024 tillsynsbegäran.docx", "A 26551-2024")</f>
        <v/>
      </c>
      <c r="Y93">
        <f>HYPERLINK("https://klasma.github.io/Logging_2523/tillsynsmail/A 26551-2024 tillsynsbegäran mail.docx", "A 26551-2024")</f>
        <v/>
      </c>
    </row>
    <row r="94" ht="15" customHeight="1">
      <c r="A94" t="inlineStr">
        <is>
          <t>A 26552-2024</t>
        </is>
      </c>
      <c r="B94" s="1" t="n">
        <v>45469</v>
      </c>
      <c r="C94" s="1" t="n">
        <v>45642</v>
      </c>
      <c r="D94" t="inlineStr">
        <is>
          <t>NORRBOTTENS LÄN</t>
        </is>
      </c>
      <c r="E94" t="inlineStr">
        <is>
          <t>GÄLLIVARE</t>
        </is>
      </c>
      <c r="F94" t="inlineStr">
        <is>
          <t>Sveaskog</t>
        </is>
      </c>
      <c r="G94" t="n">
        <v>5.1</v>
      </c>
      <c r="H94" t="n">
        <v>0</v>
      </c>
      <c r="I94" t="n">
        <v>0</v>
      </c>
      <c r="J94" t="n">
        <v>1</v>
      </c>
      <c r="K94" t="n">
        <v>0</v>
      </c>
      <c r="L94" t="n">
        <v>0</v>
      </c>
      <c r="M94" t="n">
        <v>0</v>
      </c>
      <c r="N94" t="n">
        <v>0</v>
      </c>
      <c r="O94" t="n">
        <v>1</v>
      </c>
      <c r="P94" t="n">
        <v>0</v>
      </c>
      <c r="Q94" t="n">
        <v>1</v>
      </c>
      <c r="R94" s="2" t="inlineStr">
        <is>
          <t>Garnlav</t>
        </is>
      </c>
      <c r="S94">
        <f>HYPERLINK("https://klasma.github.io/Logging_2523/artfynd/A 26552-2024 artfynd.xlsx", "A 26552-2024")</f>
        <v/>
      </c>
      <c r="T94">
        <f>HYPERLINK("https://klasma.github.io/Logging_2523/kartor/A 26552-2024 karta.png", "A 26552-2024")</f>
        <v/>
      </c>
      <c r="V94">
        <f>HYPERLINK("https://klasma.github.io/Logging_2523/klagomål/A 26552-2024 FSC-klagomål.docx", "A 26552-2024")</f>
        <v/>
      </c>
      <c r="W94">
        <f>HYPERLINK("https://klasma.github.io/Logging_2523/klagomålsmail/A 26552-2024 FSC-klagomål mail.docx", "A 26552-2024")</f>
        <v/>
      </c>
      <c r="X94">
        <f>HYPERLINK("https://klasma.github.io/Logging_2523/tillsyn/A 26552-2024 tillsynsbegäran.docx", "A 26552-2024")</f>
        <v/>
      </c>
      <c r="Y94">
        <f>HYPERLINK("https://klasma.github.io/Logging_2523/tillsynsmail/A 26552-2024 tillsynsbegäran mail.docx", "A 26552-2024")</f>
        <v/>
      </c>
    </row>
    <row r="95" ht="15" customHeight="1">
      <c r="A95" t="inlineStr">
        <is>
          <t>A 28106-2024</t>
        </is>
      </c>
      <c r="B95" s="1" t="n">
        <v>45476</v>
      </c>
      <c r="C95" s="1" t="n">
        <v>45642</v>
      </c>
      <c r="D95" t="inlineStr">
        <is>
          <t>NORRBOTTENS LÄN</t>
        </is>
      </c>
      <c r="E95" t="inlineStr">
        <is>
          <t>GÄLLIVARE</t>
        </is>
      </c>
      <c r="F95" t="inlineStr">
        <is>
          <t>Sveaskog</t>
        </is>
      </c>
      <c r="G95" t="n">
        <v>1.1</v>
      </c>
      <c r="H95" t="n">
        <v>1</v>
      </c>
      <c r="I95" t="n">
        <v>0</v>
      </c>
      <c r="J95" t="n">
        <v>0</v>
      </c>
      <c r="K95" t="n">
        <v>1</v>
      </c>
      <c r="L95" t="n">
        <v>0</v>
      </c>
      <c r="M95" t="n">
        <v>0</v>
      </c>
      <c r="N95" t="n">
        <v>0</v>
      </c>
      <c r="O95" t="n">
        <v>1</v>
      </c>
      <c r="P95" t="n">
        <v>1</v>
      </c>
      <c r="Q95" t="n">
        <v>1</v>
      </c>
      <c r="R95" s="2" t="inlineStr">
        <is>
          <t>Doftticka</t>
        </is>
      </c>
      <c r="S95">
        <f>HYPERLINK("https://klasma.github.io/Logging_2523/artfynd/A 28106-2024 artfynd.xlsx", "A 28106-2024")</f>
        <v/>
      </c>
      <c r="T95">
        <f>HYPERLINK("https://klasma.github.io/Logging_2523/kartor/A 28106-2024 karta.png", "A 28106-2024")</f>
        <v/>
      </c>
      <c r="V95">
        <f>HYPERLINK("https://klasma.github.io/Logging_2523/klagomål/A 28106-2024 FSC-klagomål.docx", "A 28106-2024")</f>
        <v/>
      </c>
      <c r="W95">
        <f>HYPERLINK("https://klasma.github.io/Logging_2523/klagomålsmail/A 28106-2024 FSC-klagomål mail.docx", "A 28106-2024")</f>
        <v/>
      </c>
      <c r="X95">
        <f>HYPERLINK("https://klasma.github.io/Logging_2523/tillsyn/A 28106-2024 tillsynsbegäran.docx", "A 28106-2024")</f>
        <v/>
      </c>
      <c r="Y95">
        <f>HYPERLINK("https://klasma.github.io/Logging_2523/tillsynsmail/A 28106-2024 tillsynsbegäran mail.docx", "A 28106-2024")</f>
        <v/>
      </c>
    </row>
    <row r="96" ht="15" customHeight="1">
      <c r="A96" t="inlineStr">
        <is>
          <t>A 32828-2024</t>
        </is>
      </c>
      <c r="B96" s="1" t="n">
        <v>45516</v>
      </c>
      <c r="C96" s="1" t="n">
        <v>45642</v>
      </c>
      <c r="D96" t="inlineStr">
        <is>
          <t>NORRBOTTENS LÄN</t>
        </is>
      </c>
      <c r="E96" t="inlineStr">
        <is>
          <t>GÄLLIVARE</t>
        </is>
      </c>
      <c r="F96" t="inlineStr">
        <is>
          <t>Sveaskog</t>
        </is>
      </c>
      <c r="G96" t="n">
        <v>27.1</v>
      </c>
      <c r="H96" t="n">
        <v>1</v>
      </c>
      <c r="I96" t="n">
        <v>0</v>
      </c>
      <c r="J96" t="n">
        <v>0</v>
      </c>
      <c r="K96" t="n">
        <v>1</v>
      </c>
      <c r="L96" t="n">
        <v>0</v>
      </c>
      <c r="M96" t="n">
        <v>0</v>
      </c>
      <c r="N96" t="n">
        <v>0</v>
      </c>
      <c r="O96" t="n">
        <v>1</v>
      </c>
      <c r="P96" t="n">
        <v>1</v>
      </c>
      <c r="Q96" t="n">
        <v>1</v>
      </c>
      <c r="R96" s="2" t="inlineStr">
        <is>
          <t>Doftticka</t>
        </is>
      </c>
      <c r="S96">
        <f>HYPERLINK("https://klasma.github.io/Logging_2523/artfynd/A 32828-2024 artfynd.xlsx", "A 32828-2024")</f>
        <v/>
      </c>
      <c r="T96">
        <f>HYPERLINK("https://klasma.github.io/Logging_2523/kartor/A 32828-2024 karta.png", "A 32828-2024")</f>
        <v/>
      </c>
      <c r="V96">
        <f>HYPERLINK("https://klasma.github.io/Logging_2523/klagomål/A 32828-2024 FSC-klagomål.docx", "A 32828-2024")</f>
        <v/>
      </c>
      <c r="W96">
        <f>HYPERLINK("https://klasma.github.io/Logging_2523/klagomålsmail/A 32828-2024 FSC-klagomål mail.docx", "A 32828-2024")</f>
        <v/>
      </c>
      <c r="X96">
        <f>HYPERLINK("https://klasma.github.io/Logging_2523/tillsyn/A 32828-2024 tillsynsbegäran.docx", "A 32828-2024")</f>
        <v/>
      </c>
      <c r="Y96">
        <f>HYPERLINK("https://klasma.github.io/Logging_2523/tillsynsmail/A 32828-2024 tillsynsbegäran mail.docx", "A 32828-2024")</f>
        <v/>
      </c>
    </row>
    <row r="97" ht="15" customHeight="1">
      <c r="A97" t="inlineStr">
        <is>
          <t>A 34618-2024</t>
        </is>
      </c>
      <c r="B97" s="1" t="n">
        <v>45526</v>
      </c>
      <c r="C97" s="1" t="n">
        <v>45642</v>
      </c>
      <c r="D97" t="inlineStr">
        <is>
          <t>NORRBOTTENS LÄN</t>
        </is>
      </c>
      <c r="E97" t="inlineStr">
        <is>
          <t>GÄLLIVARE</t>
        </is>
      </c>
      <c r="F97" t="inlineStr">
        <is>
          <t>Sveaskog</t>
        </is>
      </c>
      <c r="G97" t="n">
        <v>11.2</v>
      </c>
      <c r="H97" t="n">
        <v>1</v>
      </c>
      <c r="I97" t="n">
        <v>0</v>
      </c>
      <c r="J97" t="n">
        <v>0</v>
      </c>
      <c r="K97" t="n">
        <v>1</v>
      </c>
      <c r="L97" t="n">
        <v>0</v>
      </c>
      <c r="M97" t="n">
        <v>0</v>
      </c>
      <c r="N97" t="n">
        <v>0</v>
      </c>
      <c r="O97" t="n">
        <v>1</v>
      </c>
      <c r="P97" t="n">
        <v>1</v>
      </c>
      <c r="Q97" t="n">
        <v>1</v>
      </c>
      <c r="R97" s="2" t="inlineStr">
        <is>
          <t>Doftticka</t>
        </is>
      </c>
      <c r="S97">
        <f>HYPERLINK("https://klasma.github.io/Logging_2523/artfynd/A 34618-2024 artfynd.xlsx", "A 34618-2024")</f>
        <v/>
      </c>
      <c r="T97">
        <f>HYPERLINK("https://klasma.github.io/Logging_2523/kartor/A 34618-2024 karta.png", "A 34618-2024")</f>
        <v/>
      </c>
      <c r="V97">
        <f>HYPERLINK("https://klasma.github.io/Logging_2523/klagomål/A 34618-2024 FSC-klagomål.docx", "A 34618-2024")</f>
        <v/>
      </c>
      <c r="W97">
        <f>HYPERLINK("https://klasma.github.io/Logging_2523/klagomålsmail/A 34618-2024 FSC-klagomål mail.docx", "A 34618-2024")</f>
        <v/>
      </c>
      <c r="X97">
        <f>HYPERLINK("https://klasma.github.io/Logging_2523/tillsyn/A 34618-2024 tillsynsbegäran.docx", "A 34618-2024")</f>
        <v/>
      </c>
      <c r="Y97">
        <f>HYPERLINK("https://klasma.github.io/Logging_2523/tillsynsmail/A 34618-2024 tillsynsbegäran mail.docx", "A 34618-2024")</f>
        <v/>
      </c>
    </row>
    <row r="98" ht="15" customHeight="1">
      <c r="A98" t="inlineStr">
        <is>
          <t>A 34591-2024</t>
        </is>
      </c>
      <c r="B98" s="1" t="n">
        <v>45526</v>
      </c>
      <c r="C98" s="1" t="n">
        <v>45642</v>
      </c>
      <c r="D98" t="inlineStr">
        <is>
          <t>NORRBOTTENS LÄN</t>
        </is>
      </c>
      <c r="E98" t="inlineStr">
        <is>
          <t>GÄLLIVARE</t>
        </is>
      </c>
      <c r="F98" t="inlineStr">
        <is>
          <t>Sveaskog</t>
        </is>
      </c>
      <c r="G98" t="n">
        <v>1.1</v>
      </c>
      <c r="H98" t="n">
        <v>0</v>
      </c>
      <c r="I98" t="n">
        <v>1</v>
      </c>
      <c r="J98" t="n">
        <v>0</v>
      </c>
      <c r="K98" t="n">
        <v>0</v>
      </c>
      <c r="L98" t="n">
        <v>0</v>
      </c>
      <c r="M98" t="n">
        <v>0</v>
      </c>
      <c r="N98" t="n">
        <v>0</v>
      </c>
      <c r="O98" t="n">
        <v>0</v>
      </c>
      <c r="P98" t="n">
        <v>0</v>
      </c>
      <c r="Q98" t="n">
        <v>1</v>
      </c>
      <c r="R98" s="2" t="inlineStr">
        <is>
          <t>Dropptaggsvamp</t>
        </is>
      </c>
      <c r="S98">
        <f>HYPERLINK("https://klasma.github.io/Logging_2523/artfynd/A 34591-2024 artfynd.xlsx", "A 34591-2024")</f>
        <v/>
      </c>
      <c r="T98">
        <f>HYPERLINK("https://klasma.github.io/Logging_2523/kartor/A 34591-2024 karta.png", "A 34591-2024")</f>
        <v/>
      </c>
      <c r="V98">
        <f>HYPERLINK("https://klasma.github.io/Logging_2523/klagomål/A 34591-2024 FSC-klagomål.docx", "A 34591-2024")</f>
        <v/>
      </c>
      <c r="W98">
        <f>HYPERLINK("https://klasma.github.io/Logging_2523/klagomålsmail/A 34591-2024 FSC-klagomål mail.docx", "A 34591-2024")</f>
        <v/>
      </c>
      <c r="X98">
        <f>HYPERLINK("https://klasma.github.io/Logging_2523/tillsyn/A 34591-2024 tillsynsbegäran.docx", "A 34591-2024")</f>
        <v/>
      </c>
      <c r="Y98">
        <f>HYPERLINK("https://klasma.github.io/Logging_2523/tillsynsmail/A 34591-2024 tillsynsbegäran mail.docx", "A 34591-2024")</f>
        <v/>
      </c>
    </row>
    <row r="99" ht="15" customHeight="1">
      <c r="A99" t="inlineStr">
        <is>
          <t>A 34879-2024</t>
        </is>
      </c>
      <c r="B99" s="1" t="n">
        <v>45527</v>
      </c>
      <c r="C99" s="1" t="n">
        <v>45642</v>
      </c>
      <c r="D99" t="inlineStr">
        <is>
          <t>NORRBOTTENS LÄN</t>
        </is>
      </c>
      <c r="E99" t="inlineStr">
        <is>
          <t>GÄLLIVARE</t>
        </is>
      </c>
      <c r="F99" t="inlineStr">
        <is>
          <t>SCA</t>
        </is>
      </c>
      <c r="G99" t="n">
        <v>4.3</v>
      </c>
      <c r="H99" t="n">
        <v>1</v>
      </c>
      <c r="I99" t="n">
        <v>0</v>
      </c>
      <c r="J99" t="n">
        <v>0</v>
      </c>
      <c r="K99" t="n">
        <v>0</v>
      </c>
      <c r="L99" t="n">
        <v>0</v>
      </c>
      <c r="M99" t="n">
        <v>0</v>
      </c>
      <c r="N99" t="n">
        <v>0</v>
      </c>
      <c r="O99" t="n">
        <v>0</v>
      </c>
      <c r="P99" t="n">
        <v>0</v>
      </c>
      <c r="Q99" t="n">
        <v>1</v>
      </c>
      <c r="R99" s="2" t="inlineStr">
        <is>
          <t>Huggorm</t>
        </is>
      </c>
      <c r="S99">
        <f>HYPERLINK("https://klasma.github.io/Logging_2523/artfynd/A 34879-2024 artfynd.xlsx", "A 34879-2024")</f>
        <v/>
      </c>
      <c r="T99">
        <f>HYPERLINK("https://klasma.github.io/Logging_2523/kartor/A 34879-2024 karta.png", "A 34879-2024")</f>
        <v/>
      </c>
      <c r="V99">
        <f>HYPERLINK("https://klasma.github.io/Logging_2523/klagomål/A 34879-2024 FSC-klagomål.docx", "A 34879-2024")</f>
        <v/>
      </c>
      <c r="W99">
        <f>HYPERLINK("https://klasma.github.io/Logging_2523/klagomålsmail/A 34879-2024 FSC-klagomål mail.docx", "A 34879-2024")</f>
        <v/>
      </c>
      <c r="X99">
        <f>HYPERLINK("https://klasma.github.io/Logging_2523/tillsyn/A 34879-2024 tillsynsbegäran.docx", "A 34879-2024")</f>
        <v/>
      </c>
      <c r="Y99">
        <f>HYPERLINK("https://klasma.github.io/Logging_2523/tillsynsmail/A 34879-2024 tillsynsbegäran mail.docx", "A 34879-2024")</f>
        <v/>
      </c>
    </row>
    <row r="100" ht="15" customHeight="1">
      <c r="A100" t="inlineStr">
        <is>
          <t>A 40019-2024</t>
        </is>
      </c>
      <c r="B100" s="1" t="n">
        <v>45553</v>
      </c>
      <c r="C100" s="1" t="n">
        <v>45642</v>
      </c>
      <c r="D100" t="inlineStr">
        <is>
          <t>NORRBOTTENS LÄN</t>
        </is>
      </c>
      <c r="E100" t="inlineStr">
        <is>
          <t>GÄLLIVARE</t>
        </is>
      </c>
      <c r="F100" t="inlineStr">
        <is>
          <t>Sveaskog</t>
        </is>
      </c>
      <c r="G100" t="n">
        <v>7.7</v>
      </c>
      <c r="H100" t="n">
        <v>0</v>
      </c>
      <c r="I100" t="n">
        <v>0</v>
      </c>
      <c r="J100" t="n">
        <v>1</v>
      </c>
      <c r="K100" t="n">
        <v>0</v>
      </c>
      <c r="L100" t="n">
        <v>0</v>
      </c>
      <c r="M100" t="n">
        <v>0</v>
      </c>
      <c r="N100" t="n">
        <v>0</v>
      </c>
      <c r="O100" t="n">
        <v>1</v>
      </c>
      <c r="P100" t="n">
        <v>0</v>
      </c>
      <c r="Q100" t="n">
        <v>1</v>
      </c>
      <c r="R100" s="2" t="inlineStr">
        <is>
          <t>Blå taggsvamp</t>
        </is>
      </c>
      <c r="S100">
        <f>HYPERLINK("https://klasma.github.io/Logging_2523/artfynd/A 40019-2024 artfynd.xlsx", "A 40019-2024")</f>
        <v/>
      </c>
      <c r="T100">
        <f>HYPERLINK("https://klasma.github.io/Logging_2523/kartor/A 40019-2024 karta.png", "A 40019-2024")</f>
        <v/>
      </c>
      <c r="V100">
        <f>HYPERLINK("https://klasma.github.io/Logging_2523/klagomål/A 40019-2024 FSC-klagomål.docx", "A 40019-2024")</f>
        <v/>
      </c>
      <c r="W100">
        <f>HYPERLINK("https://klasma.github.io/Logging_2523/klagomålsmail/A 40019-2024 FSC-klagomål mail.docx", "A 40019-2024")</f>
        <v/>
      </c>
      <c r="X100">
        <f>HYPERLINK("https://klasma.github.io/Logging_2523/tillsyn/A 40019-2024 tillsynsbegäran.docx", "A 40019-2024")</f>
        <v/>
      </c>
      <c r="Y100">
        <f>HYPERLINK("https://klasma.github.io/Logging_2523/tillsynsmail/A 40019-2024 tillsynsbegäran mail.docx", "A 40019-2024")</f>
        <v/>
      </c>
    </row>
    <row r="101" ht="15" customHeight="1">
      <c r="A101" t="inlineStr">
        <is>
          <t>A 40197-2024</t>
        </is>
      </c>
      <c r="B101" s="1" t="n">
        <v>45554</v>
      </c>
      <c r="C101" s="1" t="n">
        <v>45642</v>
      </c>
      <c r="D101" t="inlineStr">
        <is>
          <t>NORRBOTTENS LÄN</t>
        </is>
      </c>
      <c r="E101" t="inlineStr">
        <is>
          <t>GÄLLIVARE</t>
        </is>
      </c>
      <c r="F101" t="inlineStr">
        <is>
          <t>Sveaskog</t>
        </is>
      </c>
      <c r="G101" t="n">
        <v>16.3</v>
      </c>
      <c r="H101" t="n">
        <v>0</v>
      </c>
      <c r="I101" t="n">
        <v>1</v>
      </c>
      <c r="J101" t="n">
        <v>0</v>
      </c>
      <c r="K101" t="n">
        <v>0</v>
      </c>
      <c r="L101" t="n">
        <v>0</v>
      </c>
      <c r="M101" t="n">
        <v>0</v>
      </c>
      <c r="N101" t="n">
        <v>0</v>
      </c>
      <c r="O101" t="n">
        <v>0</v>
      </c>
      <c r="P101" t="n">
        <v>0</v>
      </c>
      <c r="Q101" t="n">
        <v>1</v>
      </c>
      <c r="R101" s="2" t="inlineStr">
        <is>
          <t>Dropptaggsvamp</t>
        </is>
      </c>
      <c r="S101">
        <f>HYPERLINK("https://klasma.github.io/Logging_2523/artfynd/A 40197-2024 artfynd.xlsx", "A 40197-2024")</f>
        <v/>
      </c>
      <c r="T101">
        <f>HYPERLINK("https://klasma.github.io/Logging_2523/kartor/A 40197-2024 karta.png", "A 40197-2024")</f>
        <v/>
      </c>
      <c r="V101">
        <f>HYPERLINK("https://klasma.github.io/Logging_2523/klagomål/A 40197-2024 FSC-klagomål.docx", "A 40197-2024")</f>
        <v/>
      </c>
      <c r="W101">
        <f>HYPERLINK("https://klasma.github.io/Logging_2523/klagomålsmail/A 40197-2024 FSC-klagomål mail.docx", "A 40197-2024")</f>
        <v/>
      </c>
      <c r="X101">
        <f>HYPERLINK("https://klasma.github.io/Logging_2523/tillsyn/A 40197-2024 tillsynsbegäran.docx", "A 40197-2024")</f>
        <v/>
      </c>
      <c r="Y101">
        <f>HYPERLINK("https://klasma.github.io/Logging_2523/tillsynsmail/A 40197-2024 tillsynsbegäran mail.docx", "A 40197-2024")</f>
        <v/>
      </c>
    </row>
    <row r="102" ht="15" customHeight="1">
      <c r="A102" t="inlineStr">
        <is>
          <t>A 41151-2024</t>
        </is>
      </c>
      <c r="B102" s="1" t="n">
        <v>45559</v>
      </c>
      <c r="C102" s="1" t="n">
        <v>45642</v>
      </c>
      <c r="D102" t="inlineStr">
        <is>
          <t>NORRBOTTENS LÄN</t>
        </is>
      </c>
      <c r="E102" t="inlineStr">
        <is>
          <t>GÄLLIVARE</t>
        </is>
      </c>
      <c r="F102" t="inlineStr">
        <is>
          <t>Sveaskog</t>
        </is>
      </c>
      <c r="G102" t="n">
        <v>12.5</v>
      </c>
      <c r="H102" t="n">
        <v>0</v>
      </c>
      <c r="I102" t="n">
        <v>0</v>
      </c>
      <c r="J102" t="n">
        <v>1</v>
      </c>
      <c r="K102" t="n">
        <v>0</v>
      </c>
      <c r="L102" t="n">
        <v>0</v>
      </c>
      <c r="M102" t="n">
        <v>0</v>
      </c>
      <c r="N102" t="n">
        <v>0</v>
      </c>
      <c r="O102" t="n">
        <v>1</v>
      </c>
      <c r="P102" t="n">
        <v>0</v>
      </c>
      <c r="Q102" t="n">
        <v>1</v>
      </c>
      <c r="R102" s="2" t="inlineStr">
        <is>
          <t>Tallticka</t>
        </is>
      </c>
      <c r="S102">
        <f>HYPERLINK("https://klasma.github.io/Logging_2523/artfynd/A 41151-2024 artfynd.xlsx", "A 41151-2024")</f>
        <v/>
      </c>
      <c r="T102">
        <f>HYPERLINK("https://klasma.github.io/Logging_2523/kartor/A 41151-2024 karta.png", "A 41151-2024")</f>
        <v/>
      </c>
      <c r="V102">
        <f>HYPERLINK("https://klasma.github.io/Logging_2523/klagomål/A 41151-2024 FSC-klagomål.docx", "A 41151-2024")</f>
        <v/>
      </c>
      <c r="W102">
        <f>HYPERLINK("https://klasma.github.io/Logging_2523/klagomålsmail/A 41151-2024 FSC-klagomål mail.docx", "A 41151-2024")</f>
        <v/>
      </c>
      <c r="X102">
        <f>HYPERLINK("https://klasma.github.io/Logging_2523/tillsyn/A 41151-2024 tillsynsbegäran.docx", "A 41151-2024")</f>
        <v/>
      </c>
      <c r="Y102">
        <f>HYPERLINK("https://klasma.github.io/Logging_2523/tillsynsmail/A 41151-2024 tillsynsbegäran mail.docx", "A 41151-2024")</f>
        <v/>
      </c>
    </row>
    <row r="103" ht="15" customHeight="1">
      <c r="A103" t="inlineStr">
        <is>
          <t>A 44481-2024</t>
        </is>
      </c>
      <c r="B103" s="1" t="n">
        <v>45574</v>
      </c>
      <c r="C103" s="1" t="n">
        <v>45642</v>
      </c>
      <c r="D103" t="inlineStr">
        <is>
          <t>NORRBOTTENS LÄN</t>
        </is>
      </c>
      <c r="E103" t="inlineStr">
        <is>
          <t>GÄLLIVARE</t>
        </is>
      </c>
      <c r="F103" t="inlineStr">
        <is>
          <t>Sveaskog</t>
        </is>
      </c>
      <c r="G103" t="n">
        <v>10.8</v>
      </c>
      <c r="H103" t="n">
        <v>0</v>
      </c>
      <c r="I103" t="n">
        <v>0</v>
      </c>
      <c r="J103" t="n">
        <v>1</v>
      </c>
      <c r="K103" t="n">
        <v>0</v>
      </c>
      <c r="L103" t="n">
        <v>0</v>
      </c>
      <c r="M103" t="n">
        <v>0</v>
      </c>
      <c r="N103" t="n">
        <v>0</v>
      </c>
      <c r="O103" t="n">
        <v>1</v>
      </c>
      <c r="P103" t="n">
        <v>0</v>
      </c>
      <c r="Q103" t="n">
        <v>1</v>
      </c>
      <c r="R103" s="2" t="inlineStr">
        <is>
          <t>Motaggsvamp</t>
        </is>
      </c>
      <c r="S103">
        <f>HYPERLINK("https://klasma.github.io/Logging_2523/artfynd/A 44481-2024 artfynd.xlsx", "A 44481-2024")</f>
        <v/>
      </c>
      <c r="T103">
        <f>HYPERLINK("https://klasma.github.io/Logging_2523/kartor/A 44481-2024 karta.png", "A 44481-2024")</f>
        <v/>
      </c>
      <c r="V103">
        <f>HYPERLINK("https://klasma.github.io/Logging_2523/klagomål/A 44481-2024 FSC-klagomål.docx", "A 44481-2024")</f>
        <v/>
      </c>
      <c r="W103">
        <f>HYPERLINK("https://klasma.github.io/Logging_2523/klagomålsmail/A 44481-2024 FSC-klagomål mail.docx", "A 44481-2024")</f>
        <v/>
      </c>
      <c r="X103">
        <f>HYPERLINK("https://klasma.github.io/Logging_2523/tillsyn/A 44481-2024 tillsynsbegäran.docx", "A 44481-2024")</f>
        <v/>
      </c>
      <c r="Y103">
        <f>HYPERLINK("https://klasma.github.io/Logging_2523/tillsynsmail/A 44481-2024 tillsynsbegäran mail.docx", "A 44481-2024")</f>
        <v/>
      </c>
    </row>
    <row r="104" ht="15" customHeight="1">
      <c r="A104" t="inlineStr">
        <is>
          <t>A 44648-2024</t>
        </is>
      </c>
      <c r="B104" s="1" t="n">
        <v>45574</v>
      </c>
      <c r="C104" s="1" t="n">
        <v>45642</v>
      </c>
      <c r="D104" t="inlineStr">
        <is>
          <t>NORRBOTTENS LÄN</t>
        </is>
      </c>
      <c r="E104" t="inlineStr">
        <is>
          <t>GÄLLIVARE</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44648-2024 artfynd.xlsx", "A 44648-2024")</f>
        <v/>
      </c>
      <c r="T104">
        <f>HYPERLINK("https://klasma.github.io/Logging_2523/kartor/A 44648-2024 karta.png", "A 44648-2024")</f>
        <v/>
      </c>
      <c r="V104">
        <f>HYPERLINK("https://klasma.github.io/Logging_2523/klagomål/A 44648-2024 FSC-klagomål.docx", "A 44648-2024")</f>
        <v/>
      </c>
      <c r="W104">
        <f>HYPERLINK("https://klasma.github.io/Logging_2523/klagomålsmail/A 44648-2024 FSC-klagomål mail.docx", "A 44648-2024")</f>
        <v/>
      </c>
      <c r="X104">
        <f>HYPERLINK("https://klasma.github.io/Logging_2523/tillsyn/A 44648-2024 tillsynsbegäran.docx", "A 44648-2024")</f>
        <v/>
      </c>
      <c r="Y104">
        <f>HYPERLINK("https://klasma.github.io/Logging_2523/tillsynsmail/A 44648-2024 tillsynsbegäran mail.docx", "A 44648-2024")</f>
        <v/>
      </c>
    </row>
    <row r="105" ht="15" customHeight="1">
      <c r="A105" t="inlineStr">
        <is>
          <t>A 46652-2024</t>
        </is>
      </c>
      <c r="B105" s="1" t="n">
        <v>45583</v>
      </c>
      <c r="C105" s="1" t="n">
        <v>45642</v>
      </c>
      <c r="D105" t="inlineStr">
        <is>
          <t>NORRBOTTENS LÄN</t>
        </is>
      </c>
      <c r="E105" t="inlineStr">
        <is>
          <t>GÄLLIVARE</t>
        </is>
      </c>
      <c r="F105" t="inlineStr">
        <is>
          <t>Sveaskog</t>
        </is>
      </c>
      <c r="G105" t="n">
        <v>10.2</v>
      </c>
      <c r="H105" t="n">
        <v>0</v>
      </c>
      <c r="I105" t="n">
        <v>0</v>
      </c>
      <c r="J105" t="n">
        <v>1</v>
      </c>
      <c r="K105" t="n">
        <v>0</v>
      </c>
      <c r="L105" t="n">
        <v>0</v>
      </c>
      <c r="M105" t="n">
        <v>0</v>
      </c>
      <c r="N105" t="n">
        <v>0</v>
      </c>
      <c r="O105" t="n">
        <v>1</v>
      </c>
      <c r="P105" t="n">
        <v>0</v>
      </c>
      <c r="Q105" t="n">
        <v>1</v>
      </c>
      <c r="R105" s="2" t="inlineStr">
        <is>
          <t>Motaggsvamp</t>
        </is>
      </c>
      <c r="S105">
        <f>HYPERLINK("https://klasma.github.io/Logging_2523/artfynd/A 46652-2024 artfynd.xlsx", "A 46652-2024")</f>
        <v/>
      </c>
      <c r="T105">
        <f>HYPERLINK("https://klasma.github.io/Logging_2523/kartor/A 46652-2024 karta.png", "A 46652-2024")</f>
        <v/>
      </c>
      <c r="V105">
        <f>HYPERLINK("https://klasma.github.io/Logging_2523/klagomål/A 46652-2024 FSC-klagomål.docx", "A 46652-2024")</f>
        <v/>
      </c>
      <c r="W105">
        <f>HYPERLINK("https://klasma.github.io/Logging_2523/klagomålsmail/A 46652-2024 FSC-klagomål mail.docx", "A 46652-2024")</f>
        <v/>
      </c>
      <c r="X105">
        <f>HYPERLINK("https://klasma.github.io/Logging_2523/tillsyn/A 46652-2024 tillsynsbegäran.docx", "A 46652-2024")</f>
        <v/>
      </c>
      <c r="Y105">
        <f>HYPERLINK("https://klasma.github.io/Logging_2523/tillsynsmail/A 46652-2024 tillsynsbegäran mail.docx", "A 46652-2024")</f>
        <v/>
      </c>
    </row>
    <row r="106" ht="15" customHeight="1">
      <c r="A106" t="inlineStr">
        <is>
          <t>A 19954-2019</t>
        </is>
      </c>
      <c r="B106" s="1" t="n">
        <v>43569</v>
      </c>
      <c r="C106" s="1" t="n">
        <v>45642</v>
      </c>
      <c r="D106" t="inlineStr">
        <is>
          <t>NORRBOTTENS LÄN</t>
        </is>
      </c>
      <c r="E106" t="inlineStr">
        <is>
          <t>GÄLLIVARE</t>
        </is>
      </c>
      <c r="G106" t="n">
        <v>1.9</v>
      </c>
      <c r="H106" t="n">
        <v>0</v>
      </c>
      <c r="I106" t="n">
        <v>0</v>
      </c>
      <c r="J106" t="n">
        <v>0</v>
      </c>
      <c r="K106" t="n">
        <v>0</v>
      </c>
      <c r="L106" t="n">
        <v>0</v>
      </c>
      <c r="M106" t="n">
        <v>0</v>
      </c>
      <c r="N106" t="n">
        <v>0</v>
      </c>
      <c r="O106" t="n">
        <v>0</v>
      </c>
      <c r="P106" t="n">
        <v>0</v>
      </c>
      <c r="Q106" t="n">
        <v>0</v>
      </c>
      <c r="R106" s="2" t="inlineStr"/>
    </row>
    <row r="107" ht="15" customHeight="1">
      <c r="A107" t="inlineStr">
        <is>
          <t>A 21118-2019</t>
        </is>
      </c>
      <c r="B107" s="1" t="n">
        <v>43578</v>
      </c>
      <c r="C107" s="1" t="n">
        <v>45642</v>
      </c>
      <c r="D107" t="inlineStr">
        <is>
          <t>NORRBOTTENS LÄN</t>
        </is>
      </c>
      <c r="E107" t="inlineStr">
        <is>
          <t>GÄLLIVARE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21556-2019</t>
        </is>
      </c>
      <c r="B108" s="1" t="n">
        <v>43579</v>
      </c>
      <c r="C108" s="1" t="n">
        <v>45642</v>
      </c>
      <c r="D108" t="inlineStr">
        <is>
          <t>NORRBOTTENS LÄN</t>
        </is>
      </c>
      <c r="E108" t="inlineStr">
        <is>
          <t>GÄLLIVARE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22481-2019</t>
        </is>
      </c>
      <c r="B109" s="1" t="n">
        <v>43587</v>
      </c>
      <c r="C109" s="1" t="n">
        <v>45642</v>
      </c>
      <c r="D109" t="inlineStr">
        <is>
          <t>NORRBOTTENS LÄN</t>
        </is>
      </c>
      <c r="E109" t="inlineStr">
        <is>
          <t>GÄLLIVARE</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23806-2019</t>
        </is>
      </c>
      <c r="B110" s="1" t="n">
        <v>43595</v>
      </c>
      <c r="C110" s="1" t="n">
        <v>45642</v>
      </c>
      <c r="D110" t="inlineStr">
        <is>
          <t>NORRBOTTENS LÄN</t>
        </is>
      </c>
      <c r="E110" t="inlineStr">
        <is>
          <t>GÄLLIVARE</t>
        </is>
      </c>
      <c r="G110" t="n">
        <v>10.4</v>
      </c>
      <c r="H110" t="n">
        <v>0</v>
      </c>
      <c r="I110" t="n">
        <v>0</v>
      </c>
      <c r="J110" t="n">
        <v>0</v>
      </c>
      <c r="K110" t="n">
        <v>0</v>
      </c>
      <c r="L110" t="n">
        <v>0</v>
      </c>
      <c r="M110" t="n">
        <v>0</v>
      </c>
      <c r="N110" t="n">
        <v>0</v>
      </c>
      <c r="O110" t="n">
        <v>0</v>
      </c>
      <c r="P110" t="n">
        <v>0</v>
      </c>
      <c r="Q110" t="n">
        <v>0</v>
      </c>
      <c r="R110" s="2" t="inlineStr"/>
    </row>
    <row r="111" ht="15" customHeight="1">
      <c r="A111" t="inlineStr">
        <is>
          <t>A 23812-2019</t>
        </is>
      </c>
      <c r="B111" s="1" t="n">
        <v>43595</v>
      </c>
      <c r="C111" s="1" t="n">
        <v>45642</v>
      </c>
      <c r="D111" t="inlineStr">
        <is>
          <t>NORRBOTTENS LÄN</t>
        </is>
      </c>
      <c r="E111" t="inlineStr">
        <is>
          <t>GÄLLIVARE</t>
        </is>
      </c>
      <c r="G111" t="n">
        <v>5.1</v>
      </c>
      <c r="H111" t="n">
        <v>0</v>
      </c>
      <c r="I111" t="n">
        <v>0</v>
      </c>
      <c r="J111" t="n">
        <v>0</v>
      </c>
      <c r="K111" t="n">
        <v>0</v>
      </c>
      <c r="L111" t="n">
        <v>0</v>
      </c>
      <c r="M111" t="n">
        <v>0</v>
      </c>
      <c r="N111" t="n">
        <v>0</v>
      </c>
      <c r="O111" t="n">
        <v>0</v>
      </c>
      <c r="P111" t="n">
        <v>0</v>
      </c>
      <c r="Q111" t="n">
        <v>0</v>
      </c>
      <c r="R111" s="2" t="inlineStr"/>
    </row>
    <row r="112" ht="15" customHeight="1">
      <c r="A112" t="inlineStr">
        <is>
          <t>A 23880-2019</t>
        </is>
      </c>
      <c r="B112" s="1" t="n">
        <v>43595</v>
      </c>
      <c r="C112" s="1" t="n">
        <v>45642</v>
      </c>
      <c r="D112" t="inlineStr">
        <is>
          <t>NORRBOTTENS LÄN</t>
        </is>
      </c>
      <c r="E112" t="inlineStr">
        <is>
          <t>GÄLLIVARE</t>
        </is>
      </c>
      <c r="G112" t="n">
        <v>2.3</v>
      </c>
      <c r="H112" t="n">
        <v>0</v>
      </c>
      <c r="I112" t="n">
        <v>0</v>
      </c>
      <c r="J112" t="n">
        <v>0</v>
      </c>
      <c r="K112" t="n">
        <v>0</v>
      </c>
      <c r="L112" t="n">
        <v>0</v>
      </c>
      <c r="M112" t="n">
        <v>0</v>
      </c>
      <c r="N112" t="n">
        <v>0</v>
      </c>
      <c r="O112" t="n">
        <v>0</v>
      </c>
      <c r="P112" t="n">
        <v>0</v>
      </c>
      <c r="Q112" t="n">
        <v>0</v>
      </c>
      <c r="R112" s="2" t="inlineStr"/>
    </row>
    <row r="113" ht="15" customHeight="1">
      <c r="A113" t="inlineStr">
        <is>
          <t>A 24996-2019</t>
        </is>
      </c>
      <c r="B113" s="1" t="n">
        <v>43600</v>
      </c>
      <c r="C113" s="1" t="n">
        <v>45642</v>
      </c>
      <c r="D113" t="inlineStr">
        <is>
          <t>NORRBOTTENS LÄN</t>
        </is>
      </c>
      <c r="E113" t="inlineStr">
        <is>
          <t>GÄLLIVARE</t>
        </is>
      </c>
      <c r="G113" t="n">
        <v>5.5</v>
      </c>
      <c r="H113" t="n">
        <v>0</v>
      </c>
      <c r="I113" t="n">
        <v>0</v>
      </c>
      <c r="J113" t="n">
        <v>0</v>
      </c>
      <c r="K113" t="n">
        <v>0</v>
      </c>
      <c r="L113" t="n">
        <v>0</v>
      </c>
      <c r="M113" t="n">
        <v>0</v>
      </c>
      <c r="N113" t="n">
        <v>0</v>
      </c>
      <c r="O113" t="n">
        <v>0</v>
      </c>
      <c r="P113" t="n">
        <v>0</v>
      </c>
      <c r="Q113" t="n">
        <v>0</v>
      </c>
      <c r="R113" s="2" t="inlineStr"/>
    </row>
    <row r="114" ht="15" customHeight="1">
      <c r="A114" t="inlineStr">
        <is>
          <t>A 27498-2019</t>
        </is>
      </c>
      <c r="B114" s="1" t="n">
        <v>43612</v>
      </c>
      <c r="C114" s="1" t="n">
        <v>45642</v>
      </c>
      <c r="D114" t="inlineStr">
        <is>
          <t>NORRBOTTENS LÄN</t>
        </is>
      </c>
      <c r="E114" t="inlineStr">
        <is>
          <t>GÄLLIVARE</t>
        </is>
      </c>
      <c r="F114" t="inlineStr">
        <is>
          <t>Allmännings- och besparingsskogar</t>
        </is>
      </c>
      <c r="G114" t="n">
        <v>24</v>
      </c>
      <c r="H114" t="n">
        <v>0</v>
      </c>
      <c r="I114" t="n">
        <v>0</v>
      </c>
      <c r="J114" t="n">
        <v>0</v>
      </c>
      <c r="K114" t="n">
        <v>0</v>
      </c>
      <c r="L114" t="n">
        <v>0</v>
      </c>
      <c r="M114" t="n">
        <v>0</v>
      </c>
      <c r="N114" t="n">
        <v>0</v>
      </c>
      <c r="O114" t="n">
        <v>0</v>
      </c>
      <c r="P114" t="n">
        <v>0</v>
      </c>
      <c r="Q114" t="n">
        <v>0</v>
      </c>
      <c r="R114" s="2" t="inlineStr"/>
    </row>
    <row r="115" ht="15" customHeight="1">
      <c r="A115" t="inlineStr">
        <is>
          <t>A 26948-2019</t>
        </is>
      </c>
      <c r="B115" s="1" t="n">
        <v>43613</v>
      </c>
      <c r="C115" s="1" t="n">
        <v>45642</v>
      </c>
      <c r="D115" t="inlineStr">
        <is>
          <t>NORRBOTTENS LÄN</t>
        </is>
      </c>
      <c r="E115" t="inlineStr">
        <is>
          <t>GÄLLIVARE</t>
        </is>
      </c>
      <c r="F115" t="inlineStr">
        <is>
          <t>SCA</t>
        </is>
      </c>
      <c r="G115" t="n">
        <v>32.6</v>
      </c>
      <c r="H115" t="n">
        <v>0</v>
      </c>
      <c r="I115" t="n">
        <v>0</v>
      </c>
      <c r="J115" t="n">
        <v>0</v>
      </c>
      <c r="K115" t="n">
        <v>0</v>
      </c>
      <c r="L115" t="n">
        <v>0</v>
      </c>
      <c r="M115" t="n">
        <v>0</v>
      </c>
      <c r="N115" t="n">
        <v>0</v>
      </c>
      <c r="O115" t="n">
        <v>0</v>
      </c>
      <c r="P115" t="n">
        <v>0</v>
      </c>
      <c r="Q115" t="n">
        <v>0</v>
      </c>
      <c r="R115" s="2" t="inlineStr"/>
    </row>
    <row r="116" ht="15" customHeight="1">
      <c r="A116" t="inlineStr">
        <is>
          <t>A 26743-2019</t>
        </is>
      </c>
      <c r="B116" s="1" t="n">
        <v>43613</v>
      </c>
      <c r="C116" s="1" t="n">
        <v>45642</v>
      </c>
      <c r="D116" t="inlineStr">
        <is>
          <t>NORRBOTTENS LÄN</t>
        </is>
      </c>
      <c r="E116" t="inlineStr">
        <is>
          <t>GÄLLIVARE</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27043-2019</t>
        </is>
      </c>
      <c r="B117" s="1" t="n">
        <v>43614</v>
      </c>
      <c r="C117" s="1" t="n">
        <v>45642</v>
      </c>
      <c r="D117" t="inlineStr">
        <is>
          <t>NORRBOTTENS LÄN</t>
        </is>
      </c>
      <c r="E117" t="inlineStr">
        <is>
          <t>GÄLLIVARE</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27245-2019</t>
        </is>
      </c>
      <c r="B118" s="1" t="n">
        <v>43614</v>
      </c>
      <c r="C118" s="1" t="n">
        <v>45642</v>
      </c>
      <c r="D118" t="inlineStr">
        <is>
          <t>NORRBOTTENS LÄN</t>
        </is>
      </c>
      <c r="E118" t="inlineStr">
        <is>
          <t>GÄLLIVARE</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27243-2019</t>
        </is>
      </c>
      <c r="B119" s="1" t="n">
        <v>43614</v>
      </c>
      <c r="C119" s="1" t="n">
        <v>45642</v>
      </c>
      <c r="D119" t="inlineStr">
        <is>
          <t>NORRBOTTENS LÄN</t>
        </is>
      </c>
      <c r="E119" t="inlineStr">
        <is>
          <t>GÄLLIVARE</t>
        </is>
      </c>
      <c r="F119" t="inlineStr">
        <is>
          <t>SCA</t>
        </is>
      </c>
      <c r="G119" t="n">
        <v>7.4</v>
      </c>
      <c r="H119" t="n">
        <v>0</v>
      </c>
      <c r="I119" t="n">
        <v>0</v>
      </c>
      <c r="J119" t="n">
        <v>0</v>
      </c>
      <c r="K119" t="n">
        <v>0</v>
      </c>
      <c r="L119" t="n">
        <v>0</v>
      </c>
      <c r="M119" t="n">
        <v>0</v>
      </c>
      <c r="N119" t="n">
        <v>0</v>
      </c>
      <c r="O119" t="n">
        <v>0</v>
      </c>
      <c r="P119" t="n">
        <v>0</v>
      </c>
      <c r="Q119" t="n">
        <v>0</v>
      </c>
      <c r="R119" s="2" t="inlineStr"/>
    </row>
    <row r="120" ht="15" customHeight="1">
      <c r="A120" t="inlineStr">
        <is>
          <t>A 27247-2019</t>
        </is>
      </c>
      <c r="B120" s="1" t="n">
        <v>43614</v>
      </c>
      <c r="C120" s="1" t="n">
        <v>45642</v>
      </c>
      <c r="D120" t="inlineStr">
        <is>
          <t>NORRBOTTENS LÄN</t>
        </is>
      </c>
      <c r="E120" t="inlineStr">
        <is>
          <t>GÄLLIVARE</t>
        </is>
      </c>
      <c r="F120" t="inlineStr">
        <is>
          <t>SCA</t>
        </is>
      </c>
      <c r="G120" t="n">
        <v>2.5</v>
      </c>
      <c r="H120" t="n">
        <v>0</v>
      </c>
      <c r="I120" t="n">
        <v>0</v>
      </c>
      <c r="J120" t="n">
        <v>0</v>
      </c>
      <c r="K120" t="n">
        <v>0</v>
      </c>
      <c r="L120" t="n">
        <v>0</v>
      </c>
      <c r="M120" t="n">
        <v>0</v>
      </c>
      <c r="N120" t="n">
        <v>0</v>
      </c>
      <c r="O120" t="n">
        <v>0</v>
      </c>
      <c r="P120" t="n">
        <v>0</v>
      </c>
      <c r="Q120" t="n">
        <v>0</v>
      </c>
      <c r="R120" s="2" t="inlineStr"/>
    </row>
    <row r="121" ht="15" customHeight="1">
      <c r="A121" t="inlineStr">
        <is>
          <t>A 28635-2019</t>
        </is>
      </c>
      <c r="B121" s="1" t="n">
        <v>43621</v>
      </c>
      <c r="C121" s="1" t="n">
        <v>45642</v>
      </c>
      <c r="D121" t="inlineStr">
        <is>
          <t>NORRBOTTENS LÄN</t>
        </is>
      </c>
      <c r="E121" t="inlineStr">
        <is>
          <t>GÄLLIVARE</t>
        </is>
      </c>
      <c r="F121" t="inlineStr">
        <is>
          <t>SCA</t>
        </is>
      </c>
      <c r="G121" t="n">
        <v>5.4</v>
      </c>
      <c r="H121" t="n">
        <v>0</v>
      </c>
      <c r="I121" t="n">
        <v>0</v>
      </c>
      <c r="J121" t="n">
        <v>0</v>
      </c>
      <c r="K121" t="n">
        <v>0</v>
      </c>
      <c r="L121" t="n">
        <v>0</v>
      </c>
      <c r="M121" t="n">
        <v>0</v>
      </c>
      <c r="N121" t="n">
        <v>0</v>
      </c>
      <c r="O121" t="n">
        <v>0</v>
      </c>
      <c r="P121" t="n">
        <v>0</v>
      </c>
      <c r="Q121" t="n">
        <v>0</v>
      </c>
      <c r="R121" s="2" t="inlineStr"/>
    </row>
    <row r="122" ht="15" customHeight="1">
      <c r="A122" t="inlineStr">
        <is>
          <t>A 28634-2019</t>
        </is>
      </c>
      <c r="B122" s="1" t="n">
        <v>43621</v>
      </c>
      <c r="C122" s="1" t="n">
        <v>45642</v>
      </c>
      <c r="D122" t="inlineStr">
        <is>
          <t>NORRBOTTENS LÄN</t>
        </is>
      </c>
      <c r="E122" t="inlineStr">
        <is>
          <t>GÄLLIVARE</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28633-2019</t>
        </is>
      </c>
      <c r="B123" s="1" t="n">
        <v>43621</v>
      </c>
      <c r="C123" s="1" t="n">
        <v>45642</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28476-2019</t>
        </is>
      </c>
      <c r="B124" s="1" t="n">
        <v>43626</v>
      </c>
      <c r="C124" s="1" t="n">
        <v>45642</v>
      </c>
      <c r="D124" t="inlineStr">
        <is>
          <t>NORRBOTTENS LÄN</t>
        </is>
      </c>
      <c r="E124" t="inlineStr">
        <is>
          <t>GÄLLIVARE</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29148-2019</t>
        </is>
      </c>
      <c r="B125" s="1" t="n">
        <v>43628</v>
      </c>
      <c r="C125" s="1" t="n">
        <v>45642</v>
      </c>
      <c r="D125" t="inlineStr">
        <is>
          <t>NORRBOTTENS LÄN</t>
        </is>
      </c>
      <c r="E125" t="inlineStr">
        <is>
          <t>GÄLLIVARE</t>
        </is>
      </c>
      <c r="F125" t="inlineStr">
        <is>
          <t>SCA</t>
        </is>
      </c>
      <c r="G125" t="n">
        <v>11.3</v>
      </c>
      <c r="H125" t="n">
        <v>0</v>
      </c>
      <c r="I125" t="n">
        <v>0</v>
      </c>
      <c r="J125" t="n">
        <v>0</v>
      </c>
      <c r="K125" t="n">
        <v>0</v>
      </c>
      <c r="L125" t="n">
        <v>0</v>
      </c>
      <c r="M125" t="n">
        <v>0</v>
      </c>
      <c r="N125" t="n">
        <v>0</v>
      </c>
      <c r="O125" t="n">
        <v>0</v>
      </c>
      <c r="P125" t="n">
        <v>0</v>
      </c>
      <c r="Q125" t="n">
        <v>0</v>
      </c>
      <c r="R125" s="2" t="inlineStr"/>
    </row>
    <row r="126" ht="15" customHeight="1">
      <c r="A126" t="inlineStr">
        <is>
          <t>A 29149-2019</t>
        </is>
      </c>
      <c r="B126" s="1" t="n">
        <v>43628</v>
      </c>
      <c r="C126" s="1" t="n">
        <v>45642</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29552-2019</t>
        </is>
      </c>
      <c r="B127" s="1" t="n">
        <v>43630</v>
      </c>
      <c r="C127" s="1" t="n">
        <v>45642</v>
      </c>
      <c r="D127" t="inlineStr">
        <is>
          <t>NORRBOTTENS LÄN</t>
        </is>
      </c>
      <c r="E127" t="inlineStr">
        <is>
          <t>GÄLLIVARE</t>
        </is>
      </c>
      <c r="F127" t="inlineStr">
        <is>
          <t>Sveaskog</t>
        </is>
      </c>
      <c r="G127" t="n">
        <v>73.09999999999999</v>
      </c>
      <c r="H127" t="n">
        <v>0</v>
      </c>
      <c r="I127" t="n">
        <v>0</v>
      </c>
      <c r="J127" t="n">
        <v>0</v>
      </c>
      <c r="K127" t="n">
        <v>0</v>
      </c>
      <c r="L127" t="n">
        <v>0</v>
      </c>
      <c r="M127" t="n">
        <v>0</v>
      </c>
      <c r="N127" t="n">
        <v>0</v>
      </c>
      <c r="O127" t="n">
        <v>0</v>
      </c>
      <c r="P127" t="n">
        <v>0</v>
      </c>
      <c r="Q127" t="n">
        <v>0</v>
      </c>
      <c r="R127" s="2" t="inlineStr"/>
    </row>
    <row r="128" ht="15" customHeight="1">
      <c r="A128" t="inlineStr">
        <is>
          <t>A 30501-2019</t>
        </is>
      </c>
      <c r="B128" s="1" t="n">
        <v>43634</v>
      </c>
      <c r="C128" s="1" t="n">
        <v>45642</v>
      </c>
      <c r="D128" t="inlineStr">
        <is>
          <t>NORRBOTTENS LÄN</t>
        </is>
      </c>
      <c r="E128" t="inlineStr">
        <is>
          <t>GÄLLIVARE</t>
        </is>
      </c>
      <c r="G128" t="n">
        <v>4.5</v>
      </c>
      <c r="H128" t="n">
        <v>0</v>
      </c>
      <c r="I128" t="n">
        <v>0</v>
      </c>
      <c r="J128" t="n">
        <v>0</v>
      </c>
      <c r="K128" t="n">
        <v>0</v>
      </c>
      <c r="L128" t="n">
        <v>0</v>
      </c>
      <c r="M128" t="n">
        <v>0</v>
      </c>
      <c r="N128" t="n">
        <v>0</v>
      </c>
      <c r="O128" t="n">
        <v>0</v>
      </c>
      <c r="P128" t="n">
        <v>0</v>
      </c>
      <c r="Q128" t="n">
        <v>0</v>
      </c>
      <c r="R128" s="2" t="inlineStr"/>
    </row>
    <row r="129" ht="15" customHeight="1">
      <c r="A129" t="inlineStr">
        <is>
          <t>A 30652-2019</t>
        </is>
      </c>
      <c r="B129" s="1" t="n">
        <v>43636</v>
      </c>
      <c r="C129" s="1" t="n">
        <v>45642</v>
      </c>
      <c r="D129" t="inlineStr">
        <is>
          <t>NORRBOTTENS LÄN</t>
        </is>
      </c>
      <c r="E129" t="inlineStr">
        <is>
          <t>GÄLLIVARE</t>
        </is>
      </c>
      <c r="F129" t="inlineStr">
        <is>
          <t>Sveaskog</t>
        </is>
      </c>
      <c r="G129" t="n">
        <v>7.9</v>
      </c>
      <c r="H129" t="n">
        <v>0</v>
      </c>
      <c r="I129" t="n">
        <v>0</v>
      </c>
      <c r="J129" t="n">
        <v>0</v>
      </c>
      <c r="K129" t="n">
        <v>0</v>
      </c>
      <c r="L129" t="n">
        <v>0</v>
      </c>
      <c r="M129" t="n">
        <v>0</v>
      </c>
      <c r="N129" t="n">
        <v>0</v>
      </c>
      <c r="O129" t="n">
        <v>0</v>
      </c>
      <c r="P129" t="n">
        <v>0</v>
      </c>
      <c r="Q129" t="n">
        <v>0</v>
      </c>
      <c r="R129" s="2" t="inlineStr"/>
    </row>
    <row r="130" ht="15" customHeight="1">
      <c r="A130" t="inlineStr">
        <is>
          <t>A 31453-2019</t>
        </is>
      </c>
      <c r="B130" s="1" t="n">
        <v>43640</v>
      </c>
      <c r="C130" s="1" t="n">
        <v>45642</v>
      </c>
      <c r="D130" t="inlineStr">
        <is>
          <t>NORRBOTTENS LÄN</t>
        </is>
      </c>
      <c r="E130" t="inlineStr">
        <is>
          <t>GÄLLIVARE</t>
        </is>
      </c>
      <c r="G130" t="n">
        <v>5.9</v>
      </c>
      <c r="H130" t="n">
        <v>0</v>
      </c>
      <c r="I130" t="n">
        <v>0</v>
      </c>
      <c r="J130" t="n">
        <v>0</v>
      </c>
      <c r="K130" t="n">
        <v>0</v>
      </c>
      <c r="L130" t="n">
        <v>0</v>
      </c>
      <c r="M130" t="n">
        <v>0</v>
      </c>
      <c r="N130" t="n">
        <v>0</v>
      </c>
      <c r="O130" t="n">
        <v>0</v>
      </c>
      <c r="P130" t="n">
        <v>0</v>
      </c>
      <c r="Q130" t="n">
        <v>0</v>
      </c>
      <c r="R130" s="2" t="inlineStr"/>
    </row>
    <row r="131" ht="15" customHeight="1">
      <c r="A131" t="inlineStr">
        <is>
          <t>A 31525-2019</t>
        </is>
      </c>
      <c r="B131" s="1" t="n">
        <v>43641</v>
      </c>
      <c r="C131" s="1" t="n">
        <v>45642</v>
      </c>
      <c r="D131" t="inlineStr">
        <is>
          <t>NORRBOTTENS LÄN</t>
        </is>
      </c>
      <c r="E131" t="inlineStr">
        <is>
          <t>GÄLLIVARE</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31515-2019</t>
        </is>
      </c>
      <c r="B132" s="1" t="n">
        <v>43641</v>
      </c>
      <c r="C132" s="1" t="n">
        <v>45642</v>
      </c>
      <c r="D132" t="inlineStr">
        <is>
          <t>NORRBOTTENS LÄN</t>
        </is>
      </c>
      <c r="E132" t="inlineStr">
        <is>
          <t>GÄLLIVARE</t>
        </is>
      </c>
      <c r="F132" t="inlineStr">
        <is>
          <t>Sveaskog</t>
        </is>
      </c>
      <c r="G132" t="n">
        <v>13.6</v>
      </c>
      <c r="H132" t="n">
        <v>0</v>
      </c>
      <c r="I132" t="n">
        <v>0</v>
      </c>
      <c r="J132" t="n">
        <v>0</v>
      </c>
      <c r="K132" t="n">
        <v>0</v>
      </c>
      <c r="L132" t="n">
        <v>0</v>
      </c>
      <c r="M132" t="n">
        <v>0</v>
      </c>
      <c r="N132" t="n">
        <v>0</v>
      </c>
      <c r="O132" t="n">
        <v>0</v>
      </c>
      <c r="P132" t="n">
        <v>0</v>
      </c>
      <c r="Q132" t="n">
        <v>0</v>
      </c>
      <c r="R132" s="2" t="inlineStr"/>
    </row>
    <row r="133" ht="15" customHeight="1">
      <c r="A133" t="inlineStr">
        <is>
          <t>A 32671-2019</t>
        </is>
      </c>
      <c r="B133" s="1" t="n">
        <v>43647</v>
      </c>
      <c r="C133" s="1" t="n">
        <v>45642</v>
      </c>
      <c r="D133" t="inlineStr">
        <is>
          <t>NORRBOTTENS LÄN</t>
        </is>
      </c>
      <c r="E133" t="inlineStr">
        <is>
          <t>GÄLLIVARE</t>
        </is>
      </c>
      <c r="G133" t="n">
        <v>10</v>
      </c>
      <c r="H133" t="n">
        <v>0</v>
      </c>
      <c r="I133" t="n">
        <v>0</v>
      </c>
      <c r="J133" t="n">
        <v>0</v>
      </c>
      <c r="K133" t="n">
        <v>0</v>
      </c>
      <c r="L133" t="n">
        <v>0</v>
      </c>
      <c r="M133" t="n">
        <v>0</v>
      </c>
      <c r="N133" t="n">
        <v>0</v>
      </c>
      <c r="O133" t="n">
        <v>0</v>
      </c>
      <c r="P133" t="n">
        <v>0</v>
      </c>
      <c r="Q133" t="n">
        <v>0</v>
      </c>
      <c r="R133" s="2" t="inlineStr"/>
    </row>
    <row r="134" ht="15" customHeight="1">
      <c r="A134" t="inlineStr">
        <is>
          <t>A 32549-2019</t>
        </is>
      </c>
      <c r="B134" s="1" t="n">
        <v>43647</v>
      </c>
      <c r="C134" s="1" t="n">
        <v>45642</v>
      </c>
      <c r="D134" t="inlineStr">
        <is>
          <t>NORRBOTTENS LÄN</t>
        </is>
      </c>
      <c r="E134" t="inlineStr">
        <is>
          <t>GÄLLIVARE</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32869-2019</t>
        </is>
      </c>
      <c r="B135" s="1" t="n">
        <v>43648</v>
      </c>
      <c r="C135" s="1" t="n">
        <v>45642</v>
      </c>
      <c r="D135" t="inlineStr">
        <is>
          <t>NORRBOTTENS LÄN</t>
        </is>
      </c>
      <c r="E135" t="inlineStr">
        <is>
          <t>GÄLLIVARE</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34053-2019</t>
        </is>
      </c>
      <c r="B136" s="1" t="n">
        <v>43654</v>
      </c>
      <c r="C136" s="1" t="n">
        <v>45642</v>
      </c>
      <c r="D136" t="inlineStr">
        <is>
          <t>NORRBOTTENS LÄN</t>
        </is>
      </c>
      <c r="E136" t="inlineStr">
        <is>
          <t>GÄLLIVARE</t>
        </is>
      </c>
      <c r="F136" t="inlineStr">
        <is>
          <t>Sveaskog</t>
        </is>
      </c>
      <c r="G136" t="n">
        <v>13.8</v>
      </c>
      <c r="H136" t="n">
        <v>0</v>
      </c>
      <c r="I136" t="n">
        <v>0</v>
      </c>
      <c r="J136" t="n">
        <v>0</v>
      </c>
      <c r="K136" t="n">
        <v>0</v>
      </c>
      <c r="L136" t="n">
        <v>0</v>
      </c>
      <c r="M136" t="n">
        <v>0</v>
      </c>
      <c r="N136" t="n">
        <v>0</v>
      </c>
      <c r="O136" t="n">
        <v>0</v>
      </c>
      <c r="P136" t="n">
        <v>0</v>
      </c>
      <c r="Q136" t="n">
        <v>0</v>
      </c>
      <c r="R136" s="2" t="inlineStr"/>
    </row>
    <row r="137" ht="15" customHeight="1">
      <c r="A137" t="inlineStr">
        <is>
          <t>A 34049-2019</t>
        </is>
      </c>
      <c r="B137" s="1" t="n">
        <v>43654</v>
      </c>
      <c r="C137" s="1" t="n">
        <v>45642</v>
      </c>
      <c r="D137" t="inlineStr">
        <is>
          <t>NORRBOTTENS LÄN</t>
        </is>
      </c>
      <c r="E137" t="inlineStr">
        <is>
          <t>GÄLLIVARE</t>
        </is>
      </c>
      <c r="F137" t="inlineStr">
        <is>
          <t>Sveaskog</t>
        </is>
      </c>
      <c r="G137" t="n">
        <v>10.2</v>
      </c>
      <c r="H137" t="n">
        <v>0</v>
      </c>
      <c r="I137" t="n">
        <v>0</v>
      </c>
      <c r="J137" t="n">
        <v>0</v>
      </c>
      <c r="K137" t="n">
        <v>0</v>
      </c>
      <c r="L137" t="n">
        <v>0</v>
      </c>
      <c r="M137" t="n">
        <v>0</v>
      </c>
      <c r="N137" t="n">
        <v>0</v>
      </c>
      <c r="O137" t="n">
        <v>0</v>
      </c>
      <c r="P137" t="n">
        <v>0</v>
      </c>
      <c r="Q137" t="n">
        <v>0</v>
      </c>
      <c r="R137" s="2" t="inlineStr"/>
    </row>
    <row r="138" ht="15" customHeight="1">
      <c r="A138" t="inlineStr">
        <is>
          <t>A 34255-2019</t>
        </is>
      </c>
      <c r="B138" s="1" t="n">
        <v>43655</v>
      </c>
      <c r="C138" s="1" t="n">
        <v>45642</v>
      </c>
      <c r="D138" t="inlineStr">
        <is>
          <t>NORRBOTTENS LÄN</t>
        </is>
      </c>
      <c r="E138" t="inlineStr">
        <is>
          <t>GÄLLIVARE</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36046-2019</t>
        </is>
      </c>
      <c r="B139" s="1" t="n">
        <v>43668</v>
      </c>
      <c r="C139" s="1" t="n">
        <v>45642</v>
      </c>
      <c r="D139" t="inlineStr">
        <is>
          <t>NORRBOTTENS LÄN</t>
        </is>
      </c>
      <c r="E139" t="inlineStr">
        <is>
          <t>GÄLLIVARE</t>
        </is>
      </c>
      <c r="F139" t="inlineStr">
        <is>
          <t>Sveaskog</t>
        </is>
      </c>
      <c r="G139" t="n">
        <v>14.9</v>
      </c>
      <c r="H139" t="n">
        <v>0</v>
      </c>
      <c r="I139" t="n">
        <v>0</v>
      </c>
      <c r="J139" t="n">
        <v>0</v>
      </c>
      <c r="K139" t="n">
        <v>0</v>
      </c>
      <c r="L139" t="n">
        <v>0</v>
      </c>
      <c r="M139" t="n">
        <v>0</v>
      </c>
      <c r="N139" t="n">
        <v>0</v>
      </c>
      <c r="O139" t="n">
        <v>0</v>
      </c>
      <c r="P139" t="n">
        <v>0</v>
      </c>
      <c r="Q139" t="n">
        <v>0</v>
      </c>
      <c r="R139" s="2" t="inlineStr"/>
    </row>
    <row r="140" ht="15" customHeight="1">
      <c r="A140" t="inlineStr">
        <is>
          <t>A 37123-2019</t>
        </is>
      </c>
      <c r="B140" s="1" t="n">
        <v>43676</v>
      </c>
      <c r="C140" s="1" t="n">
        <v>45642</v>
      </c>
      <c r="D140" t="inlineStr">
        <is>
          <t>NORRBOTTENS LÄN</t>
        </is>
      </c>
      <c r="E140" t="inlineStr">
        <is>
          <t>GÄLLIVARE</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37122-2019</t>
        </is>
      </c>
      <c r="B141" s="1" t="n">
        <v>43676</v>
      </c>
      <c r="C141" s="1" t="n">
        <v>45642</v>
      </c>
      <c r="D141" t="inlineStr">
        <is>
          <t>NORRBOTTENS LÄN</t>
        </is>
      </c>
      <c r="E141" t="inlineStr">
        <is>
          <t>GÄLLIVARE</t>
        </is>
      </c>
      <c r="F141" t="inlineStr">
        <is>
          <t>SCA</t>
        </is>
      </c>
      <c r="G141" t="n">
        <v>3.5</v>
      </c>
      <c r="H141" t="n">
        <v>0</v>
      </c>
      <c r="I141" t="n">
        <v>0</v>
      </c>
      <c r="J141" t="n">
        <v>0</v>
      </c>
      <c r="K141" t="n">
        <v>0</v>
      </c>
      <c r="L141" t="n">
        <v>0</v>
      </c>
      <c r="M141" t="n">
        <v>0</v>
      </c>
      <c r="N141" t="n">
        <v>0</v>
      </c>
      <c r="O141" t="n">
        <v>0</v>
      </c>
      <c r="P141" t="n">
        <v>0</v>
      </c>
      <c r="Q141" t="n">
        <v>0</v>
      </c>
      <c r="R141" s="2" t="inlineStr"/>
    </row>
    <row r="142" ht="15" customHeight="1">
      <c r="A142" t="inlineStr">
        <is>
          <t>A 38322-2019</t>
        </is>
      </c>
      <c r="B142" s="1" t="n">
        <v>43684</v>
      </c>
      <c r="C142" s="1" t="n">
        <v>45642</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39604-2019</t>
        </is>
      </c>
      <c r="B143" s="1" t="n">
        <v>43686</v>
      </c>
      <c r="C143" s="1" t="n">
        <v>45642</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39893-2019</t>
        </is>
      </c>
      <c r="B144" s="1" t="n">
        <v>43689</v>
      </c>
      <c r="C144" s="1" t="n">
        <v>45642</v>
      </c>
      <c r="D144" t="inlineStr">
        <is>
          <t>NORRBOTTENS LÄN</t>
        </is>
      </c>
      <c r="E144" t="inlineStr">
        <is>
          <t>GÄLLIVARE</t>
        </is>
      </c>
      <c r="G144" t="n">
        <v>7</v>
      </c>
      <c r="H144" t="n">
        <v>0</v>
      </c>
      <c r="I144" t="n">
        <v>0</v>
      </c>
      <c r="J144" t="n">
        <v>0</v>
      </c>
      <c r="K144" t="n">
        <v>0</v>
      </c>
      <c r="L144" t="n">
        <v>0</v>
      </c>
      <c r="M144" t="n">
        <v>0</v>
      </c>
      <c r="N144" t="n">
        <v>0</v>
      </c>
      <c r="O144" t="n">
        <v>0</v>
      </c>
      <c r="P144" t="n">
        <v>0</v>
      </c>
      <c r="Q144" t="n">
        <v>0</v>
      </c>
      <c r="R144" s="2" t="inlineStr"/>
    </row>
    <row r="145" ht="15" customHeight="1">
      <c r="A145" t="inlineStr">
        <is>
          <t>A 39907-2019</t>
        </is>
      </c>
      <c r="B145" s="1" t="n">
        <v>43689</v>
      </c>
      <c r="C145" s="1" t="n">
        <v>45642</v>
      </c>
      <c r="D145" t="inlineStr">
        <is>
          <t>NORRBOTTENS LÄN</t>
        </is>
      </c>
      <c r="E145" t="inlineStr">
        <is>
          <t>GÄLLIVARE</t>
        </is>
      </c>
      <c r="G145" t="n">
        <v>5.8</v>
      </c>
      <c r="H145" t="n">
        <v>0</v>
      </c>
      <c r="I145" t="n">
        <v>0</v>
      </c>
      <c r="J145" t="n">
        <v>0</v>
      </c>
      <c r="K145" t="n">
        <v>0</v>
      </c>
      <c r="L145" t="n">
        <v>0</v>
      </c>
      <c r="M145" t="n">
        <v>0</v>
      </c>
      <c r="N145" t="n">
        <v>0</v>
      </c>
      <c r="O145" t="n">
        <v>0</v>
      </c>
      <c r="P145" t="n">
        <v>0</v>
      </c>
      <c r="Q145" t="n">
        <v>0</v>
      </c>
      <c r="R145" s="2" t="inlineStr"/>
    </row>
    <row r="146" ht="15" customHeight="1">
      <c r="A146" t="inlineStr">
        <is>
          <t>A 40435-2019</t>
        </is>
      </c>
      <c r="B146" s="1" t="n">
        <v>43690</v>
      </c>
      <c r="C146" s="1" t="n">
        <v>45642</v>
      </c>
      <c r="D146" t="inlineStr">
        <is>
          <t>NORRBOTTENS LÄN</t>
        </is>
      </c>
      <c r="E146" t="inlineStr">
        <is>
          <t>GÄLLIVARE</t>
        </is>
      </c>
      <c r="G146" t="n">
        <v>3.2</v>
      </c>
      <c r="H146" t="n">
        <v>0</v>
      </c>
      <c r="I146" t="n">
        <v>0</v>
      </c>
      <c r="J146" t="n">
        <v>0</v>
      </c>
      <c r="K146" t="n">
        <v>0</v>
      </c>
      <c r="L146" t="n">
        <v>0</v>
      </c>
      <c r="M146" t="n">
        <v>0</v>
      </c>
      <c r="N146" t="n">
        <v>0</v>
      </c>
      <c r="O146" t="n">
        <v>0</v>
      </c>
      <c r="P146" t="n">
        <v>0</v>
      </c>
      <c r="Q146" t="n">
        <v>0</v>
      </c>
      <c r="R146" s="2" t="inlineStr"/>
    </row>
    <row r="147" ht="15" customHeight="1">
      <c r="A147" t="inlineStr">
        <is>
          <t>A 39733-2019</t>
        </is>
      </c>
      <c r="B147" s="1" t="n">
        <v>43691</v>
      </c>
      <c r="C147" s="1" t="n">
        <v>45642</v>
      </c>
      <c r="D147" t="inlineStr">
        <is>
          <t>NORRBOTTENS LÄN</t>
        </is>
      </c>
      <c r="E147" t="inlineStr">
        <is>
          <t>GÄLLIVARE</t>
        </is>
      </c>
      <c r="G147" t="n">
        <v>10.2</v>
      </c>
      <c r="H147" t="n">
        <v>0</v>
      </c>
      <c r="I147" t="n">
        <v>0</v>
      </c>
      <c r="J147" t="n">
        <v>0</v>
      </c>
      <c r="K147" t="n">
        <v>0</v>
      </c>
      <c r="L147" t="n">
        <v>0</v>
      </c>
      <c r="M147" t="n">
        <v>0</v>
      </c>
      <c r="N147" t="n">
        <v>0</v>
      </c>
      <c r="O147" t="n">
        <v>0</v>
      </c>
      <c r="P147" t="n">
        <v>0</v>
      </c>
      <c r="Q147" t="n">
        <v>0</v>
      </c>
      <c r="R147" s="2" t="inlineStr"/>
    </row>
    <row r="148" ht="15" customHeight="1">
      <c r="A148" t="inlineStr">
        <is>
          <t>A 40147-2019</t>
        </is>
      </c>
      <c r="B148" s="1" t="n">
        <v>43693</v>
      </c>
      <c r="C148" s="1" t="n">
        <v>45642</v>
      </c>
      <c r="D148" t="inlineStr">
        <is>
          <t>NORRBOTTENS LÄN</t>
        </is>
      </c>
      <c r="E148" t="inlineStr">
        <is>
          <t>GÄLLIVARE</t>
        </is>
      </c>
      <c r="F148" t="inlineStr">
        <is>
          <t>Sveaskog</t>
        </is>
      </c>
      <c r="G148" t="n">
        <v>6.5</v>
      </c>
      <c r="H148" t="n">
        <v>0</v>
      </c>
      <c r="I148" t="n">
        <v>0</v>
      </c>
      <c r="J148" t="n">
        <v>0</v>
      </c>
      <c r="K148" t="n">
        <v>0</v>
      </c>
      <c r="L148" t="n">
        <v>0</v>
      </c>
      <c r="M148" t="n">
        <v>0</v>
      </c>
      <c r="N148" t="n">
        <v>0</v>
      </c>
      <c r="O148" t="n">
        <v>0</v>
      </c>
      <c r="P148" t="n">
        <v>0</v>
      </c>
      <c r="Q148" t="n">
        <v>0</v>
      </c>
      <c r="R148" s="2" t="inlineStr"/>
    </row>
    <row r="149" ht="15" customHeight="1">
      <c r="A149" t="inlineStr">
        <is>
          <t>A 42081-2019</t>
        </is>
      </c>
      <c r="B149" s="1" t="n">
        <v>43700</v>
      </c>
      <c r="C149" s="1" t="n">
        <v>45642</v>
      </c>
      <c r="D149" t="inlineStr">
        <is>
          <t>NORRBOTTENS LÄN</t>
        </is>
      </c>
      <c r="E149" t="inlineStr">
        <is>
          <t>GÄLLIVARE</t>
        </is>
      </c>
      <c r="F149" t="inlineStr">
        <is>
          <t>SCA</t>
        </is>
      </c>
      <c r="G149" t="n">
        <v>15.2</v>
      </c>
      <c r="H149" t="n">
        <v>0</v>
      </c>
      <c r="I149" t="n">
        <v>0</v>
      </c>
      <c r="J149" t="n">
        <v>0</v>
      </c>
      <c r="K149" t="n">
        <v>0</v>
      </c>
      <c r="L149" t="n">
        <v>0</v>
      </c>
      <c r="M149" t="n">
        <v>0</v>
      </c>
      <c r="N149" t="n">
        <v>0</v>
      </c>
      <c r="O149" t="n">
        <v>0</v>
      </c>
      <c r="P149" t="n">
        <v>0</v>
      </c>
      <c r="Q149" t="n">
        <v>0</v>
      </c>
      <c r="R149" s="2" t="inlineStr"/>
    </row>
    <row r="150" ht="15" customHeight="1">
      <c r="A150" t="inlineStr">
        <is>
          <t>A 43256-2019</t>
        </is>
      </c>
      <c r="B150" s="1" t="n">
        <v>43703</v>
      </c>
      <c r="C150" s="1" t="n">
        <v>45642</v>
      </c>
      <c r="D150" t="inlineStr">
        <is>
          <t>NORRBOTTENS LÄN</t>
        </is>
      </c>
      <c r="E150" t="inlineStr">
        <is>
          <t>GÄLLIVARE</t>
        </is>
      </c>
      <c r="F150" t="inlineStr">
        <is>
          <t>Allmännings- och besparingsskogar</t>
        </is>
      </c>
      <c r="G150" t="n">
        <v>26.8</v>
      </c>
      <c r="H150" t="n">
        <v>0</v>
      </c>
      <c r="I150" t="n">
        <v>0</v>
      </c>
      <c r="J150" t="n">
        <v>0</v>
      </c>
      <c r="K150" t="n">
        <v>0</v>
      </c>
      <c r="L150" t="n">
        <v>0</v>
      </c>
      <c r="M150" t="n">
        <v>0</v>
      </c>
      <c r="N150" t="n">
        <v>0</v>
      </c>
      <c r="O150" t="n">
        <v>0</v>
      </c>
      <c r="P150" t="n">
        <v>0</v>
      </c>
      <c r="Q150" t="n">
        <v>0</v>
      </c>
      <c r="R150" s="2" t="inlineStr"/>
    </row>
    <row r="151" ht="15" customHeight="1">
      <c r="A151" t="inlineStr">
        <is>
          <t>A 42505-2019</t>
        </is>
      </c>
      <c r="B151" s="1" t="n">
        <v>43704</v>
      </c>
      <c r="C151" s="1" t="n">
        <v>45642</v>
      </c>
      <c r="D151" t="inlineStr">
        <is>
          <t>NORRBOTTENS LÄN</t>
        </is>
      </c>
      <c r="E151" t="inlineStr">
        <is>
          <t>GÄLLIVARE</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42513-2019</t>
        </is>
      </c>
      <c r="B152" s="1" t="n">
        <v>43704</v>
      </c>
      <c r="C152" s="1" t="n">
        <v>45642</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44239-2019</t>
        </is>
      </c>
      <c r="B153" s="1" t="n">
        <v>43704</v>
      </c>
      <c r="C153" s="1" t="n">
        <v>45642</v>
      </c>
      <c r="D153" t="inlineStr">
        <is>
          <t>NORRBOTTENS LÄN</t>
        </is>
      </c>
      <c r="E153" t="inlineStr">
        <is>
          <t>GÄLLIVARE</t>
        </is>
      </c>
      <c r="G153" t="n">
        <v>0.4</v>
      </c>
      <c r="H153" t="n">
        <v>0</v>
      </c>
      <c r="I153" t="n">
        <v>0</v>
      </c>
      <c r="J153" t="n">
        <v>0</v>
      </c>
      <c r="K153" t="n">
        <v>0</v>
      </c>
      <c r="L153" t="n">
        <v>0</v>
      </c>
      <c r="M153" t="n">
        <v>0</v>
      </c>
      <c r="N153" t="n">
        <v>0</v>
      </c>
      <c r="O153" t="n">
        <v>0</v>
      </c>
      <c r="P153" t="n">
        <v>0</v>
      </c>
      <c r="Q153" t="n">
        <v>0</v>
      </c>
      <c r="R153" s="2" t="inlineStr"/>
    </row>
    <row r="154" ht="15" customHeight="1">
      <c r="A154" t="inlineStr">
        <is>
          <t>A 45655-2019</t>
        </is>
      </c>
      <c r="B154" s="1" t="n">
        <v>43704</v>
      </c>
      <c r="C154" s="1" t="n">
        <v>45642</v>
      </c>
      <c r="D154" t="inlineStr">
        <is>
          <t>NORRBOTTENS LÄN</t>
        </is>
      </c>
      <c r="E154" t="inlineStr">
        <is>
          <t>GÄLLIVARE</t>
        </is>
      </c>
      <c r="G154" t="n">
        <v>0.9</v>
      </c>
      <c r="H154" t="n">
        <v>0</v>
      </c>
      <c r="I154" t="n">
        <v>0</v>
      </c>
      <c r="J154" t="n">
        <v>0</v>
      </c>
      <c r="K154" t="n">
        <v>0</v>
      </c>
      <c r="L154" t="n">
        <v>0</v>
      </c>
      <c r="M154" t="n">
        <v>0</v>
      </c>
      <c r="N154" t="n">
        <v>0</v>
      </c>
      <c r="O154" t="n">
        <v>0</v>
      </c>
      <c r="P154" t="n">
        <v>0</v>
      </c>
      <c r="Q154" t="n">
        <v>0</v>
      </c>
      <c r="R154" s="2" t="inlineStr"/>
    </row>
    <row r="155" ht="15" customHeight="1">
      <c r="A155" t="inlineStr">
        <is>
          <t>A 45652-2019</t>
        </is>
      </c>
      <c r="B155" s="1" t="n">
        <v>43704</v>
      </c>
      <c r="C155" s="1" t="n">
        <v>45642</v>
      </c>
      <c r="D155" t="inlineStr">
        <is>
          <t>NORRBOTTENS LÄN</t>
        </is>
      </c>
      <c r="E155" t="inlineStr">
        <is>
          <t>GÄLLIVARE</t>
        </is>
      </c>
      <c r="G155" t="n">
        <v>1</v>
      </c>
      <c r="H155" t="n">
        <v>0</v>
      </c>
      <c r="I155" t="n">
        <v>0</v>
      </c>
      <c r="J155" t="n">
        <v>0</v>
      </c>
      <c r="K155" t="n">
        <v>0</v>
      </c>
      <c r="L155" t="n">
        <v>0</v>
      </c>
      <c r="M155" t="n">
        <v>0</v>
      </c>
      <c r="N155" t="n">
        <v>0</v>
      </c>
      <c r="O155" t="n">
        <v>0</v>
      </c>
      <c r="P155" t="n">
        <v>0</v>
      </c>
      <c r="Q155" t="n">
        <v>0</v>
      </c>
      <c r="R155" s="2" t="inlineStr"/>
    </row>
    <row r="156" ht="15" customHeight="1">
      <c r="A156" t="inlineStr">
        <is>
          <t>A 45656-2019</t>
        </is>
      </c>
      <c r="B156" s="1" t="n">
        <v>43704</v>
      </c>
      <c r="C156" s="1" t="n">
        <v>45642</v>
      </c>
      <c r="D156" t="inlineStr">
        <is>
          <t>NORRBOTTENS LÄN</t>
        </is>
      </c>
      <c r="E156" t="inlineStr">
        <is>
          <t>GÄLLIVARE</t>
        </is>
      </c>
      <c r="G156" t="n">
        <v>1.5</v>
      </c>
      <c r="H156" t="n">
        <v>0</v>
      </c>
      <c r="I156" t="n">
        <v>0</v>
      </c>
      <c r="J156" t="n">
        <v>0</v>
      </c>
      <c r="K156" t="n">
        <v>0</v>
      </c>
      <c r="L156" t="n">
        <v>0</v>
      </c>
      <c r="M156" t="n">
        <v>0</v>
      </c>
      <c r="N156" t="n">
        <v>0</v>
      </c>
      <c r="O156" t="n">
        <v>0</v>
      </c>
      <c r="P156" t="n">
        <v>0</v>
      </c>
      <c r="Q156" t="n">
        <v>0</v>
      </c>
      <c r="R156" s="2" t="inlineStr"/>
    </row>
    <row r="157" ht="15" customHeight="1">
      <c r="A157" t="inlineStr">
        <is>
          <t>A 43505-2019</t>
        </is>
      </c>
      <c r="B157" s="1" t="n">
        <v>43706</v>
      </c>
      <c r="C157" s="1" t="n">
        <v>45642</v>
      </c>
      <c r="D157" t="inlineStr">
        <is>
          <t>NORRBOTTENS LÄN</t>
        </is>
      </c>
      <c r="E157" t="inlineStr">
        <is>
          <t>GÄLLIVARE</t>
        </is>
      </c>
      <c r="G157" t="n">
        <v>60.2</v>
      </c>
      <c r="H157" t="n">
        <v>0</v>
      </c>
      <c r="I157" t="n">
        <v>0</v>
      </c>
      <c r="J157" t="n">
        <v>0</v>
      </c>
      <c r="K157" t="n">
        <v>0</v>
      </c>
      <c r="L157" t="n">
        <v>0</v>
      </c>
      <c r="M157" t="n">
        <v>0</v>
      </c>
      <c r="N157" t="n">
        <v>0</v>
      </c>
      <c r="O157" t="n">
        <v>0</v>
      </c>
      <c r="P157" t="n">
        <v>0</v>
      </c>
      <c r="Q157" t="n">
        <v>0</v>
      </c>
      <c r="R157" s="2" t="inlineStr"/>
    </row>
    <row r="158" ht="15" customHeight="1">
      <c r="A158" t="inlineStr">
        <is>
          <t>A 43597-2019</t>
        </is>
      </c>
      <c r="B158" s="1" t="n">
        <v>43706</v>
      </c>
      <c r="C158" s="1" t="n">
        <v>45642</v>
      </c>
      <c r="D158" t="inlineStr">
        <is>
          <t>NORRBOTTENS LÄN</t>
        </is>
      </c>
      <c r="E158" t="inlineStr">
        <is>
          <t>GÄLLIVARE</t>
        </is>
      </c>
      <c r="F158" t="inlineStr">
        <is>
          <t>SCA</t>
        </is>
      </c>
      <c r="G158" t="n">
        <v>17.7</v>
      </c>
      <c r="H158" t="n">
        <v>0</v>
      </c>
      <c r="I158" t="n">
        <v>0</v>
      </c>
      <c r="J158" t="n">
        <v>0</v>
      </c>
      <c r="K158" t="n">
        <v>0</v>
      </c>
      <c r="L158" t="n">
        <v>0</v>
      </c>
      <c r="M158" t="n">
        <v>0</v>
      </c>
      <c r="N158" t="n">
        <v>0</v>
      </c>
      <c r="O158" t="n">
        <v>0</v>
      </c>
      <c r="P158" t="n">
        <v>0</v>
      </c>
      <c r="Q158" t="n">
        <v>0</v>
      </c>
      <c r="R158" s="2" t="inlineStr"/>
    </row>
    <row r="159" ht="15" customHeight="1">
      <c r="A159" t="inlineStr">
        <is>
          <t>A 43596-2019</t>
        </is>
      </c>
      <c r="B159" s="1" t="n">
        <v>43706</v>
      </c>
      <c r="C159" s="1" t="n">
        <v>45642</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46662-2019</t>
        </is>
      </c>
      <c r="B160" s="1" t="n">
        <v>43718</v>
      </c>
      <c r="C160" s="1" t="n">
        <v>45642</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47093-2019</t>
        </is>
      </c>
      <c r="B161" s="1" t="n">
        <v>43720</v>
      </c>
      <c r="C161" s="1" t="n">
        <v>45642</v>
      </c>
      <c r="D161" t="inlineStr">
        <is>
          <t>NORRBOTTENS LÄN</t>
        </is>
      </c>
      <c r="E161" t="inlineStr">
        <is>
          <t>GÄLLIVARE</t>
        </is>
      </c>
      <c r="F161" t="inlineStr">
        <is>
          <t>SCA</t>
        </is>
      </c>
      <c r="G161" t="n">
        <v>20.4</v>
      </c>
      <c r="H161" t="n">
        <v>0</v>
      </c>
      <c r="I161" t="n">
        <v>0</v>
      </c>
      <c r="J161" t="n">
        <v>0</v>
      </c>
      <c r="K161" t="n">
        <v>0</v>
      </c>
      <c r="L161" t="n">
        <v>0</v>
      </c>
      <c r="M161" t="n">
        <v>0</v>
      </c>
      <c r="N161" t="n">
        <v>0</v>
      </c>
      <c r="O161" t="n">
        <v>0</v>
      </c>
      <c r="P161" t="n">
        <v>0</v>
      </c>
      <c r="Q161" t="n">
        <v>0</v>
      </c>
      <c r="R161" s="2" t="inlineStr"/>
    </row>
    <row r="162" ht="15" customHeight="1">
      <c r="A162" t="inlineStr">
        <is>
          <t>A 47637-2019</t>
        </is>
      </c>
      <c r="B162" s="1" t="n">
        <v>43724</v>
      </c>
      <c r="C162" s="1" t="n">
        <v>45642</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47761-2019</t>
        </is>
      </c>
      <c r="B163" s="1" t="n">
        <v>43724</v>
      </c>
      <c r="C163" s="1" t="n">
        <v>45642</v>
      </c>
      <c r="D163" t="inlineStr">
        <is>
          <t>NORRBOTTENS LÄN</t>
        </is>
      </c>
      <c r="E163" t="inlineStr">
        <is>
          <t>GÄLLIVARE</t>
        </is>
      </c>
      <c r="F163" t="inlineStr">
        <is>
          <t>Sveaskog</t>
        </is>
      </c>
      <c r="G163" t="n">
        <v>13.1</v>
      </c>
      <c r="H163" t="n">
        <v>0</v>
      </c>
      <c r="I163" t="n">
        <v>0</v>
      </c>
      <c r="J163" t="n">
        <v>0</v>
      </c>
      <c r="K163" t="n">
        <v>0</v>
      </c>
      <c r="L163" t="n">
        <v>0</v>
      </c>
      <c r="M163" t="n">
        <v>0</v>
      </c>
      <c r="N163" t="n">
        <v>0</v>
      </c>
      <c r="O163" t="n">
        <v>0</v>
      </c>
      <c r="P163" t="n">
        <v>0</v>
      </c>
      <c r="Q163" t="n">
        <v>0</v>
      </c>
      <c r="R163" s="2" t="inlineStr"/>
    </row>
    <row r="164" ht="15" customHeight="1">
      <c r="A164" t="inlineStr">
        <is>
          <t>A 47625-2019</t>
        </is>
      </c>
      <c r="B164" s="1" t="n">
        <v>43724</v>
      </c>
      <c r="C164" s="1" t="n">
        <v>45642</v>
      </c>
      <c r="D164" t="inlineStr">
        <is>
          <t>NORRBOTTENS LÄN</t>
        </is>
      </c>
      <c r="E164" t="inlineStr">
        <is>
          <t>GÄLLIVARE</t>
        </is>
      </c>
      <c r="G164" t="n">
        <v>6.4</v>
      </c>
      <c r="H164" t="n">
        <v>0</v>
      </c>
      <c r="I164" t="n">
        <v>0</v>
      </c>
      <c r="J164" t="n">
        <v>0</v>
      </c>
      <c r="K164" t="n">
        <v>0</v>
      </c>
      <c r="L164" t="n">
        <v>0</v>
      </c>
      <c r="M164" t="n">
        <v>0</v>
      </c>
      <c r="N164" t="n">
        <v>0</v>
      </c>
      <c r="O164" t="n">
        <v>0</v>
      </c>
      <c r="P164" t="n">
        <v>0</v>
      </c>
      <c r="Q164" t="n">
        <v>0</v>
      </c>
      <c r="R164" s="2" t="inlineStr"/>
    </row>
    <row r="165" ht="15" customHeight="1">
      <c r="A165" t="inlineStr">
        <is>
          <t>A 47635-2019</t>
        </is>
      </c>
      <c r="B165" s="1" t="n">
        <v>43724</v>
      </c>
      <c r="C165" s="1" t="n">
        <v>45642</v>
      </c>
      <c r="D165" t="inlineStr">
        <is>
          <t>NORRBOTTENS LÄN</t>
        </is>
      </c>
      <c r="E165" t="inlineStr">
        <is>
          <t>GÄLLIVARE</t>
        </is>
      </c>
      <c r="G165" t="n">
        <v>6.2</v>
      </c>
      <c r="H165" t="n">
        <v>0</v>
      </c>
      <c r="I165" t="n">
        <v>0</v>
      </c>
      <c r="J165" t="n">
        <v>0</v>
      </c>
      <c r="K165" t="n">
        <v>0</v>
      </c>
      <c r="L165" t="n">
        <v>0</v>
      </c>
      <c r="M165" t="n">
        <v>0</v>
      </c>
      <c r="N165" t="n">
        <v>0</v>
      </c>
      <c r="O165" t="n">
        <v>0</v>
      </c>
      <c r="P165" t="n">
        <v>0</v>
      </c>
      <c r="Q165" t="n">
        <v>0</v>
      </c>
      <c r="R165" s="2" t="inlineStr"/>
    </row>
    <row r="166" ht="15" customHeight="1">
      <c r="A166" t="inlineStr">
        <is>
          <t>A 48094-2019</t>
        </is>
      </c>
      <c r="B166" s="1" t="n">
        <v>43725</v>
      </c>
      <c r="C166" s="1" t="n">
        <v>45642</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50126-2019</t>
        </is>
      </c>
      <c r="B167" s="1" t="n">
        <v>43734</v>
      </c>
      <c r="C167" s="1" t="n">
        <v>45642</v>
      </c>
      <c r="D167" t="inlineStr">
        <is>
          <t>NORRBOTTENS LÄN</t>
        </is>
      </c>
      <c r="E167" t="inlineStr">
        <is>
          <t>GÄLLIVARE</t>
        </is>
      </c>
      <c r="F167" t="inlineStr">
        <is>
          <t>Sveaskog</t>
        </is>
      </c>
      <c r="G167" t="n">
        <v>9</v>
      </c>
      <c r="H167" t="n">
        <v>0</v>
      </c>
      <c r="I167" t="n">
        <v>0</v>
      </c>
      <c r="J167" t="n">
        <v>0</v>
      </c>
      <c r="K167" t="n">
        <v>0</v>
      </c>
      <c r="L167" t="n">
        <v>0</v>
      </c>
      <c r="M167" t="n">
        <v>0</v>
      </c>
      <c r="N167" t="n">
        <v>0</v>
      </c>
      <c r="O167" t="n">
        <v>0</v>
      </c>
      <c r="P167" t="n">
        <v>0</v>
      </c>
      <c r="Q167" t="n">
        <v>0</v>
      </c>
      <c r="R167" s="2" t="inlineStr"/>
    </row>
    <row r="168" ht="15" customHeight="1">
      <c r="A168" t="inlineStr">
        <is>
          <t>A 50123-2019</t>
        </is>
      </c>
      <c r="B168" s="1" t="n">
        <v>43734</v>
      </c>
      <c r="C168" s="1" t="n">
        <v>45642</v>
      </c>
      <c r="D168" t="inlineStr">
        <is>
          <t>NORRBOTTENS LÄN</t>
        </is>
      </c>
      <c r="E168" t="inlineStr">
        <is>
          <t>GÄLLIVARE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52026-2019</t>
        </is>
      </c>
      <c r="B169" s="1" t="n">
        <v>43734</v>
      </c>
      <c r="C169" s="1" t="n">
        <v>45642</v>
      </c>
      <c r="D169" t="inlineStr">
        <is>
          <t>NORRBOTTENS LÄN</t>
        </is>
      </c>
      <c r="E169" t="inlineStr">
        <is>
          <t>GÄLLIVARE</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50120-2019</t>
        </is>
      </c>
      <c r="B170" s="1" t="n">
        <v>43734</v>
      </c>
      <c r="C170" s="1" t="n">
        <v>45642</v>
      </c>
      <c r="D170" t="inlineStr">
        <is>
          <t>NORRBOTTENS LÄN</t>
        </is>
      </c>
      <c r="E170" t="inlineStr">
        <is>
          <t>GÄLLIVARE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52748-2019</t>
        </is>
      </c>
      <c r="B171" s="1" t="n">
        <v>43739</v>
      </c>
      <c r="C171" s="1" t="n">
        <v>45642</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51514-2019</t>
        </is>
      </c>
      <c r="B172" s="1" t="n">
        <v>43740</v>
      </c>
      <c r="C172" s="1" t="n">
        <v>45642</v>
      </c>
      <c r="D172" t="inlineStr">
        <is>
          <t>NORRBOTTENS LÄN</t>
        </is>
      </c>
      <c r="E172" t="inlineStr">
        <is>
          <t>GÄLLIVARE</t>
        </is>
      </c>
      <c r="F172" t="inlineStr">
        <is>
          <t>Sveaskog</t>
        </is>
      </c>
      <c r="G172" t="n">
        <v>11.8</v>
      </c>
      <c r="H172" t="n">
        <v>0</v>
      </c>
      <c r="I172" t="n">
        <v>0</v>
      </c>
      <c r="J172" t="n">
        <v>0</v>
      </c>
      <c r="K172" t="n">
        <v>0</v>
      </c>
      <c r="L172" t="n">
        <v>0</v>
      </c>
      <c r="M172" t="n">
        <v>0</v>
      </c>
      <c r="N172" t="n">
        <v>0</v>
      </c>
      <c r="O172" t="n">
        <v>0</v>
      </c>
      <c r="P172" t="n">
        <v>0</v>
      </c>
      <c r="Q172" t="n">
        <v>0</v>
      </c>
      <c r="R172" s="2" t="inlineStr"/>
    </row>
    <row r="173" ht="15" customHeight="1">
      <c r="A173" t="inlineStr">
        <is>
          <t>A 53201-2019</t>
        </is>
      </c>
      <c r="B173" s="1" t="n">
        <v>43748</v>
      </c>
      <c r="C173" s="1" t="n">
        <v>45642</v>
      </c>
      <c r="D173" t="inlineStr">
        <is>
          <t>NORRBOTTENS LÄN</t>
        </is>
      </c>
      <c r="E173" t="inlineStr">
        <is>
          <t>GÄLLIVARE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53922-2019</t>
        </is>
      </c>
      <c r="B174" s="1" t="n">
        <v>43752</v>
      </c>
      <c r="C174" s="1" t="n">
        <v>45642</v>
      </c>
      <c r="D174" t="inlineStr">
        <is>
          <t>NORRBOTTENS LÄN</t>
        </is>
      </c>
      <c r="E174" t="inlineStr">
        <is>
          <t>GÄLLIVARE</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58826-2019</t>
        </is>
      </c>
      <c r="B175" s="1" t="n">
        <v>43752</v>
      </c>
      <c r="C175" s="1" t="n">
        <v>45642</v>
      </c>
      <c r="D175" t="inlineStr">
        <is>
          <t>NORRBOTTENS LÄN</t>
        </is>
      </c>
      <c r="E175" t="inlineStr">
        <is>
          <t>GÄLLIVARE</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54373-2019</t>
        </is>
      </c>
      <c r="B176" s="1" t="n">
        <v>43753</v>
      </c>
      <c r="C176" s="1" t="n">
        <v>45642</v>
      </c>
      <c r="D176" t="inlineStr">
        <is>
          <t>NORRBOTTENS LÄN</t>
        </is>
      </c>
      <c r="E176" t="inlineStr">
        <is>
          <t>GÄLLIVARE</t>
        </is>
      </c>
      <c r="F176" t="inlineStr">
        <is>
          <t>SCA</t>
        </is>
      </c>
      <c r="G176" t="n">
        <v>6.8</v>
      </c>
      <c r="H176" t="n">
        <v>0</v>
      </c>
      <c r="I176" t="n">
        <v>0</v>
      </c>
      <c r="J176" t="n">
        <v>0</v>
      </c>
      <c r="K176" t="n">
        <v>0</v>
      </c>
      <c r="L176" t="n">
        <v>0</v>
      </c>
      <c r="M176" t="n">
        <v>0</v>
      </c>
      <c r="N176" t="n">
        <v>0</v>
      </c>
      <c r="O176" t="n">
        <v>0</v>
      </c>
      <c r="P176" t="n">
        <v>0</v>
      </c>
      <c r="Q176" t="n">
        <v>0</v>
      </c>
      <c r="R176" s="2" t="inlineStr"/>
    </row>
    <row r="177" ht="15" customHeight="1">
      <c r="A177" t="inlineStr">
        <is>
          <t>A 54457-2019</t>
        </is>
      </c>
      <c r="B177" s="1" t="n">
        <v>43754</v>
      </c>
      <c r="C177" s="1" t="n">
        <v>45642</v>
      </c>
      <c r="D177" t="inlineStr">
        <is>
          <t>NORRBOTTENS LÄN</t>
        </is>
      </c>
      <c r="E177" t="inlineStr">
        <is>
          <t>GÄLLIVARE</t>
        </is>
      </c>
      <c r="F177" t="inlineStr">
        <is>
          <t>Sveaskog</t>
        </is>
      </c>
      <c r="G177" t="n">
        <v>39.5</v>
      </c>
      <c r="H177" t="n">
        <v>0</v>
      </c>
      <c r="I177" t="n">
        <v>0</v>
      </c>
      <c r="J177" t="n">
        <v>0</v>
      </c>
      <c r="K177" t="n">
        <v>0</v>
      </c>
      <c r="L177" t="n">
        <v>0</v>
      </c>
      <c r="M177" t="n">
        <v>0</v>
      </c>
      <c r="N177" t="n">
        <v>0</v>
      </c>
      <c r="O177" t="n">
        <v>0</v>
      </c>
      <c r="P177" t="n">
        <v>0</v>
      </c>
      <c r="Q177" t="n">
        <v>0</v>
      </c>
      <c r="R177" s="2" t="inlineStr"/>
    </row>
    <row r="178" ht="15" customHeight="1">
      <c r="A178" t="inlineStr">
        <is>
          <t>A 54476-2019</t>
        </is>
      </c>
      <c r="B178" s="1" t="n">
        <v>43754</v>
      </c>
      <c r="C178" s="1" t="n">
        <v>45642</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54525-2019</t>
        </is>
      </c>
      <c r="B179" s="1" t="n">
        <v>43754</v>
      </c>
      <c r="C179" s="1" t="n">
        <v>45642</v>
      </c>
      <c r="D179" t="inlineStr">
        <is>
          <t>NORRBOTTENS LÄN</t>
        </is>
      </c>
      <c r="E179" t="inlineStr">
        <is>
          <t>GÄLLIVARE</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55027-2019</t>
        </is>
      </c>
      <c r="B180" s="1" t="n">
        <v>43755</v>
      </c>
      <c r="C180" s="1" t="n">
        <v>45642</v>
      </c>
      <c r="D180" t="inlineStr">
        <is>
          <t>NORRBOTTENS LÄN</t>
        </is>
      </c>
      <c r="E180" t="inlineStr">
        <is>
          <t>GÄLLIVARE</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57322-2019</t>
        </is>
      </c>
      <c r="B181" s="1" t="n">
        <v>43759</v>
      </c>
      <c r="C181" s="1" t="n">
        <v>45642</v>
      </c>
      <c r="D181" t="inlineStr">
        <is>
          <t>NORRBOTTENS LÄN</t>
        </is>
      </c>
      <c r="E181" t="inlineStr">
        <is>
          <t>GÄLLIVARE</t>
        </is>
      </c>
      <c r="G181" t="n">
        <v>14.1</v>
      </c>
      <c r="H181" t="n">
        <v>0</v>
      </c>
      <c r="I181" t="n">
        <v>0</v>
      </c>
      <c r="J181" t="n">
        <v>0</v>
      </c>
      <c r="K181" t="n">
        <v>0</v>
      </c>
      <c r="L181" t="n">
        <v>0</v>
      </c>
      <c r="M181" t="n">
        <v>0</v>
      </c>
      <c r="N181" t="n">
        <v>0</v>
      </c>
      <c r="O181" t="n">
        <v>0</v>
      </c>
      <c r="P181" t="n">
        <v>0</v>
      </c>
      <c r="Q181" t="n">
        <v>0</v>
      </c>
      <c r="R181" s="2" t="inlineStr"/>
    </row>
    <row r="182" ht="15" customHeight="1">
      <c r="A182" t="inlineStr">
        <is>
          <t>A 57315-2019</t>
        </is>
      </c>
      <c r="B182" s="1" t="n">
        <v>43759</v>
      </c>
      <c r="C182" s="1" t="n">
        <v>45642</v>
      </c>
      <c r="D182" t="inlineStr">
        <is>
          <t>NORRBOTTENS LÄN</t>
        </is>
      </c>
      <c r="E182" t="inlineStr">
        <is>
          <t>GÄLLIVARE</t>
        </is>
      </c>
      <c r="G182" t="n">
        <v>15.2</v>
      </c>
      <c r="H182" t="n">
        <v>0</v>
      </c>
      <c r="I182" t="n">
        <v>0</v>
      </c>
      <c r="J182" t="n">
        <v>0</v>
      </c>
      <c r="K182" t="n">
        <v>0</v>
      </c>
      <c r="L182" t="n">
        <v>0</v>
      </c>
      <c r="M182" t="n">
        <v>0</v>
      </c>
      <c r="N182" t="n">
        <v>0</v>
      </c>
      <c r="O182" t="n">
        <v>0</v>
      </c>
      <c r="P182" t="n">
        <v>0</v>
      </c>
      <c r="Q182" t="n">
        <v>0</v>
      </c>
      <c r="R182" s="2" t="inlineStr"/>
    </row>
    <row r="183" ht="15" customHeight="1">
      <c r="A183" t="inlineStr">
        <is>
          <t>A 57069-2019</t>
        </is>
      </c>
      <c r="B183" s="1" t="n">
        <v>43766</v>
      </c>
      <c r="C183" s="1" t="n">
        <v>45642</v>
      </c>
      <c r="D183" t="inlineStr">
        <is>
          <t>NORRBOTTENS LÄN</t>
        </is>
      </c>
      <c r="E183" t="inlineStr">
        <is>
          <t>GÄLLIVARE</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57056-2019</t>
        </is>
      </c>
      <c r="B184" s="1" t="n">
        <v>43766</v>
      </c>
      <c r="C184" s="1" t="n">
        <v>45642</v>
      </c>
      <c r="D184" t="inlineStr">
        <is>
          <t>NORRBOTTENS LÄN</t>
        </is>
      </c>
      <c r="E184" t="inlineStr">
        <is>
          <t>GÄLLIVARE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57060-2019</t>
        </is>
      </c>
      <c r="B185" s="1" t="n">
        <v>43766</v>
      </c>
      <c r="C185" s="1" t="n">
        <v>45642</v>
      </c>
      <c r="D185" t="inlineStr">
        <is>
          <t>NORRBOTTENS LÄN</t>
        </is>
      </c>
      <c r="E185" t="inlineStr">
        <is>
          <t>GÄLLIVARE</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57081-2019</t>
        </is>
      </c>
      <c r="B186" s="1" t="n">
        <v>43766</v>
      </c>
      <c r="C186" s="1" t="n">
        <v>45642</v>
      </c>
      <c r="D186" t="inlineStr">
        <is>
          <t>NORRBOTTENS LÄN</t>
        </is>
      </c>
      <c r="E186" t="inlineStr">
        <is>
          <t>GÄLLIVARE</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57072-2019</t>
        </is>
      </c>
      <c r="B187" s="1" t="n">
        <v>43766</v>
      </c>
      <c r="C187" s="1" t="n">
        <v>45642</v>
      </c>
      <c r="D187" t="inlineStr">
        <is>
          <t>NORRBOTTENS LÄN</t>
        </is>
      </c>
      <c r="E187" t="inlineStr">
        <is>
          <t>GÄLLIVARE</t>
        </is>
      </c>
      <c r="F187" t="inlineStr">
        <is>
          <t>Sveaskog</t>
        </is>
      </c>
      <c r="G187" t="n">
        <v>15.7</v>
      </c>
      <c r="H187" t="n">
        <v>0</v>
      </c>
      <c r="I187" t="n">
        <v>0</v>
      </c>
      <c r="J187" t="n">
        <v>0</v>
      </c>
      <c r="K187" t="n">
        <v>0</v>
      </c>
      <c r="L187" t="n">
        <v>0</v>
      </c>
      <c r="M187" t="n">
        <v>0</v>
      </c>
      <c r="N187" t="n">
        <v>0</v>
      </c>
      <c r="O187" t="n">
        <v>0</v>
      </c>
      <c r="P187" t="n">
        <v>0</v>
      </c>
      <c r="Q187" t="n">
        <v>0</v>
      </c>
      <c r="R187" s="2" t="inlineStr"/>
    </row>
    <row r="188" ht="15" customHeight="1">
      <c r="A188" t="inlineStr">
        <is>
          <t>A 57087-2019</t>
        </is>
      </c>
      <c r="B188" s="1" t="n">
        <v>43766</v>
      </c>
      <c r="C188" s="1" t="n">
        <v>45642</v>
      </c>
      <c r="D188" t="inlineStr">
        <is>
          <t>NORRBOTTENS LÄN</t>
        </is>
      </c>
      <c r="E188" t="inlineStr">
        <is>
          <t>GÄLLIVARE</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58609-2019</t>
        </is>
      </c>
      <c r="B189" s="1" t="n">
        <v>43768</v>
      </c>
      <c r="C189" s="1" t="n">
        <v>45642</v>
      </c>
      <c r="D189" t="inlineStr">
        <is>
          <t>NORRBOTTENS LÄN</t>
        </is>
      </c>
      <c r="E189" t="inlineStr">
        <is>
          <t>GÄLLIVARE</t>
        </is>
      </c>
      <c r="G189" t="n">
        <v>7.8</v>
      </c>
      <c r="H189" t="n">
        <v>0</v>
      </c>
      <c r="I189" t="n">
        <v>0</v>
      </c>
      <c r="J189" t="n">
        <v>0</v>
      </c>
      <c r="K189" t="n">
        <v>0</v>
      </c>
      <c r="L189" t="n">
        <v>0</v>
      </c>
      <c r="M189" t="n">
        <v>0</v>
      </c>
      <c r="N189" t="n">
        <v>0</v>
      </c>
      <c r="O189" t="n">
        <v>0</v>
      </c>
      <c r="P189" t="n">
        <v>0</v>
      </c>
      <c r="Q189" t="n">
        <v>0</v>
      </c>
      <c r="R189" s="2" t="inlineStr"/>
    </row>
    <row r="190" ht="15" customHeight="1">
      <c r="A190" t="inlineStr">
        <is>
          <t>A 60542-2019</t>
        </is>
      </c>
      <c r="B190" s="1" t="n">
        <v>43776</v>
      </c>
      <c r="C190" s="1" t="n">
        <v>45642</v>
      </c>
      <c r="D190" t="inlineStr">
        <is>
          <t>NORRBOTTENS LÄN</t>
        </is>
      </c>
      <c r="E190" t="inlineStr">
        <is>
          <t>GÄLLIVARE</t>
        </is>
      </c>
      <c r="G190" t="n">
        <v>24.1</v>
      </c>
      <c r="H190" t="n">
        <v>0</v>
      </c>
      <c r="I190" t="n">
        <v>0</v>
      </c>
      <c r="J190" t="n">
        <v>0</v>
      </c>
      <c r="K190" t="n">
        <v>0</v>
      </c>
      <c r="L190" t="n">
        <v>0</v>
      </c>
      <c r="M190" t="n">
        <v>0</v>
      </c>
      <c r="N190" t="n">
        <v>0</v>
      </c>
      <c r="O190" t="n">
        <v>0</v>
      </c>
      <c r="P190" t="n">
        <v>0</v>
      </c>
      <c r="Q190" t="n">
        <v>0</v>
      </c>
      <c r="R190" s="2" t="inlineStr"/>
    </row>
    <row r="191" ht="15" customHeight="1">
      <c r="A191" t="inlineStr">
        <is>
          <t>A 61206-2019</t>
        </is>
      </c>
      <c r="B191" s="1" t="n">
        <v>43782</v>
      </c>
      <c r="C191" s="1" t="n">
        <v>45642</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61207-2019</t>
        </is>
      </c>
      <c r="B192" s="1" t="n">
        <v>43782</v>
      </c>
      <c r="C192" s="1" t="n">
        <v>45642</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63843-2019</t>
        </is>
      </c>
      <c r="B193" s="1" t="n">
        <v>43795</v>
      </c>
      <c r="C193" s="1" t="n">
        <v>45642</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65725-2019</t>
        </is>
      </c>
      <c r="B194" s="1" t="n">
        <v>43804</v>
      </c>
      <c r="C194" s="1" t="n">
        <v>45642</v>
      </c>
      <c r="D194" t="inlineStr">
        <is>
          <t>NORRBOTTENS LÄN</t>
        </is>
      </c>
      <c r="E194" t="inlineStr">
        <is>
          <t>GÄLLIVARE</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66409-2019</t>
        </is>
      </c>
      <c r="B195" s="1" t="n">
        <v>43809</v>
      </c>
      <c r="C195" s="1" t="n">
        <v>45642</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68502-2019</t>
        </is>
      </c>
      <c r="B196" s="1" t="n">
        <v>43811</v>
      </c>
      <c r="C196" s="1" t="n">
        <v>45642</v>
      </c>
      <c r="D196" t="inlineStr">
        <is>
          <t>NORRBOTTENS LÄN</t>
        </is>
      </c>
      <c r="E196" t="inlineStr">
        <is>
          <t>GÄLLIVARE</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68576-2019</t>
        </is>
      </c>
      <c r="B197" s="1" t="n">
        <v>43812</v>
      </c>
      <c r="C197" s="1" t="n">
        <v>45642</v>
      </c>
      <c r="D197" t="inlineStr">
        <is>
          <t>NORRBOTTENS LÄN</t>
        </is>
      </c>
      <c r="E197" t="inlineStr">
        <is>
          <t>GÄLLIVARE</t>
        </is>
      </c>
      <c r="G197" t="n">
        <v>1.4</v>
      </c>
      <c r="H197" t="n">
        <v>0</v>
      </c>
      <c r="I197" t="n">
        <v>0</v>
      </c>
      <c r="J197" t="n">
        <v>0</v>
      </c>
      <c r="K197" t="n">
        <v>0</v>
      </c>
      <c r="L197" t="n">
        <v>0</v>
      </c>
      <c r="M197" t="n">
        <v>0</v>
      </c>
      <c r="N197" t="n">
        <v>0</v>
      </c>
      <c r="O197" t="n">
        <v>0</v>
      </c>
      <c r="P197" t="n">
        <v>0</v>
      </c>
      <c r="Q197" t="n">
        <v>0</v>
      </c>
      <c r="R197" s="2" t="inlineStr"/>
    </row>
    <row r="198" ht="15" customHeight="1">
      <c r="A198" t="inlineStr">
        <is>
          <t>A 68297-2019</t>
        </is>
      </c>
      <c r="B198" s="1" t="n">
        <v>43817</v>
      </c>
      <c r="C198" s="1" t="n">
        <v>45642</v>
      </c>
      <c r="D198" t="inlineStr">
        <is>
          <t>NORRBOTTENS LÄN</t>
        </is>
      </c>
      <c r="E198" t="inlineStr">
        <is>
          <t>GÄLLIVARE</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68569-2019</t>
        </is>
      </c>
      <c r="B199" s="1" t="n">
        <v>43818</v>
      </c>
      <c r="C199" s="1" t="n">
        <v>45642</v>
      </c>
      <c r="D199" t="inlineStr">
        <is>
          <t>NORRBOTTENS LÄN</t>
        </is>
      </c>
      <c r="E199" t="inlineStr">
        <is>
          <t>GÄLLIVARE</t>
        </is>
      </c>
      <c r="F199" t="inlineStr">
        <is>
          <t>Sveaskog</t>
        </is>
      </c>
      <c r="G199" t="n">
        <v>41.5</v>
      </c>
      <c r="H199" t="n">
        <v>0</v>
      </c>
      <c r="I199" t="n">
        <v>0</v>
      </c>
      <c r="J199" t="n">
        <v>0</v>
      </c>
      <c r="K199" t="n">
        <v>0</v>
      </c>
      <c r="L199" t="n">
        <v>0</v>
      </c>
      <c r="M199" t="n">
        <v>0</v>
      </c>
      <c r="N199" t="n">
        <v>0</v>
      </c>
      <c r="O199" t="n">
        <v>0</v>
      </c>
      <c r="P199" t="n">
        <v>0</v>
      </c>
      <c r="Q199" t="n">
        <v>0</v>
      </c>
      <c r="R199" s="2" t="inlineStr"/>
    </row>
    <row r="200" ht="15" customHeight="1">
      <c r="A200" t="inlineStr">
        <is>
          <t>A 2837-2020</t>
        </is>
      </c>
      <c r="B200" s="1" t="n">
        <v>43843</v>
      </c>
      <c r="C200" s="1" t="n">
        <v>45642</v>
      </c>
      <c r="D200" t="inlineStr">
        <is>
          <t>NORRBOTTENS LÄN</t>
        </is>
      </c>
      <c r="E200" t="inlineStr">
        <is>
          <t>GÄLLIVARE</t>
        </is>
      </c>
      <c r="F200" t="inlineStr">
        <is>
          <t>Sveaskog</t>
        </is>
      </c>
      <c r="G200" t="n">
        <v>21.7</v>
      </c>
      <c r="H200" t="n">
        <v>0</v>
      </c>
      <c r="I200" t="n">
        <v>0</v>
      </c>
      <c r="J200" t="n">
        <v>0</v>
      </c>
      <c r="K200" t="n">
        <v>0</v>
      </c>
      <c r="L200" t="n">
        <v>0</v>
      </c>
      <c r="M200" t="n">
        <v>0</v>
      </c>
      <c r="N200" t="n">
        <v>0</v>
      </c>
      <c r="O200" t="n">
        <v>0</v>
      </c>
      <c r="P200" t="n">
        <v>0</v>
      </c>
      <c r="Q200" t="n">
        <v>0</v>
      </c>
      <c r="R200" s="2" t="inlineStr"/>
    </row>
    <row r="201" ht="15" customHeight="1">
      <c r="A201" t="inlineStr">
        <is>
          <t>A 2761-2020</t>
        </is>
      </c>
      <c r="B201" s="1" t="n">
        <v>43843</v>
      </c>
      <c r="C201" s="1" t="n">
        <v>45642</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2804-2020</t>
        </is>
      </c>
      <c r="B202" s="1" t="n">
        <v>43843</v>
      </c>
      <c r="C202" s="1" t="n">
        <v>45642</v>
      </c>
      <c r="D202" t="inlineStr">
        <is>
          <t>NORRBOTTENS LÄN</t>
        </is>
      </c>
      <c r="E202" t="inlineStr">
        <is>
          <t>GÄLLIVARE</t>
        </is>
      </c>
      <c r="F202" t="inlineStr">
        <is>
          <t>Sveaskog</t>
        </is>
      </c>
      <c r="G202" t="n">
        <v>58.1</v>
      </c>
      <c r="H202" t="n">
        <v>0</v>
      </c>
      <c r="I202" t="n">
        <v>0</v>
      </c>
      <c r="J202" t="n">
        <v>0</v>
      </c>
      <c r="K202" t="n">
        <v>0</v>
      </c>
      <c r="L202" t="n">
        <v>0</v>
      </c>
      <c r="M202" t="n">
        <v>0</v>
      </c>
      <c r="N202" t="n">
        <v>0</v>
      </c>
      <c r="O202" t="n">
        <v>0</v>
      </c>
      <c r="P202" t="n">
        <v>0</v>
      </c>
      <c r="Q202" t="n">
        <v>0</v>
      </c>
      <c r="R202" s="2" t="inlineStr"/>
    </row>
    <row r="203" ht="15" customHeight="1">
      <c r="A203" t="inlineStr">
        <is>
          <t>A 2768-2020</t>
        </is>
      </c>
      <c r="B203" s="1" t="n">
        <v>43843</v>
      </c>
      <c r="C203" s="1" t="n">
        <v>45642</v>
      </c>
      <c r="D203" t="inlineStr">
        <is>
          <t>NORRBOTTENS LÄN</t>
        </is>
      </c>
      <c r="E203" t="inlineStr">
        <is>
          <t>GÄLLIVARE</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2816-2020</t>
        </is>
      </c>
      <c r="B204" s="1" t="n">
        <v>43843</v>
      </c>
      <c r="C204" s="1" t="n">
        <v>45642</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1723-2020</t>
        </is>
      </c>
      <c r="B205" s="1" t="n">
        <v>43844</v>
      </c>
      <c r="C205" s="1" t="n">
        <v>45642</v>
      </c>
      <c r="D205" t="inlineStr">
        <is>
          <t>NORRBOTTENS LÄN</t>
        </is>
      </c>
      <c r="E205" t="inlineStr">
        <is>
          <t>GÄLLIVARE</t>
        </is>
      </c>
      <c r="F205" t="inlineStr">
        <is>
          <t>Sveaskog</t>
        </is>
      </c>
      <c r="G205" t="n">
        <v>16.9</v>
      </c>
      <c r="H205" t="n">
        <v>0</v>
      </c>
      <c r="I205" t="n">
        <v>0</v>
      </c>
      <c r="J205" t="n">
        <v>0</v>
      </c>
      <c r="K205" t="n">
        <v>0</v>
      </c>
      <c r="L205" t="n">
        <v>0</v>
      </c>
      <c r="M205" t="n">
        <v>0</v>
      </c>
      <c r="N205" t="n">
        <v>0</v>
      </c>
      <c r="O205" t="n">
        <v>0</v>
      </c>
      <c r="P205" t="n">
        <v>0</v>
      </c>
      <c r="Q205" t="n">
        <v>0</v>
      </c>
      <c r="R205" s="2" t="inlineStr"/>
    </row>
    <row r="206" ht="15" customHeight="1">
      <c r="A206" t="inlineStr">
        <is>
          <t>A 8575-2020</t>
        </is>
      </c>
      <c r="B206" s="1" t="n">
        <v>43875</v>
      </c>
      <c r="C206" s="1" t="n">
        <v>45642</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8572-2020</t>
        </is>
      </c>
      <c r="B207" s="1" t="n">
        <v>43875</v>
      </c>
      <c r="C207" s="1" t="n">
        <v>45642</v>
      </c>
      <c r="D207" t="inlineStr">
        <is>
          <t>NORRBOTTENS LÄN</t>
        </is>
      </c>
      <c r="E207" t="inlineStr">
        <is>
          <t>GÄLLIVARE</t>
        </is>
      </c>
      <c r="G207" t="n">
        <v>7.5</v>
      </c>
      <c r="H207" t="n">
        <v>0</v>
      </c>
      <c r="I207" t="n">
        <v>0</v>
      </c>
      <c r="J207" t="n">
        <v>0</v>
      </c>
      <c r="K207" t="n">
        <v>0</v>
      </c>
      <c r="L207" t="n">
        <v>0</v>
      </c>
      <c r="M207" t="n">
        <v>0</v>
      </c>
      <c r="N207" t="n">
        <v>0</v>
      </c>
      <c r="O207" t="n">
        <v>0</v>
      </c>
      <c r="P207" t="n">
        <v>0</v>
      </c>
      <c r="Q207" t="n">
        <v>0</v>
      </c>
      <c r="R207" s="2" t="inlineStr"/>
    </row>
    <row r="208" ht="15" customHeight="1">
      <c r="A208" t="inlineStr">
        <is>
          <t>A 11758-2020</t>
        </is>
      </c>
      <c r="B208" s="1" t="n">
        <v>43887</v>
      </c>
      <c r="C208" s="1" t="n">
        <v>45642</v>
      </c>
      <c r="D208" t="inlineStr">
        <is>
          <t>NORRBOTTENS LÄN</t>
        </is>
      </c>
      <c r="E208" t="inlineStr">
        <is>
          <t>GÄLLIVARE</t>
        </is>
      </c>
      <c r="F208" t="inlineStr">
        <is>
          <t>Övriga statliga verk och myndigheter</t>
        </is>
      </c>
      <c r="G208" t="n">
        <v>5</v>
      </c>
      <c r="H208" t="n">
        <v>0</v>
      </c>
      <c r="I208" t="n">
        <v>0</v>
      </c>
      <c r="J208" t="n">
        <v>0</v>
      </c>
      <c r="K208" t="n">
        <v>0</v>
      </c>
      <c r="L208" t="n">
        <v>0</v>
      </c>
      <c r="M208" t="n">
        <v>0</v>
      </c>
      <c r="N208" t="n">
        <v>0</v>
      </c>
      <c r="O208" t="n">
        <v>0</v>
      </c>
      <c r="P208" t="n">
        <v>0</v>
      </c>
      <c r="Q208" t="n">
        <v>0</v>
      </c>
      <c r="R208" s="2" t="inlineStr"/>
    </row>
    <row r="209" ht="15" customHeight="1">
      <c r="A209" t="inlineStr">
        <is>
          <t>A 11136-2020</t>
        </is>
      </c>
      <c r="B209" s="1" t="n">
        <v>43890</v>
      </c>
      <c r="C209" s="1" t="n">
        <v>45642</v>
      </c>
      <c r="D209" t="inlineStr">
        <is>
          <t>NORRBOTTENS LÄN</t>
        </is>
      </c>
      <c r="E209" t="inlineStr">
        <is>
          <t>GÄLLIVARE</t>
        </is>
      </c>
      <c r="G209" t="n">
        <v>13.4</v>
      </c>
      <c r="H209" t="n">
        <v>0</v>
      </c>
      <c r="I209" t="n">
        <v>0</v>
      </c>
      <c r="J209" t="n">
        <v>0</v>
      </c>
      <c r="K209" t="n">
        <v>0</v>
      </c>
      <c r="L209" t="n">
        <v>0</v>
      </c>
      <c r="M209" t="n">
        <v>0</v>
      </c>
      <c r="N209" t="n">
        <v>0</v>
      </c>
      <c r="O209" t="n">
        <v>0</v>
      </c>
      <c r="P209" t="n">
        <v>0</v>
      </c>
      <c r="Q209" t="n">
        <v>0</v>
      </c>
      <c r="R209" s="2" t="inlineStr"/>
    </row>
    <row r="210" ht="15" customHeight="1">
      <c r="A210" t="inlineStr">
        <is>
          <t>A 16621-2020</t>
        </is>
      </c>
      <c r="B210" s="1" t="n">
        <v>43910</v>
      </c>
      <c r="C210" s="1" t="n">
        <v>45642</v>
      </c>
      <c r="D210" t="inlineStr">
        <is>
          <t>NORRBOTTENS LÄN</t>
        </is>
      </c>
      <c r="E210" t="inlineStr">
        <is>
          <t>GÄLLIVARE</t>
        </is>
      </c>
      <c r="G210" t="n">
        <v>13.2</v>
      </c>
      <c r="H210" t="n">
        <v>0</v>
      </c>
      <c r="I210" t="n">
        <v>0</v>
      </c>
      <c r="J210" t="n">
        <v>0</v>
      </c>
      <c r="K210" t="n">
        <v>0</v>
      </c>
      <c r="L210" t="n">
        <v>0</v>
      </c>
      <c r="M210" t="n">
        <v>0</v>
      </c>
      <c r="N210" t="n">
        <v>0</v>
      </c>
      <c r="O210" t="n">
        <v>0</v>
      </c>
      <c r="P210" t="n">
        <v>0</v>
      </c>
      <c r="Q210" t="n">
        <v>0</v>
      </c>
      <c r="R210" s="2" t="inlineStr"/>
    </row>
    <row r="211" ht="15" customHeight="1">
      <c r="A211" t="inlineStr">
        <is>
          <t>A 15644-2020</t>
        </is>
      </c>
      <c r="B211" s="1" t="n">
        <v>43914</v>
      </c>
      <c r="C211" s="1" t="n">
        <v>45642</v>
      </c>
      <c r="D211" t="inlineStr">
        <is>
          <t>NORRBOTTENS LÄN</t>
        </is>
      </c>
      <c r="E211" t="inlineStr">
        <is>
          <t>GÄLLIVARE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15636-2020</t>
        </is>
      </c>
      <c r="B212" s="1" t="n">
        <v>43914</v>
      </c>
      <c r="C212" s="1" t="n">
        <v>45642</v>
      </c>
      <c r="D212" t="inlineStr">
        <is>
          <t>NORRBOTTENS LÄN</t>
        </is>
      </c>
      <c r="E212" t="inlineStr">
        <is>
          <t>GÄLLIVARE</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15642-2020</t>
        </is>
      </c>
      <c r="B213" s="1" t="n">
        <v>43914</v>
      </c>
      <c r="C213" s="1" t="n">
        <v>45642</v>
      </c>
      <c r="D213" t="inlineStr">
        <is>
          <t>NORRBOTTENS LÄN</t>
        </is>
      </c>
      <c r="E213" t="inlineStr">
        <is>
          <t>GÄLLIVARE</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15648-2020</t>
        </is>
      </c>
      <c r="B214" s="1" t="n">
        <v>43914</v>
      </c>
      <c r="C214" s="1" t="n">
        <v>45642</v>
      </c>
      <c r="D214" t="inlineStr">
        <is>
          <t>NORRBOTTENS LÄN</t>
        </is>
      </c>
      <c r="E214" t="inlineStr">
        <is>
          <t>GÄLLIVARE</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15637-2020</t>
        </is>
      </c>
      <c r="B215" s="1" t="n">
        <v>43914</v>
      </c>
      <c r="C215" s="1" t="n">
        <v>45642</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15643-2020</t>
        </is>
      </c>
      <c r="B216" s="1" t="n">
        <v>43914</v>
      </c>
      <c r="C216" s="1" t="n">
        <v>45642</v>
      </c>
      <c r="D216" t="inlineStr">
        <is>
          <t>NORRBOTTENS LÄN</t>
        </is>
      </c>
      <c r="E216" t="inlineStr">
        <is>
          <t>GÄLLIVARE</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16162-2020</t>
        </is>
      </c>
      <c r="B217" s="1" t="n">
        <v>43916</v>
      </c>
      <c r="C217" s="1" t="n">
        <v>45642</v>
      </c>
      <c r="D217" t="inlineStr">
        <is>
          <t>NORRBOTTENS LÄN</t>
        </is>
      </c>
      <c r="E217" t="inlineStr">
        <is>
          <t>GÄLLIVARE</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16161-2020</t>
        </is>
      </c>
      <c r="B218" s="1" t="n">
        <v>43916</v>
      </c>
      <c r="C218" s="1" t="n">
        <v>45642</v>
      </c>
      <c r="D218" t="inlineStr">
        <is>
          <t>NORRBOTTENS LÄN</t>
        </is>
      </c>
      <c r="E218" t="inlineStr">
        <is>
          <t>GÄLLIVARE</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16164-2020</t>
        </is>
      </c>
      <c r="B219" s="1" t="n">
        <v>43916</v>
      </c>
      <c r="C219" s="1" t="n">
        <v>45642</v>
      </c>
      <c r="D219" t="inlineStr">
        <is>
          <t>NORRBOTTENS LÄN</t>
        </is>
      </c>
      <c r="E219" t="inlineStr">
        <is>
          <t>GÄLLIVARE</t>
        </is>
      </c>
      <c r="F219" t="inlineStr">
        <is>
          <t>SCA</t>
        </is>
      </c>
      <c r="G219" t="n">
        <v>11.8</v>
      </c>
      <c r="H219" t="n">
        <v>0</v>
      </c>
      <c r="I219" t="n">
        <v>0</v>
      </c>
      <c r="J219" t="n">
        <v>0</v>
      </c>
      <c r="K219" t="n">
        <v>0</v>
      </c>
      <c r="L219" t="n">
        <v>0</v>
      </c>
      <c r="M219" t="n">
        <v>0</v>
      </c>
      <c r="N219" t="n">
        <v>0</v>
      </c>
      <c r="O219" t="n">
        <v>0</v>
      </c>
      <c r="P219" t="n">
        <v>0</v>
      </c>
      <c r="Q219" t="n">
        <v>0</v>
      </c>
      <c r="R219" s="2" t="inlineStr"/>
    </row>
    <row r="220" ht="15" customHeight="1">
      <c r="A220" t="inlineStr">
        <is>
          <t>A 16163-2020</t>
        </is>
      </c>
      <c r="B220" s="1" t="n">
        <v>43916</v>
      </c>
      <c r="C220" s="1" t="n">
        <v>45642</v>
      </c>
      <c r="D220" t="inlineStr">
        <is>
          <t>NORRBOTTENS LÄN</t>
        </is>
      </c>
      <c r="E220" t="inlineStr">
        <is>
          <t>GÄLLIVARE</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16424-2020</t>
        </is>
      </c>
      <c r="B221" s="1" t="n">
        <v>43919</v>
      </c>
      <c r="C221" s="1" t="n">
        <v>45642</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18213-2020</t>
        </is>
      </c>
      <c r="B222" s="1" t="n">
        <v>43927</v>
      </c>
      <c r="C222" s="1" t="n">
        <v>45642</v>
      </c>
      <c r="D222" t="inlineStr">
        <is>
          <t>NORRBOTTENS LÄN</t>
        </is>
      </c>
      <c r="E222" t="inlineStr">
        <is>
          <t>GÄLLIVARE</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18203-2020</t>
        </is>
      </c>
      <c r="B223" s="1" t="n">
        <v>43927</v>
      </c>
      <c r="C223" s="1" t="n">
        <v>45642</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18214-2020</t>
        </is>
      </c>
      <c r="B224" s="1" t="n">
        <v>43927</v>
      </c>
      <c r="C224" s="1" t="n">
        <v>45642</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22779-2020</t>
        </is>
      </c>
      <c r="B225" s="1" t="n">
        <v>43958</v>
      </c>
      <c r="C225" s="1" t="n">
        <v>45642</v>
      </c>
      <c r="D225" t="inlineStr">
        <is>
          <t>NORRBOTTENS LÄN</t>
        </is>
      </c>
      <c r="E225" t="inlineStr">
        <is>
          <t>GÄLLIVARE</t>
        </is>
      </c>
      <c r="G225" t="n">
        <v>0.2</v>
      </c>
      <c r="H225" t="n">
        <v>0</v>
      </c>
      <c r="I225" t="n">
        <v>0</v>
      </c>
      <c r="J225" t="n">
        <v>0</v>
      </c>
      <c r="K225" t="n">
        <v>0</v>
      </c>
      <c r="L225" t="n">
        <v>0</v>
      </c>
      <c r="M225" t="n">
        <v>0</v>
      </c>
      <c r="N225" t="n">
        <v>0</v>
      </c>
      <c r="O225" t="n">
        <v>0</v>
      </c>
      <c r="P225" t="n">
        <v>0</v>
      </c>
      <c r="Q225" t="n">
        <v>0</v>
      </c>
      <c r="R225" s="2" t="inlineStr"/>
    </row>
    <row r="226" ht="15" customHeight="1">
      <c r="A226" t="inlineStr">
        <is>
          <t>A 22780-2020</t>
        </is>
      </c>
      <c r="B226" s="1" t="n">
        <v>43958</v>
      </c>
      <c r="C226" s="1" t="n">
        <v>45642</v>
      </c>
      <c r="D226" t="inlineStr">
        <is>
          <t>NORRBOTTENS LÄN</t>
        </is>
      </c>
      <c r="E226" t="inlineStr">
        <is>
          <t>GÄLLIVARE</t>
        </is>
      </c>
      <c r="G226" t="n">
        <v>0.3</v>
      </c>
      <c r="H226" t="n">
        <v>0</v>
      </c>
      <c r="I226" t="n">
        <v>0</v>
      </c>
      <c r="J226" t="n">
        <v>0</v>
      </c>
      <c r="K226" t="n">
        <v>0</v>
      </c>
      <c r="L226" t="n">
        <v>0</v>
      </c>
      <c r="M226" t="n">
        <v>0</v>
      </c>
      <c r="N226" t="n">
        <v>0</v>
      </c>
      <c r="O226" t="n">
        <v>0</v>
      </c>
      <c r="P226" t="n">
        <v>0</v>
      </c>
      <c r="Q226" t="n">
        <v>0</v>
      </c>
      <c r="R226" s="2" t="inlineStr"/>
    </row>
    <row r="227" ht="15" customHeight="1">
      <c r="A227" t="inlineStr">
        <is>
          <t>A 22786-2020</t>
        </is>
      </c>
      <c r="B227" s="1" t="n">
        <v>43958</v>
      </c>
      <c r="C227" s="1" t="n">
        <v>45642</v>
      </c>
      <c r="D227" t="inlineStr">
        <is>
          <t>NORRBOTTENS LÄN</t>
        </is>
      </c>
      <c r="E227" t="inlineStr">
        <is>
          <t>GÄLLIVARE</t>
        </is>
      </c>
      <c r="G227" t="n">
        <v>0.3</v>
      </c>
      <c r="H227" t="n">
        <v>0</v>
      </c>
      <c r="I227" t="n">
        <v>0</v>
      </c>
      <c r="J227" t="n">
        <v>0</v>
      </c>
      <c r="K227" t="n">
        <v>0</v>
      </c>
      <c r="L227" t="n">
        <v>0</v>
      </c>
      <c r="M227" t="n">
        <v>0</v>
      </c>
      <c r="N227" t="n">
        <v>0</v>
      </c>
      <c r="O227" t="n">
        <v>0</v>
      </c>
      <c r="P227" t="n">
        <v>0</v>
      </c>
      <c r="Q227" t="n">
        <v>0</v>
      </c>
      <c r="R227" s="2" t="inlineStr"/>
    </row>
    <row r="228" ht="15" customHeight="1">
      <c r="A228" t="inlineStr">
        <is>
          <t>A 22774-2020</t>
        </is>
      </c>
      <c r="B228" s="1" t="n">
        <v>43958</v>
      </c>
      <c r="C228" s="1" t="n">
        <v>45642</v>
      </c>
      <c r="D228" t="inlineStr">
        <is>
          <t>NORRBOTTENS LÄN</t>
        </is>
      </c>
      <c r="E228" t="inlineStr">
        <is>
          <t>GÄLLIVARE</t>
        </is>
      </c>
      <c r="G228" t="n">
        <v>0.1</v>
      </c>
      <c r="H228" t="n">
        <v>0</v>
      </c>
      <c r="I228" t="n">
        <v>0</v>
      </c>
      <c r="J228" t="n">
        <v>0</v>
      </c>
      <c r="K228" t="n">
        <v>0</v>
      </c>
      <c r="L228" t="n">
        <v>0</v>
      </c>
      <c r="M228" t="n">
        <v>0</v>
      </c>
      <c r="N228" t="n">
        <v>0</v>
      </c>
      <c r="O228" t="n">
        <v>0</v>
      </c>
      <c r="P228" t="n">
        <v>0</v>
      </c>
      <c r="Q228" t="n">
        <v>0</v>
      </c>
      <c r="R228" s="2" t="inlineStr"/>
    </row>
    <row r="229" ht="15" customHeight="1">
      <c r="A229" t="inlineStr">
        <is>
          <t>A 22784-2020</t>
        </is>
      </c>
      <c r="B229" s="1" t="n">
        <v>43958</v>
      </c>
      <c r="C229" s="1" t="n">
        <v>45642</v>
      </c>
      <c r="D229" t="inlineStr">
        <is>
          <t>NORRBOTTENS LÄN</t>
        </is>
      </c>
      <c r="E229" t="inlineStr">
        <is>
          <t>GÄLLIVARE</t>
        </is>
      </c>
      <c r="G229" t="n">
        <v>0.4</v>
      </c>
      <c r="H229" t="n">
        <v>0</v>
      </c>
      <c r="I229" t="n">
        <v>0</v>
      </c>
      <c r="J229" t="n">
        <v>0</v>
      </c>
      <c r="K229" t="n">
        <v>0</v>
      </c>
      <c r="L229" t="n">
        <v>0</v>
      </c>
      <c r="M229" t="n">
        <v>0</v>
      </c>
      <c r="N229" t="n">
        <v>0</v>
      </c>
      <c r="O229" t="n">
        <v>0</v>
      </c>
      <c r="P229" t="n">
        <v>0</v>
      </c>
      <c r="Q229" t="n">
        <v>0</v>
      </c>
      <c r="R229" s="2" t="inlineStr"/>
    </row>
    <row r="230" ht="15" customHeight="1">
      <c r="A230" t="inlineStr">
        <is>
          <t>A 22782-2020</t>
        </is>
      </c>
      <c r="B230" s="1" t="n">
        <v>43958</v>
      </c>
      <c r="C230" s="1" t="n">
        <v>45642</v>
      </c>
      <c r="D230" t="inlineStr">
        <is>
          <t>NORRBOTTENS LÄN</t>
        </is>
      </c>
      <c r="E230" t="inlineStr">
        <is>
          <t>GÄLLIVARE</t>
        </is>
      </c>
      <c r="G230" t="n">
        <v>6.9</v>
      </c>
      <c r="H230" t="n">
        <v>0</v>
      </c>
      <c r="I230" t="n">
        <v>0</v>
      </c>
      <c r="J230" t="n">
        <v>0</v>
      </c>
      <c r="K230" t="n">
        <v>0</v>
      </c>
      <c r="L230" t="n">
        <v>0</v>
      </c>
      <c r="M230" t="n">
        <v>0</v>
      </c>
      <c r="N230" t="n">
        <v>0</v>
      </c>
      <c r="O230" t="n">
        <v>0</v>
      </c>
      <c r="P230" t="n">
        <v>0</v>
      </c>
      <c r="Q230" t="n">
        <v>0</v>
      </c>
      <c r="R230" s="2" t="inlineStr"/>
    </row>
    <row r="231" ht="15" customHeight="1">
      <c r="A231" t="inlineStr">
        <is>
          <t>A 22177-2020</t>
        </is>
      </c>
      <c r="B231" s="1" t="n">
        <v>43959</v>
      </c>
      <c r="C231" s="1" t="n">
        <v>45642</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24241-2020</t>
        </is>
      </c>
      <c r="B232" s="1" t="n">
        <v>43976</v>
      </c>
      <c r="C232" s="1" t="n">
        <v>45642</v>
      </c>
      <c r="D232" t="inlineStr">
        <is>
          <t>NORRBOTTENS LÄN</t>
        </is>
      </c>
      <c r="E232" t="inlineStr">
        <is>
          <t>GÄLLIVARE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26850-2020</t>
        </is>
      </c>
      <c r="B233" s="1" t="n">
        <v>43987</v>
      </c>
      <c r="C233" s="1" t="n">
        <v>45642</v>
      </c>
      <c r="D233" t="inlineStr">
        <is>
          <t>NORRBOTTENS LÄN</t>
        </is>
      </c>
      <c r="E233" t="inlineStr">
        <is>
          <t>GÄLLIVARE</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29589-2020</t>
        </is>
      </c>
      <c r="B234" s="1" t="n">
        <v>44004</v>
      </c>
      <c r="C234" s="1" t="n">
        <v>45642</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29981-2020</t>
        </is>
      </c>
      <c r="B235" s="1" t="n">
        <v>44006</v>
      </c>
      <c r="C235" s="1" t="n">
        <v>45642</v>
      </c>
      <c r="D235" t="inlineStr">
        <is>
          <t>NORRBOTTENS LÄN</t>
        </is>
      </c>
      <c r="E235" t="inlineStr">
        <is>
          <t>GÄLLIVARE</t>
        </is>
      </c>
      <c r="F235" t="inlineStr">
        <is>
          <t>Allmännings- och besparingsskogar</t>
        </is>
      </c>
      <c r="G235" t="n">
        <v>6.1</v>
      </c>
      <c r="H235" t="n">
        <v>0</v>
      </c>
      <c r="I235" t="n">
        <v>0</v>
      </c>
      <c r="J235" t="n">
        <v>0</v>
      </c>
      <c r="K235" t="n">
        <v>0</v>
      </c>
      <c r="L235" t="n">
        <v>0</v>
      </c>
      <c r="M235" t="n">
        <v>0</v>
      </c>
      <c r="N235" t="n">
        <v>0</v>
      </c>
      <c r="O235" t="n">
        <v>0</v>
      </c>
      <c r="P235" t="n">
        <v>0</v>
      </c>
      <c r="Q235" t="n">
        <v>0</v>
      </c>
      <c r="R235" s="2" t="inlineStr"/>
    </row>
    <row r="236" ht="15" customHeight="1">
      <c r="A236" t="inlineStr">
        <is>
          <t>A 32776-2020</t>
        </is>
      </c>
      <c r="B236" s="1" t="n">
        <v>44019</v>
      </c>
      <c r="C236" s="1" t="n">
        <v>45642</v>
      </c>
      <c r="D236" t="inlineStr">
        <is>
          <t>NORRBOTTENS LÄN</t>
        </is>
      </c>
      <c r="E236" t="inlineStr">
        <is>
          <t>GÄLLIVARE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33595-2020</t>
        </is>
      </c>
      <c r="B237" s="1" t="n">
        <v>44025</v>
      </c>
      <c r="C237" s="1" t="n">
        <v>45642</v>
      </c>
      <c r="D237" t="inlineStr">
        <is>
          <t>NORRBOTTENS LÄN</t>
        </is>
      </c>
      <c r="E237" t="inlineStr">
        <is>
          <t>GÄLLIVARE</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33981-2020</t>
        </is>
      </c>
      <c r="B238" s="1" t="n">
        <v>44028</v>
      </c>
      <c r="C238" s="1" t="n">
        <v>45642</v>
      </c>
      <c r="D238" t="inlineStr">
        <is>
          <t>NORRBOTTENS LÄN</t>
        </is>
      </c>
      <c r="E238" t="inlineStr">
        <is>
          <t>GÄLLIVARE</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34663-2020</t>
        </is>
      </c>
      <c r="B239" s="1" t="n">
        <v>44034</v>
      </c>
      <c r="C239" s="1" t="n">
        <v>45642</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36333-2020</t>
        </is>
      </c>
      <c r="B240" s="1" t="n">
        <v>44049</v>
      </c>
      <c r="C240" s="1" t="n">
        <v>45642</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36578-2020</t>
        </is>
      </c>
      <c r="B241" s="1" t="n">
        <v>44050</v>
      </c>
      <c r="C241" s="1" t="n">
        <v>45642</v>
      </c>
      <c r="D241" t="inlineStr">
        <is>
          <t>NORRBOTTENS LÄN</t>
        </is>
      </c>
      <c r="E241" t="inlineStr">
        <is>
          <t>GÄLLIVARE</t>
        </is>
      </c>
      <c r="G241" t="n">
        <v>0.6</v>
      </c>
      <c r="H241" t="n">
        <v>0</v>
      </c>
      <c r="I241" t="n">
        <v>0</v>
      </c>
      <c r="J241" t="n">
        <v>0</v>
      </c>
      <c r="K241" t="n">
        <v>0</v>
      </c>
      <c r="L241" t="n">
        <v>0</v>
      </c>
      <c r="M241" t="n">
        <v>0</v>
      </c>
      <c r="N241" t="n">
        <v>0</v>
      </c>
      <c r="O241" t="n">
        <v>0</v>
      </c>
      <c r="P241" t="n">
        <v>0</v>
      </c>
      <c r="Q241" t="n">
        <v>0</v>
      </c>
      <c r="R241" s="2" t="inlineStr"/>
    </row>
    <row r="242" ht="15" customHeight="1">
      <c r="A242" t="inlineStr">
        <is>
          <t>A 37392-2020</t>
        </is>
      </c>
      <c r="B242" s="1" t="n">
        <v>44055</v>
      </c>
      <c r="C242" s="1" t="n">
        <v>45642</v>
      </c>
      <c r="D242" t="inlineStr">
        <is>
          <t>NORRBOTTENS LÄN</t>
        </is>
      </c>
      <c r="E242" t="inlineStr">
        <is>
          <t>GÄLLIVARE</t>
        </is>
      </c>
      <c r="F242" t="inlineStr">
        <is>
          <t>Allmännings- och besparingsskogar</t>
        </is>
      </c>
      <c r="G242" t="n">
        <v>8.4</v>
      </c>
      <c r="H242" t="n">
        <v>0</v>
      </c>
      <c r="I242" t="n">
        <v>0</v>
      </c>
      <c r="J242" t="n">
        <v>0</v>
      </c>
      <c r="K242" t="n">
        <v>0</v>
      </c>
      <c r="L242" t="n">
        <v>0</v>
      </c>
      <c r="M242" t="n">
        <v>0</v>
      </c>
      <c r="N242" t="n">
        <v>0</v>
      </c>
      <c r="O242" t="n">
        <v>0</v>
      </c>
      <c r="P242" t="n">
        <v>0</v>
      </c>
      <c r="Q242" t="n">
        <v>0</v>
      </c>
      <c r="R242" s="2" t="inlineStr"/>
    </row>
    <row r="243" ht="15" customHeight="1">
      <c r="A243" t="inlineStr">
        <is>
          <t>A 38115-2020</t>
        </is>
      </c>
      <c r="B243" s="1" t="n">
        <v>44058</v>
      </c>
      <c r="C243" s="1" t="n">
        <v>45642</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38114-2020</t>
        </is>
      </c>
      <c r="B244" s="1" t="n">
        <v>44058</v>
      </c>
      <c r="C244" s="1" t="n">
        <v>45642</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39248-2020</t>
        </is>
      </c>
      <c r="B245" s="1" t="n">
        <v>44063</v>
      </c>
      <c r="C245" s="1" t="n">
        <v>45642</v>
      </c>
      <c r="D245" t="inlineStr">
        <is>
          <t>NORRBOTTENS LÄN</t>
        </is>
      </c>
      <c r="E245" t="inlineStr">
        <is>
          <t>GÄLLIVARE</t>
        </is>
      </c>
      <c r="G245" t="n">
        <v>0.6</v>
      </c>
      <c r="H245" t="n">
        <v>0</v>
      </c>
      <c r="I245" t="n">
        <v>0</v>
      </c>
      <c r="J245" t="n">
        <v>0</v>
      </c>
      <c r="K245" t="n">
        <v>0</v>
      </c>
      <c r="L245" t="n">
        <v>0</v>
      </c>
      <c r="M245" t="n">
        <v>0</v>
      </c>
      <c r="N245" t="n">
        <v>0</v>
      </c>
      <c r="O245" t="n">
        <v>0</v>
      </c>
      <c r="P245" t="n">
        <v>0</v>
      </c>
      <c r="Q245" t="n">
        <v>0</v>
      </c>
      <c r="R245" s="2" t="inlineStr"/>
    </row>
    <row r="246" ht="15" customHeight="1">
      <c r="A246" t="inlineStr">
        <is>
          <t>A 39319-2020</t>
        </is>
      </c>
      <c r="B246" s="1" t="n">
        <v>44063</v>
      </c>
      <c r="C246" s="1" t="n">
        <v>45642</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39330-2020</t>
        </is>
      </c>
      <c r="B247" s="1" t="n">
        <v>44063</v>
      </c>
      <c r="C247" s="1" t="n">
        <v>45642</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39331-2020</t>
        </is>
      </c>
      <c r="B248" s="1" t="n">
        <v>44063</v>
      </c>
      <c r="C248" s="1" t="n">
        <v>45642</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40899-2020</t>
        </is>
      </c>
      <c r="B249" s="1" t="n">
        <v>44070</v>
      </c>
      <c r="C249" s="1" t="n">
        <v>45642</v>
      </c>
      <c r="D249" t="inlineStr">
        <is>
          <t>NORRBOTTENS LÄN</t>
        </is>
      </c>
      <c r="E249" t="inlineStr">
        <is>
          <t>GÄLLIVARE</t>
        </is>
      </c>
      <c r="G249" t="n">
        <v>3.8</v>
      </c>
      <c r="H249" t="n">
        <v>0</v>
      </c>
      <c r="I249" t="n">
        <v>0</v>
      </c>
      <c r="J249" t="n">
        <v>0</v>
      </c>
      <c r="K249" t="n">
        <v>0</v>
      </c>
      <c r="L249" t="n">
        <v>0</v>
      </c>
      <c r="M249" t="n">
        <v>0</v>
      </c>
      <c r="N249" t="n">
        <v>0</v>
      </c>
      <c r="O249" t="n">
        <v>0</v>
      </c>
      <c r="P249" t="n">
        <v>0</v>
      </c>
      <c r="Q249" t="n">
        <v>0</v>
      </c>
      <c r="R249" s="2" t="inlineStr"/>
    </row>
    <row r="250" ht="15" customHeight="1">
      <c r="A250" t="inlineStr">
        <is>
          <t>A 41736-2020</t>
        </is>
      </c>
      <c r="B250" s="1" t="n">
        <v>44070</v>
      </c>
      <c r="C250" s="1" t="n">
        <v>45642</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41692-2020</t>
        </is>
      </c>
      <c r="B251" s="1" t="n">
        <v>44070</v>
      </c>
      <c r="C251" s="1" t="n">
        <v>45642</v>
      </c>
      <c r="D251" t="inlineStr">
        <is>
          <t>NORRBOTTENS LÄN</t>
        </is>
      </c>
      <c r="E251" t="inlineStr">
        <is>
          <t>GÄLLIVARE</t>
        </is>
      </c>
      <c r="F251" t="inlineStr">
        <is>
          <t>Allmännings- och besparingsskogar</t>
        </is>
      </c>
      <c r="G251" t="n">
        <v>27.7</v>
      </c>
      <c r="H251" t="n">
        <v>0</v>
      </c>
      <c r="I251" t="n">
        <v>0</v>
      </c>
      <c r="J251" t="n">
        <v>0</v>
      </c>
      <c r="K251" t="n">
        <v>0</v>
      </c>
      <c r="L251" t="n">
        <v>0</v>
      </c>
      <c r="M251" t="n">
        <v>0</v>
      </c>
      <c r="N251" t="n">
        <v>0</v>
      </c>
      <c r="O251" t="n">
        <v>0</v>
      </c>
      <c r="P251" t="n">
        <v>0</v>
      </c>
      <c r="Q251" t="n">
        <v>0</v>
      </c>
      <c r="R251" s="2" t="inlineStr"/>
    </row>
    <row r="252" ht="15" customHeight="1">
      <c r="A252" t="inlineStr">
        <is>
          <t>A 43909-2020</t>
        </is>
      </c>
      <c r="B252" s="1" t="n">
        <v>44081</v>
      </c>
      <c r="C252" s="1" t="n">
        <v>45642</v>
      </c>
      <c r="D252" t="inlineStr">
        <is>
          <t>NORRBOTTENS LÄN</t>
        </is>
      </c>
      <c r="E252" t="inlineStr">
        <is>
          <t>GÄLLIVARE</t>
        </is>
      </c>
      <c r="G252" t="n">
        <v>14.2</v>
      </c>
      <c r="H252" t="n">
        <v>0</v>
      </c>
      <c r="I252" t="n">
        <v>0</v>
      </c>
      <c r="J252" t="n">
        <v>0</v>
      </c>
      <c r="K252" t="n">
        <v>0</v>
      </c>
      <c r="L252" t="n">
        <v>0</v>
      </c>
      <c r="M252" t="n">
        <v>0</v>
      </c>
      <c r="N252" t="n">
        <v>0</v>
      </c>
      <c r="O252" t="n">
        <v>0</v>
      </c>
      <c r="P252" t="n">
        <v>0</v>
      </c>
      <c r="Q252" t="n">
        <v>0</v>
      </c>
      <c r="R252" s="2" t="inlineStr"/>
    </row>
    <row r="253" ht="15" customHeight="1">
      <c r="A253" t="inlineStr">
        <is>
          <t>A 43910-2020</t>
        </is>
      </c>
      <c r="B253" s="1" t="n">
        <v>44081</v>
      </c>
      <c r="C253" s="1" t="n">
        <v>45642</v>
      </c>
      <c r="D253" t="inlineStr">
        <is>
          <t>NORRBOTTENS LÄN</t>
        </is>
      </c>
      <c r="E253" t="inlineStr">
        <is>
          <t>GÄLLIVARE</t>
        </is>
      </c>
      <c r="G253" t="n">
        <v>3.4</v>
      </c>
      <c r="H253" t="n">
        <v>0</v>
      </c>
      <c r="I253" t="n">
        <v>0</v>
      </c>
      <c r="J253" t="n">
        <v>0</v>
      </c>
      <c r="K253" t="n">
        <v>0</v>
      </c>
      <c r="L253" t="n">
        <v>0</v>
      </c>
      <c r="M253" t="n">
        <v>0</v>
      </c>
      <c r="N253" t="n">
        <v>0</v>
      </c>
      <c r="O253" t="n">
        <v>0</v>
      </c>
      <c r="P253" t="n">
        <v>0</v>
      </c>
      <c r="Q253" t="n">
        <v>0</v>
      </c>
      <c r="R253" s="2" t="inlineStr"/>
    </row>
    <row r="254" ht="15" customHeight="1">
      <c r="A254" t="inlineStr">
        <is>
          <t>A 46133-2020</t>
        </is>
      </c>
      <c r="B254" s="1" t="n">
        <v>44091</v>
      </c>
      <c r="C254" s="1" t="n">
        <v>45642</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46131-2020</t>
        </is>
      </c>
      <c r="B255" s="1" t="n">
        <v>44091</v>
      </c>
      <c r="C255" s="1" t="n">
        <v>45642</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46368-2020</t>
        </is>
      </c>
      <c r="B256" s="1" t="n">
        <v>44092</v>
      </c>
      <c r="C256" s="1" t="n">
        <v>45642</v>
      </c>
      <c r="D256" t="inlineStr">
        <is>
          <t>NORRBOTTENS LÄN</t>
        </is>
      </c>
      <c r="E256" t="inlineStr">
        <is>
          <t>GÄLLIVARE</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47311-2020</t>
        </is>
      </c>
      <c r="B257" s="1" t="n">
        <v>44095</v>
      </c>
      <c r="C257" s="1" t="n">
        <v>45642</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47379-2020</t>
        </is>
      </c>
      <c r="B258" s="1" t="n">
        <v>44097</v>
      </c>
      <c r="C258" s="1" t="n">
        <v>45642</v>
      </c>
      <c r="D258" t="inlineStr">
        <is>
          <t>NORRBOTTENS LÄN</t>
        </is>
      </c>
      <c r="E258" t="inlineStr">
        <is>
          <t>GÄLLIVARE</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49013-2020</t>
        </is>
      </c>
      <c r="B259" s="1" t="n">
        <v>44104</v>
      </c>
      <c r="C259" s="1" t="n">
        <v>45642</v>
      </c>
      <c r="D259" t="inlineStr">
        <is>
          <t>NORRBOTTENS LÄN</t>
        </is>
      </c>
      <c r="E259" t="inlineStr">
        <is>
          <t>GÄLLIVARE</t>
        </is>
      </c>
      <c r="G259" t="n">
        <v>2.2</v>
      </c>
      <c r="H259" t="n">
        <v>0</v>
      </c>
      <c r="I259" t="n">
        <v>0</v>
      </c>
      <c r="J259" t="n">
        <v>0</v>
      </c>
      <c r="K259" t="n">
        <v>0</v>
      </c>
      <c r="L259" t="n">
        <v>0</v>
      </c>
      <c r="M259" t="n">
        <v>0</v>
      </c>
      <c r="N259" t="n">
        <v>0</v>
      </c>
      <c r="O259" t="n">
        <v>0</v>
      </c>
      <c r="P259" t="n">
        <v>0</v>
      </c>
      <c r="Q259" t="n">
        <v>0</v>
      </c>
      <c r="R259" s="2" t="inlineStr"/>
    </row>
    <row r="260" ht="15" customHeight="1">
      <c r="A260" t="inlineStr">
        <is>
          <t>A 49019-2020</t>
        </is>
      </c>
      <c r="B260" s="1" t="n">
        <v>44104</v>
      </c>
      <c r="C260" s="1" t="n">
        <v>45642</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51992-2020</t>
        </is>
      </c>
      <c r="B261" s="1" t="n">
        <v>44109</v>
      </c>
      <c r="C261" s="1" t="n">
        <v>45642</v>
      </c>
      <c r="D261" t="inlineStr">
        <is>
          <t>NORRBOTTENS LÄN</t>
        </is>
      </c>
      <c r="E261" t="inlineStr">
        <is>
          <t>GÄLLIVARE</t>
        </is>
      </c>
      <c r="G261" t="n">
        <v>1.8</v>
      </c>
      <c r="H261" t="n">
        <v>0</v>
      </c>
      <c r="I261" t="n">
        <v>0</v>
      </c>
      <c r="J261" t="n">
        <v>0</v>
      </c>
      <c r="K261" t="n">
        <v>0</v>
      </c>
      <c r="L261" t="n">
        <v>0</v>
      </c>
      <c r="M261" t="n">
        <v>0</v>
      </c>
      <c r="N261" t="n">
        <v>0</v>
      </c>
      <c r="O261" t="n">
        <v>0</v>
      </c>
      <c r="P261" t="n">
        <v>0</v>
      </c>
      <c r="Q261" t="n">
        <v>0</v>
      </c>
      <c r="R261" s="2" t="inlineStr"/>
    </row>
    <row r="262" ht="15" customHeight="1">
      <c r="A262" t="inlineStr">
        <is>
          <t>A 51701-2020</t>
        </is>
      </c>
      <c r="B262" s="1" t="n">
        <v>44113</v>
      </c>
      <c r="C262" s="1" t="n">
        <v>45642</v>
      </c>
      <c r="D262" t="inlineStr">
        <is>
          <t>NORRBOTTENS LÄN</t>
        </is>
      </c>
      <c r="E262" t="inlineStr">
        <is>
          <t>GÄLLIVARE</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51706-2020</t>
        </is>
      </c>
      <c r="B263" s="1" t="n">
        <v>44113</v>
      </c>
      <c r="C263" s="1" t="n">
        <v>45642</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51700-2020</t>
        </is>
      </c>
      <c r="B264" s="1" t="n">
        <v>44113</v>
      </c>
      <c r="C264" s="1" t="n">
        <v>45642</v>
      </c>
      <c r="D264" t="inlineStr">
        <is>
          <t>NORRBOTTENS LÄN</t>
        </is>
      </c>
      <c r="E264" t="inlineStr">
        <is>
          <t>GÄLLIVARE</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51713-2020</t>
        </is>
      </c>
      <c r="B265" s="1" t="n">
        <v>44113</v>
      </c>
      <c r="C265" s="1" t="n">
        <v>45642</v>
      </c>
      <c r="D265" t="inlineStr">
        <is>
          <t>NORRBOTTENS LÄN</t>
        </is>
      </c>
      <c r="E265" t="inlineStr">
        <is>
          <t>GÄLLIVARE</t>
        </is>
      </c>
      <c r="F265" t="inlineStr">
        <is>
          <t>SCA</t>
        </is>
      </c>
      <c r="G265" t="n">
        <v>8</v>
      </c>
      <c r="H265" t="n">
        <v>0</v>
      </c>
      <c r="I265" t="n">
        <v>0</v>
      </c>
      <c r="J265" t="n">
        <v>0</v>
      </c>
      <c r="K265" t="n">
        <v>0</v>
      </c>
      <c r="L265" t="n">
        <v>0</v>
      </c>
      <c r="M265" t="n">
        <v>0</v>
      </c>
      <c r="N265" t="n">
        <v>0</v>
      </c>
      <c r="O265" t="n">
        <v>0</v>
      </c>
      <c r="P265" t="n">
        <v>0</v>
      </c>
      <c r="Q265" t="n">
        <v>0</v>
      </c>
      <c r="R265" s="2" t="inlineStr"/>
    </row>
    <row r="266" ht="15" customHeight="1">
      <c r="A266" t="inlineStr">
        <is>
          <t>A 52061-2020</t>
        </is>
      </c>
      <c r="B266" s="1" t="n">
        <v>44116</v>
      </c>
      <c r="C266" s="1" t="n">
        <v>45642</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52055-2020</t>
        </is>
      </c>
      <c r="B267" s="1" t="n">
        <v>44116</v>
      </c>
      <c r="C267" s="1" t="n">
        <v>45642</v>
      </c>
      <c r="D267" t="inlineStr">
        <is>
          <t>NORRBOTTENS LÄN</t>
        </is>
      </c>
      <c r="E267" t="inlineStr">
        <is>
          <t>GÄLLIVARE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55168-2020</t>
        </is>
      </c>
      <c r="B268" s="1" t="n">
        <v>44130</v>
      </c>
      <c r="C268" s="1" t="n">
        <v>45642</v>
      </c>
      <c r="D268" t="inlineStr">
        <is>
          <t>NORRBOTTENS LÄN</t>
        </is>
      </c>
      <c r="E268" t="inlineStr">
        <is>
          <t>GÄLLIVARE</t>
        </is>
      </c>
      <c r="G268" t="n">
        <v>0.7</v>
      </c>
      <c r="H268" t="n">
        <v>0</v>
      </c>
      <c r="I268" t="n">
        <v>0</v>
      </c>
      <c r="J268" t="n">
        <v>0</v>
      </c>
      <c r="K268" t="n">
        <v>0</v>
      </c>
      <c r="L268" t="n">
        <v>0</v>
      </c>
      <c r="M268" t="n">
        <v>0</v>
      </c>
      <c r="N268" t="n">
        <v>0</v>
      </c>
      <c r="O268" t="n">
        <v>0</v>
      </c>
      <c r="P268" t="n">
        <v>0</v>
      </c>
      <c r="Q268" t="n">
        <v>0</v>
      </c>
      <c r="R268" s="2" t="inlineStr"/>
    </row>
    <row r="269" ht="15" customHeight="1">
      <c r="A269" t="inlineStr">
        <is>
          <t>A 55180-2020</t>
        </is>
      </c>
      <c r="B269" s="1" t="n">
        <v>44130</v>
      </c>
      <c r="C269" s="1" t="n">
        <v>45642</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58384-2020</t>
        </is>
      </c>
      <c r="B270" s="1" t="n">
        <v>44144</v>
      </c>
      <c r="C270" s="1" t="n">
        <v>45642</v>
      </c>
      <c r="D270" t="inlineStr">
        <is>
          <t>NORRBOTTENS LÄN</t>
        </is>
      </c>
      <c r="E270" t="inlineStr">
        <is>
          <t>GÄLLIVARE</t>
        </is>
      </c>
      <c r="F270" t="inlineStr">
        <is>
          <t>Allmännings- och besparingsskogar</t>
        </is>
      </c>
      <c r="G270" t="n">
        <v>7.1</v>
      </c>
      <c r="H270" t="n">
        <v>0</v>
      </c>
      <c r="I270" t="n">
        <v>0</v>
      </c>
      <c r="J270" t="n">
        <v>0</v>
      </c>
      <c r="K270" t="n">
        <v>0</v>
      </c>
      <c r="L270" t="n">
        <v>0</v>
      </c>
      <c r="M270" t="n">
        <v>0</v>
      </c>
      <c r="N270" t="n">
        <v>0</v>
      </c>
      <c r="O270" t="n">
        <v>0</v>
      </c>
      <c r="P270" t="n">
        <v>0</v>
      </c>
      <c r="Q270" t="n">
        <v>0</v>
      </c>
      <c r="R270" s="2" t="inlineStr"/>
    </row>
    <row r="271" ht="15" customHeight="1">
      <c r="A271" t="inlineStr">
        <is>
          <t>A 58409-2020</t>
        </is>
      </c>
      <c r="B271" s="1" t="n">
        <v>44144</v>
      </c>
      <c r="C271" s="1" t="n">
        <v>45642</v>
      </c>
      <c r="D271" t="inlineStr">
        <is>
          <t>NORRBOTTENS LÄN</t>
        </is>
      </c>
      <c r="E271" t="inlineStr">
        <is>
          <t>GÄLLIVARE</t>
        </is>
      </c>
      <c r="F271" t="inlineStr">
        <is>
          <t>Allmännings- och besparingsskogar</t>
        </is>
      </c>
      <c r="G271" t="n">
        <v>9.1</v>
      </c>
      <c r="H271" t="n">
        <v>0</v>
      </c>
      <c r="I271" t="n">
        <v>0</v>
      </c>
      <c r="J271" t="n">
        <v>0</v>
      </c>
      <c r="K271" t="n">
        <v>0</v>
      </c>
      <c r="L271" t="n">
        <v>0</v>
      </c>
      <c r="M271" t="n">
        <v>0</v>
      </c>
      <c r="N271" t="n">
        <v>0</v>
      </c>
      <c r="O271" t="n">
        <v>0</v>
      </c>
      <c r="P271" t="n">
        <v>0</v>
      </c>
      <c r="Q271" t="n">
        <v>0</v>
      </c>
      <c r="R271" s="2" t="inlineStr"/>
    </row>
    <row r="272" ht="15" customHeight="1">
      <c r="A272" t="inlineStr">
        <is>
          <t>A 65484-2020</t>
        </is>
      </c>
      <c r="B272" s="1" t="n">
        <v>44169</v>
      </c>
      <c r="C272" s="1" t="n">
        <v>45642</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291-2021</t>
        </is>
      </c>
      <c r="B273" s="1" t="n">
        <v>44200</v>
      </c>
      <c r="C273" s="1" t="n">
        <v>45642</v>
      </c>
      <c r="D273" t="inlineStr">
        <is>
          <t>NORRBOTTENS LÄN</t>
        </is>
      </c>
      <c r="E273" t="inlineStr">
        <is>
          <t>GÄLLIVARE</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2540-2021</t>
        </is>
      </c>
      <c r="B274" s="1" t="n">
        <v>44214</v>
      </c>
      <c r="C274" s="1" t="n">
        <v>45642</v>
      </c>
      <c r="D274" t="inlineStr">
        <is>
          <t>NORRBOTTENS LÄN</t>
        </is>
      </c>
      <c r="E274" t="inlineStr">
        <is>
          <t>GÄLLIVARE</t>
        </is>
      </c>
      <c r="G274" t="n">
        <v>6.5</v>
      </c>
      <c r="H274" t="n">
        <v>0</v>
      </c>
      <c r="I274" t="n">
        <v>0</v>
      </c>
      <c r="J274" t="n">
        <v>0</v>
      </c>
      <c r="K274" t="n">
        <v>0</v>
      </c>
      <c r="L274" t="n">
        <v>0</v>
      </c>
      <c r="M274" t="n">
        <v>0</v>
      </c>
      <c r="N274" t="n">
        <v>0</v>
      </c>
      <c r="O274" t="n">
        <v>0</v>
      </c>
      <c r="P274" t="n">
        <v>0</v>
      </c>
      <c r="Q274" t="n">
        <v>0</v>
      </c>
      <c r="R274" s="2" t="inlineStr"/>
    </row>
    <row r="275" ht="15" customHeight="1">
      <c r="A275" t="inlineStr">
        <is>
          <t>A 2545-2021</t>
        </is>
      </c>
      <c r="B275" s="1" t="n">
        <v>44214</v>
      </c>
      <c r="C275" s="1" t="n">
        <v>45642</v>
      </c>
      <c r="D275" t="inlineStr">
        <is>
          <t>NORRBOTTENS LÄN</t>
        </is>
      </c>
      <c r="E275" t="inlineStr">
        <is>
          <t>GÄLLIVARE</t>
        </is>
      </c>
      <c r="G275" t="n">
        <v>6.5</v>
      </c>
      <c r="H275" t="n">
        <v>0</v>
      </c>
      <c r="I275" t="n">
        <v>0</v>
      </c>
      <c r="J275" t="n">
        <v>0</v>
      </c>
      <c r="K275" t="n">
        <v>0</v>
      </c>
      <c r="L275" t="n">
        <v>0</v>
      </c>
      <c r="M275" t="n">
        <v>0</v>
      </c>
      <c r="N275" t="n">
        <v>0</v>
      </c>
      <c r="O275" t="n">
        <v>0</v>
      </c>
      <c r="P275" t="n">
        <v>0</v>
      </c>
      <c r="Q275" t="n">
        <v>0</v>
      </c>
      <c r="R275" s="2" t="inlineStr"/>
    </row>
    <row r="276" ht="15" customHeight="1">
      <c r="A276" t="inlineStr">
        <is>
          <t>A 2538-2021</t>
        </is>
      </c>
      <c r="B276" s="1" t="n">
        <v>44214</v>
      </c>
      <c r="C276" s="1" t="n">
        <v>45642</v>
      </c>
      <c r="D276" t="inlineStr">
        <is>
          <t>NORRBOTTENS LÄN</t>
        </is>
      </c>
      <c r="E276" t="inlineStr">
        <is>
          <t>GÄLLIVARE</t>
        </is>
      </c>
      <c r="F276" t="inlineStr">
        <is>
          <t>Kommuner</t>
        </is>
      </c>
      <c r="G276" t="n">
        <v>2.7</v>
      </c>
      <c r="H276" t="n">
        <v>0</v>
      </c>
      <c r="I276" t="n">
        <v>0</v>
      </c>
      <c r="J276" t="n">
        <v>0</v>
      </c>
      <c r="K276" t="n">
        <v>0</v>
      </c>
      <c r="L276" t="n">
        <v>0</v>
      </c>
      <c r="M276" t="n">
        <v>0</v>
      </c>
      <c r="N276" t="n">
        <v>0</v>
      </c>
      <c r="O276" t="n">
        <v>0</v>
      </c>
      <c r="P276" t="n">
        <v>0</v>
      </c>
      <c r="Q276" t="n">
        <v>0</v>
      </c>
      <c r="R276" s="2" t="inlineStr"/>
    </row>
    <row r="277" ht="15" customHeight="1">
      <c r="A277" t="inlineStr">
        <is>
          <t>A 2548-2021</t>
        </is>
      </c>
      <c r="B277" s="1" t="n">
        <v>44214</v>
      </c>
      <c r="C277" s="1" t="n">
        <v>45642</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13204-2021</t>
        </is>
      </c>
      <c r="B278" s="1" t="n">
        <v>44272</v>
      </c>
      <c r="C278" s="1" t="n">
        <v>45642</v>
      </c>
      <c r="D278" t="inlineStr">
        <is>
          <t>NORRBOTTENS LÄN</t>
        </is>
      </c>
      <c r="E278" t="inlineStr">
        <is>
          <t>GÄLLIVARE</t>
        </is>
      </c>
      <c r="G278" t="n">
        <v>41.2</v>
      </c>
      <c r="H278" t="n">
        <v>0</v>
      </c>
      <c r="I278" t="n">
        <v>0</v>
      </c>
      <c r="J278" t="n">
        <v>0</v>
      </c>
      <c r="K278" t="n">
        <v>0</v>
      </c>
      <c r="L278" t="n">
        <v>0</v>
      </c>
      <c r="M278" t="n">
        <v>0</v>
      </c>
      <c r="N278" t="n">
        <v>0</v>
      </c>
      <c r="O278" t="n">
        <v>0</v>
      </c>
      <c r="P278" t="n">
        <v>0</v>
      </c>
      <c r="Q278" t="n">
        <v>0</v>
      </c>
      <c r="R278" s="2" t="inlineStr"/>
    </row>
    <row r="279" ht="15" customHeight="1">
      <c r="A279" t="inlineStr">
        <is>
          <t>A 18677-2021</t>
        </is>
      </c>
      <c r="B279" s="1" t="n">
        <v>44307</v>
      </c>
      <c r="C279" s="1" t="n">
        <v>45642</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18678-2021</t>
        </is>
      </c>
      <c r="B280" s="1" t="n">
        <v>44307</v>
      </c>
      <c r="C280" s="1" t="n">
        <v>45642</v>
      </c>
      <c r="D280" t="inlineStr">
        <is>
          <t>NORRBOTTENS LÄN</t>
        </is>
      </c>
      <c r="E280" t="inlineStr">
        <is>
          <t>GÄLLIVARE</t>
        </is>
      </c>
      <c r="F280" t="inlineStr">
        <is>
          <t>SCA</t>
        </is>
      </c>
      <c r="G280" t="n">
        <v>23.2</v>
      </c>
      <c r="H280" t="n">
        <v>0</v>
      </c>
      <c r="I280" t="n">
        <v>0</v>
      </c>
      <c r="J280" t="n">
        <v>0</v>
      </c>
      <c r="K280" t="n">
        <v>0</v>
      </c>
      <c r="L280" t="n">
        <v>0</v>
      </c>
      <c r="M280" t="n">
        <v>0</v>
      </c>
      <c r="N280" t="n">
        <v>0</v>
      </c>
      <c r="O280" t="n">
        <v>0</v>
      </c>
      <c r="P280" t="n">
        <v>0</v>
      </c>
      <c r="Q280" t="n">
        <v>0</v>
      </c>
      <c r="R280" s="2" t="inlineStr"/>
    </row>
    <row r="281" ht="15" customHeight="1">
      <c r="A281" t="inlineStr">
        <is>
          <t>A 21425-2021</t>
        </is>
      </c>
      <c r="B281" s="1" t="n">
        <v>44321</v>
      </c>
      <c r="C281" s="1" t="n">
        <v>45642</v>
      </c>
      <c r="D281" t="inlineStr">
        <is>
          <t>NORRBOTTENS LÄN</t>
        </is>
      </c>
      <c r="E281" t="inlineStr">
        <is>
          <t>GÄLLIVARE</t>
        </is>
      </c>
      <c r="G281" t="n">
        <v>4.7</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45642</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28314-2021</t>
        </is>
      </c>
      <c r="B283" s="1" t="n">
        <v>44356</v>
      </c>
      <c r="C283" s="1" t="n">
        <v>45642</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29196-2021</t>
        </is>
      </c>
      <c r="B284" s="1" t="n">
        <v>44358</v>
      </c>
      <c r="C284" s="1" t="n">
        <v>45642</v>
      </c>
      <c r="D284" t="inlineStr">
        <is>
          <t>NORRBOTTENS LÄN</t>
        </is>
      </c>
      <c r="E284" t="inlineStr">
        <is>
          <t>GÄLLIVARE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29194-2021</t>
        </is>
      </c>
      <c r="B285" s="1" t="n">
        <v>44358</v>
      </c>
      <c r="C285" s="1" t="n">
        <v>45642</v>
      </c>
      <c r="D285" t="inlineStr">
        <is>
          <t>NORRBOTTENS LÄN</t>
        </is>
      </c>
      <c r="E285" t="inlineStr">
        <is>
          <t>GÄLLIVARE</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29608-2021</t>
        </is>
      </c>
      <c r="B286" s="1" t="n">
        <v>44361</v>
      </c>
      <c r="C286" s="1" t="n">
        <v>45642</v>
      </c>
      <c r="D286" t="inlineStr">
        <is>
          <t>NORRBOTTENS LÄN</t>
        </is>
      </c>
      <c r="E286" t="inlineStr">
        <is>
          <t>GÄLLIVARE</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30994-2021</t>
        </is>
      </c>
      <c r="B287" s="1" t="n">
        <v>44366</v>
      </c>
      <c r="C287" s="1" t="n">
        <v>45642</v>
      </c>
      <c r="D287" t="inlineStr">
        <is>
          <t>NORRBOTTENS LÄN</t>
        </is>
      </c>
      <c r="E287" t="inlineStr">
        <is>
          <t>GÄLLIVARE</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32929-2021</t>
        </is>
      </c>
      <c r="B288" s="1" t="n">
        <v>44375</v>
      </c>
      <c r="C288" s="1" t="n">
        <v>45642</v>
      </c>
      <c r="D288" t="inlineStr">
        <is>
          <t>NORRBOTTENS LÄN</t>
        </is>
      </c>
      <c r="E288" t="inlineStr">
        <is>
          <t>GÄLLIVARE</t>
        </is>
      </c>
      <c r="G288" t="n">
        <v>1.7</v>
      </c>
      <c r="H288" t="n">
        <v>0</v>
      </c>
      <c r="I288" t="n">
        <v>0</v>
      </c>
      <c r="J288" t="n">
        <v>0</v>
      </c>
      <c r="K288" t="n">
        <v>0</v>
      </c>
      <c r="L288" t="n">
        <v>0</v>
      </c>
      <c r="M288" t="n">
        <v>0</v>
      </c>
      <c r="N288" t="n">
        <v>0</v>
      </c>
      <c r="O288" t="n">
        <v>0</v>
      </c>
      <c r="P288" t="n">
        <v>0</v>
      </c>
      <c r="Q288" t="n">
        <v>0</v>
      </c>
      <c r="R288" s="2" t="inlineStr"/>
    </row>
    <row r="289" ht="15" customHeight="1">
      <c r="A289" t="inlineStr">
        <is>
          <t>A 36233-2021</t>
        </is>
      </c>
      <c r="B289" s="1" t="n">
        <v>44390</v>
      </c>
      <c r="C289" s="1" t="n">
        <v>45642</v>
      </c>
      <c r="D289" t="inlineStr">
        <is>
          <t>NORRBOTTENS LÄN</t>
        </is>
      </c>
      <c r="E289" t="inlineStr">
        <is>
          <t>GÄLLIVARE</t>
        </is>
      </c>
      <c r="F289" t="inlineStr">
        <is>
          <t>SCA</t>
        </is>
      </c>
      <c r="G289" t="n">
        <v>22.3</v>
      </c>
      <c r="H289" t="n">
        <v>0</v>
      </c>
      <c r="I289" t="n">
        <v>0</v>
      </c>
      <c r="J289" t="n">
        <v>0</v>
      </c>
      <c r="K289" t="n">
        <v>0</v>
      </c>
      <c r="L289" t="n">
        <v>0</v>
      </c>
      <c r="M289" t="n">
        <v>0</v>
      </c>
      <c r="N289" t="n">
        <v>0</v>
      </c>
      <c r="O289" t="n">
        <v>0</v>
      </c>
      <c r="P289" t="n">
        <v>0</v>
      </c>
      <c r="Q289" t="n">
        <v>0</v>
      </c>
      <c r="R289" s="2" t="inlineStr"/>
    </row>
    <row r="290" ht="15" customHeight="1">
      <c r="A290" t="inlineStr">
        <is>
          <t>A 36681-2021</t>
        </is>
      </c>
      <c r="B290" s="1" t="n">
        <v>44392</v>
      </c>
      <c r="C290" s="1" t="n">
        <v>45642</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37551-2021</t>
        </is>
      </c>
      <c r="B291" s="1" t="n">
        <v>44399</v>
      </c>
      <c r="C291" s="1" t="n">
        <v>45642</v>
      </c>
      <c r="D291" t="inlineStr">
        <is>
          <t>NORRBOTTENS LÄN</t>
        </is>
      </c>
      <c r="E291" t="inlineStr">
        <is>
          <t>GÄLLIVARE</t>
        </is>
      </c>
      <c r="G291" t="n">
        <v>0.6</v>
      </c>
      <c r="H291" t="n">
        <v>0</v>
      </c>
      <c r="I291" t="n">
        <v>0</v>
      </c>
      <c r="J291" t="n">
        <v>0</v>
      </c>
      <c r="K291" t="n">
        <v>0</v>
      </c>
      <c r="L291" t="n">
        <v>0</v>
      </c>
      <c r="M291" t="n">
        <v>0</v>
      </c>
      <c r="N291" t="n">
        <v>0</v>
      </c>
      <c r="O291" t="n">
        <v>0</v>
      </c>
      <c r="P291" t="n">
        <v>0</v>
      </c>
      <c r="Q291" t="n">
        <v>0</v>
      </c>
      <c r="R291" s="2" t="inlineStr"/>
    </row>
    <row r="292" ht="15" customHeight="1">
      <c r="A292" t="inlineStr">
        <is>
          <t>A 38188-2021</t>
        </is>
      </c>
      <c r="B292" s="1" t="n">
        <v>44405</v>
      </c>
      <c r="C292" s="1" t="n">
        <v>45642</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38187-2021</t>
        </is>
      </c>
      <c r="B293" s="1" t="n">
        <v>44405</v>
      </c>
      <c r="C293" s="1" t="n">
        <v>45642</v>
      </c>
      <c r="D293" t="inlineStr">
        <is>
          <t>NORRBOTTENS LÄN</t>
        </is>
      </c>
      <c r="E293" t="inlineStr">
        <is>
          <t>GÄLLIVARE</t>
        </is>
      </c>
      <c r="G293" t="n">
        <v>1.5</v>
      </c>
      <c r="H293" t="n">
        <v>0</v>
      </c>
      <c r="I293" t="n">
        <v>0</v>
      </c>
      <c r="J293" t="n">
        <v>0</v>
      </c>
      <c r="K293" t="n">
        <v>0</v>
      </c>
      <c r="L293" t="n">
        <v>0</v>
      </c>
      <c r="M293" t="n">
        <v>0</v>
      </c>
      <c r="N293" t="n">
        <v>0</v>
      </c>
      <c r="O293" t="n">
        <v>0</v>
      </c>
      <c r="P293" t="n">
        <v>0</v>
      </c>
      <c r="Q293" t="n">
        <v>0</v>
      </c>
      <c r="R293" s="2" t="inlineStr"/>
    </row>
    <row r="294" ht="15" customHeight="1">
      <c r="A294" t="inlineStr">
        <is>
          <t>A 38186-2021</t>
        </is>
      </c>
      <c r="B294" s="1" t="n">
        <v>44405</v>
      </c>
      <c r="C294" s="1" t="n">
        <v>45642</v>
      </c>
      <c r="D294" t="inlineStr">
        <is>
          <t>NORRBOTTENS LÄN</t>
        </is>
      </c>
      <c r="E294" t="inlineStr">
        <is>
          <t>GÄLLIVARE</t>
        </is>
      </c>
      <c r="G294" t="n">
        <v>2</v>
      </c>
      <c r="H294" t="n">
        <v>0</v>
      </c>
      <c r="I294" t="n">
        <v>0</v>
      </c>
      <c r="J294" t="n">
        <v>0</v>
      </c>
      <c r="K294" t="n">
        <v>0</v>
      </c>
      <c r="L294" t="n">
        <v>0</v>
      </c>
      <c r="M294" t="n">
        <v>0</v>
      </c>
      <c r="N294" t="n">
        <v>0</v>
      </c>
      <c r="O294" t="n">
        <v>0</v>
      </c>
      <c r="P294" t="n">
        <v>0</v>
      </c>
      <c r="Q294" t="n">
        <v>0</v>
      </c>
      <c r="R294" s="2" t="inlineStr"/>
    </row>
    <row r="295" ht="15" customHeight="1">
      <c r="A295" t="inlineStr">
        <is>
          <t>A 38183-2021</t>
        </is>
      </c>
      <c r="B295" s="1" t="n">
        <v>44405</v>
      </c>
      <c r="C295" s="1" t="n">
        <v>45642</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38665-2021</t>
        </is>
      </c>
      <c r="B296" s="1" t="n">
        <v>44410</v>
      </c>
      <c r="C296" s="1" t="n">
        <v>45642</v>
      </c>
      <c r="D296" t="inlineStr">
        <is>
          <t>NORRBOTTENS LÄN</t>
        </is>
      </c>
      <c r="E296" t="inlineStr">
        <is>
          <t>GÄLLIVARE</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41057-2021</t>
        </is>
      </c>
      <c r="B297" s="1" t="n">
        <v>44422</v>
      </c>
      <c r="C297" s="1" t="n">
        <v>45642</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42230-2021</t>
        </is>
      </c>
      <c r="B298" s="1" t="n">
        <v>44426</v>
      </c>
      <c r="C298" s="1" t="n">
        <v>45642</v>
      </c>
      <c r="D298" t="inlineStr">
        <is>
          <t>NORRBOTTENS LÄN</t>
        </is>
      </c>
      <c r="E298" t="inlineStr">
        <is>
          <t>GÄLLIVARE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42529-2021</t>
        </is>
      </c>
      <c r="B299" s="1" t="n">
        <v>44428</v>
      </c>
      <c r="C299" s="1" t="n">
        <v>45642</v>
      </c>
      <c r="D299" t="inlineStr">
        <is>
          <t>NORRBOTTENS LÄN</t>
        </is>
      </c>
      <c r="E299" t="inlineStr">
        <is>
          <t>GÄLLIVARE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42686-2021</t>
        </is>
      </c>
      <c r="B300" s="1" t="n">
        <v>44428</v>
      </c>
      <c r="C300" s="1" t="n">
        <v>45642</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43092-2021</t>
        </is>
      </c>
      <c r="B301" s="1" t="n">
        <v>44431</v>
      </c>
      <c r="C301" s="1" t="n">
        <v>45642</v>
      </c>
      <c r="D301" t="inlineStr">
        <is>
          <t>NORRBOTTENS LÄN</t>
        </is>
      </c>
      <c r="E301" t="inlineStr">
        <is>
          <t>GÄLLIVARE</t>
        </is>
      </c>
      <c r="G301" t="n">
        <v>0.9</v>
      </c>
      <c r="H301" t="n">
        <v>0</v>
      </c>
      <c r="I301" t="n">
        <v>0</v>
      </c>
      <c r="J301" t="n">
        <v>0</v>
      </c>
      <c r="K301" t="n">
        <v>0</v>
      </c>
      <c r="L301" t="n">
        <v>0</v>
      </c>
      <c r="M301" t="n">
        <v>0</v>
      </c>
      <c r="N301" t="n">
        <v>0</v>
      </c>
      <c r="O301" t="n">
        <v>0</v>
      </c>
      <c r="P301" t="n">
        <v>0</v>
      </c>
      <c r="Q301" t="n">
        <v>0</v>
      </c>
      <c r="R301" s="2" t="inlineStr"/>
    </row>
    <row r="302" ht="15" customHeight="1">
      <c r="A302" t="inlineStr">
        <is>
          <t>A 43111-2021</t>
        </is>
      </c>
      <c r="B302" s="1" t="n">
        <v>44431</v>
      </c>
      <c r="C302" s="1" t="n">
        <v>45642</v>
      </c>
      <c r="D302" t="inlineStr">
        <is>
          <t>NORRBOTTENS LÄN</t>
        </is>
      </c>
      <c r="E302" t="inlineStr">
        <is>
          <t>GÄLLIVARE</t>
        </is>
      </c>
      <c r="F302" t="inlineStr">
        <is>
          <t>Allmännings- och besparingsskogar</t>
        </is>
      </c>
      <c r="G302" t="n">
        <v>18.9</v>
      </c>
      <c r="H302" t="n">
        <v>0</v>
      </c>
      <c r="I302" t="n">
        <v>0</v>
      </c>
      <c r="J302" t="n">
        <v>0</v>
      </c>
      <c r="K302" t="n">
        <v>0</v>
      </c>
      <c r="L302" t="n">
        <v>0</v>
      </c>
      <c r="M302" t="n">
        <v>0</v>
      </c>
      <c r="N302" t="n">
        <v>0</v>
      </c>
      <c r="O302" t="n">
        <v>0</v>
      </c>
      <c r="P302" t="n">
        <v>0</v>
      </c>
      <c r="Q302" t="n">
        <v>0</v>
      </c>
      <c r="R302" s="2" t="inlineStr"/>
    </row>
    <row r="303" ht="15" customHeight="1">
      <c r="A303" t="inlineStr">
        <is>
          <t>A 43489-2021</t>
        </is>
      </c>
      <c r="B303" s="1" t="n">
        <v>44432</v>
      </c>
      <c r="C303" s="1" t="n">
        <v>45642</v>
      </c>
      <c r="D303" t="inlineStr">
        <is>
          <t>NORRBOTTENS LÄN</t>
        </is>
      </c>
      <c r="E303" t="inlineStr">
        <is>
          <t>GÄLLIVARE</t>
        </is>
      </c>
      <c r="F303" t="inlineStr">
        <is>
          <t>SCA</t>
        </is>
      </c>
      <c r="G303" t="n">
        <v>18.9</v>
      </c>
      <c r="H303" t="n">
        <v>0</v>
      </c>
      <c r="I303" t="n">
        <v>0</v>
      </c>
      <c r="J303" t="n">
        <v>0</v>
      </c>
      <c r="K303" t="n">
        <v>0</v>
      </c>
      <c r="L303" t="n">
        <v>0</v>
      </c>
      <c r="M303" t="n">
        <v>0</v>
      </c>
      <c r="N303" t="n">
        <v>0</v>
      </c>
      <c r="O303" t="n">
        <v>0</v>
      </c>
      <c r="P303" t="n">
        <v>0</v>
      </c>
      <c r="Q303" t="n">
        <v>0</v>
      </c>
      <c r="R303" s="2" t="inlineStr"/>
    </row>
    <row r="304" ht="15" customHeight="1">
      <c r="A304" t="inlineStr">
        <is>
          <t>A 44853-2021</t>
        </is>
      </c>
      <c r="B304" s="1" t="n">
        <v>44438</v>
      </c>
      <c r="C304" s="1" t="n">
        <v>45642</v>
      </c>
      <c r="D304" t="inlineStr">
        <is>
          <t>NORRBOTTENS LÄN</t>
        </is>
      </c>
      <c r="E304" t="inlineStr">
        <is>
          <t>GÄLLIVARE</t>
        </is>
      </c>
      <c r="G304" t="n">
        <v>3.7</v>
      </c>
      <c r="H304" t="n">
        <v>0</v>
      </c>
      <c r="I304" t="n">
        <v>0</v>
      </c>
      <c r="J304" t="n">
        <v>0</v>
      </c>
      <c r="K304" t="n">
        <v>0</v>
      </c>
      <c r="L304" t="n">
        <v>0</v>
      </c>
      <c r="M304" t="n">
        <v>0</v>
      </c>
      <c r="N304" t="n">
        <v>0</v>
      </c>
      <c r="O304" t="n">
        <v>0</v>
      </c>
      <c r="P304" t="n">
        <v>0</v>
      </c>
      <c r="Q304" t="n">
        <v>0</v>
      </c>
      <c r="R304" s="2" t="inlineStr"/>
    </row>
    <row r="305" ht="15" customHeight="1">
      <c r="A305" t="inlineStr">
        <is>
          <t>A 45019-2021</t>
        </is>
      </c>
      <c r="B305" s="1" t="n">
        <v>44439</v>
      </c>
      <c r="C305" s="1" t="n">
        <v>45642</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46728-2021</t>
        </is>
      </c>
      <c r="B306" s="1" t="n">
        <v>44445</v>
      </c>
      <c r="C306" s="1" t="n">
        <v>45642</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48074-2021</t>
        </is>
      </c>
      <c r="B307" s="1" t="n">
        <v>44449</v>
      </c>
      <c r="C307" s="1" t="n">
        <v>45642</v>
      </c>
      <c r="D307" t="inlineStr">
        <is>
          <t>NORRBOTTENS LÄN</t>
        </is>
      </c>
      <c r="E307" t="inlineStr">
        <is>
          <t>GÄLLIVARE</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52181-2021</t>
        </is>
      </c>
      <c r="B308" s="1" t="n">
        <v>44463</v>
      </c>
      <c r="C308" s="1" t="n">
        <v>45642</v>
      </c>
      <c r="D308" t="inlineStr">
        <is>
          <t>NORRBOTTENS LÄN</t>
        </is>
      </c>
      <c r="E308" t="inlineStr">
        <is>
          <t>GÄLLIVARE</t>
        </is>
      </c>
      <c r="G308" t="n">
        <v>5.3</v>
      </c>
      <c r="H308" t="n">
        <v>0</v>
      </c>
      <c r="I308" t="n">
        <v>0</v>
      </c>
      <c r="J308" t="n">
        <v>0</v>
      </c>
      <c r="K308" t="n">
        <v>0</v>
      </c>
      <c r="L308" t="n">
        <v>0</v>
      </c>
      <c r="M308" t="n">
        <v>0</v>
      </c>
      <c r="N308" t="n">
        <v>0</v>
      </c>
      <c r="O308" t="n">
        <v>0</v>
      </c>
      <c r="P308" t="n">
        <v>0</v>
      </c>
      <c r="Q308" t="n">
        <v>0</v>
      </c>
      <c r="R308" s="2" t="inlineStr"/>
    </row>
    <row r="309" ht="15" customHeight="1">
      <c r="A309" t="inlineStr">
        <is>
          <t>A 54820-2021</t>
        </is>
      </c>
      <c r="B309" s="1" t="n">
        <v>44473</v>
      </c>
      <c r="C309" s="1" t="n">
        <v>45642</v>
      </c>
      <c r="D309" t="inlineStr">
        <is>
          <t>NORRBOTTENS LÄN</t>
        </is>
      </c>
      <c r="E309" t="inlineStr">
        <is>
          <t>GÄLLIVARE</t>
        </is>
      </c>
      <c r="F309" t="inlineStr">
        <is>
          <t>SCA</t>
        </is>
      </c>
      <c r="G309" t="n">
        <v>14.7</v>
      </c>
      <c r="H309" t="n">
        <v>0</v>
      </c>
      <c r="I309" t="n">
        <v>0</v>
      </c>
      <c r="J309" t="n">
        <v>0</v>
      </c>
      <c r="K309" t="n">
        <v>0</v>
      </c>
      <c r="L309" t="n">
        <v>0</v>
      </c>
      <c r="M309" t="n">
        <v>0</v>
      </c>
      <c r="N309" t="n">
        <v>0</v>
      </c>
      <c r="O309" t="n">
        <v>0</v>
      </c>
      <c r="P309" t="n">
        <v>0</v>
      </c>
      <c r="Q309" t="n">
        <v>0</v>
      </c>
      <c r="R309" s="2" t="inlineStr"/>
    </row>
    <row r="310" ht="15" customHeight="1">
      <c r="A310" t="inlineStr">
        <is>
          <t>A 56290-2021</t>
        </is>
      </c>
      <c r="B310" s="1" t="n">
        <v>44479</v>
      </c>
      <c r="C310" s="1" t="n">
        <v>45642</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56288-2021</t>
        </is>
      </c>
      <c r="B311" s="1" t="n">
        <v>44479</v>
      </c>
      <c r="C311" s="1" t="n">
        <v>45642</v>
      </c>
      <c r="D311" t="inlineStr">
        <is>
          <t>NORRBOTTENS LÄN</t>
        </is>
      </c>
      <c r="E311" t="inlineStr">
        <is>
          <t>GÄLLIVARE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56910-2021</t>
        </is>
      </c>
      <c r="B312" s="1" t="n">
        <v>44481</v>
      </c>
      <c r="C312" s="1" t="n">
        <v>45642</v>
      </c>
      <c r="D312" t="inlineStr">
        <is>
          <t>NORRBOTTENS LÄN</t>
        </is>
      </c>
      <c r="E312" t="inlineStr">
        <is>
          <t>GÄLLIVARE</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57208-2021</t>
        </is>
      </c>
      <c r="B313" s="1" t="n">
        <v>44483</v>
      </c>
      <c r="C313" s="1" t="n">
        <v>45642</v>
      </c>
      <c r="D313" t="inlineStr">
        <is>
          <t>NORRBOTTENS LÄN</t>
        </is>
      </c>
      <c r="E313" t="inlineStr">
        <is>
          <t>GÄLLIVARE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57534-2021</t>
        </is>
      </c>
      <c r="B314" s="1" t="n">
        <v>44483</v>
      </c>
      <c r="C314" s="1" t="n">
        <v>45642</v>
      </c>
      <c r="D314" t="inlineStr">
        <is>
          <t>NORRBOTTENS LÄN</t>
        </is>
      </c>
      <c r="E314" t="inlineStr">
        <is>
          <t>GÄLLIVARE</t>
        </is>
      </c>
      <c r="G314" t="n">
        <v>11.1</v>
      </c>
      <c r="H314" t="n">
        <v>0</v>
      </c>
      <c r="I314" t="n">
        <v>0</v>
      </c>
      <c r="J314" t="n">
        <v>0</v>
      </c>
      <c r="K314" t="n">
        <v>0</v>
      </c>
      <c r="L314" t="n">
        <v>0</v>
      </c>
      <c r="M314" t="n">
        <v>0</v>
      </c>
      <c r="N314" t="n">
        <v>0</v>
      </c>
      <c r="O314" t="n">
        <v>0</v>
      </c>
      <c r="P314" t="n">
        <v>0</v>
      </c>
      <c r="Q314" t="n">
        <v>0</v>
      </c>
      <c r="R314" s="2" t="inlineStr"/>
    </row>
    <row r="315" ht="15" customHeight="1">
      <c r="A315" t="inlineStr">
        <is>
          <t>A 58343-2021</t>
        </is>
      </c>
      <c r="B315" s="1" t="n">
        <v>44488</v>
      </c>
      <c r="C315" s="1" t="n">
        <v>45642</v>
      </c>
      <c r="D315" t="inlineStr">
        <is>
          <t>NORRBOTTENS LÄN</t>
        </is>
      </c>
      <c r="E315" t="inlineStr">
        <is>
          <t>GÄLLIVARE</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58412-2021</t>
        </is>
      </c>
      <c r="B316" s="1" t="n">
        <v>44488</v>
      </c>
      <c r="C316" s="1" t="n">
        <v>45642</v>
      </c>
      <c r="D316" t="inlineStr">
        <is>
          <t>NORRBOTTENS LÄN</t>
        </is>
      </c>
      <c r="E316" t="inlineStr">
        <is>
          <t>GÄLLIVARE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58414-2021</t>
        </is>
      </c>
      <c r="B317" s="1" t="n">
        <v>44488</v>
      </c>
      <c r="C317" s="1" t="n">
        <v>45642</v>
      </c>
      <c r="D317" t="inlineStr">
        <is>
          <t>NORRBOTTENS LÄN</t>
        </is>
      </c>
      <c r="E317" t="inlineStr">
        <is>
          <t>GÄLLIVARE</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45642</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63155-2021</t>
        </is>
      </c>
      <c r="B319" s="1" t="n">
        <v>44505</v>
      </c>
      <c r="C319" s="1" t="n">
        <v>45642</v>
      </c>
      <c r="D319" t="inlineStr">
        <is>
          <t>NORRBOTTENS LÄN</t>
        </is>
      </c>
      <c r="E319" t="inlineStr">
        <is>
          <t>GÄLLIVARE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63156-2021</t>
        </is>
      </c>
      <c r="B320" s="1" t="n">
        <v>44505</v>
      </c>
      <c r="C320" s="1" t="n">
        <v>45642</v>
      </c>
      <c r="D320" t="inlineStr">
        <is>
          <t>NORRBOTTENS LÄN</t>
        </is>
      </c>
      <c r="E320" t="inlineStr">
        <is>
          <t>GÄLLIVARE</t>
        </is>
      </c>
      <c r="F320" t="inlineStr">
        <is>
          <t>SCA</t>
        </is>
      </c>
      <c r="G320" t="n">
        <v>6</v>
      </c>
      <c r="H320" t="n">
        <v>0</v>
      </c>
      <c r="I320" t="n">
        <v>0</v>
      </c>
      <c r="J320" t="n">
        <v>0</v>
      </c>
      <c r="K320" t="n">
        <v>0</v>
      </c>
      <c r="L320" t="n">
        <v>0</v>
      </c>
      <c r="M320" t="n">
        <v>0</v>
      </c>
      <c r="N320" t="n">
        <v>0</v>
      </c>
      <c r="O320" t="n">
        <v>0</v>
      </c>
      <c r="P320" t="n">
        <v>0</v>
      </c>
      <c r="Q320" t="n">
        <v>0</v>
      </c>
      <c r="R320" s="2" t="inlineStr"/>
    </row>
    <row r="321" ht="15" customHeight="1">
      <c r="A321" t="inlineStr">
        <is>
          <t>A 65517-2021</t>
        </is>
      </c>
      <c r="B321" s="1" t="n">
        <v>44516</v>
      </c>
      <c r="C321" s="1" t="n">
        <v>45642</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66264-2021</t>
        </is>
      </c>
      <c r="B322" s="1" t="n">
        <v>44518</v>
      </c>
      <c r="C322" s="1" t="n">
        <v>45642</v>
      </c>
      <c r="D322" t="inlineStr">
        <is>
          <t>NORRBOTTENS LÄN</t>
        </is>
      </c>
      <c r="E322" t="inlineStr">
        <is>
          <t>GÄLLIVARE</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66269-2021</t>
        </is>
      </c>
      <c r="B323" s="1" t="n">
        <v>44518</v>
      </c>
      <c r="C323" s="1" t="n">
        <v>45642</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66282-2021</t>
        </is>
      </c>
      <c r="B324" s="1" t="n">
        <v>44518</v>
      </c>
      <c r="C324" s="1" t="n">
        <v>45642</v>
      </c>
      <c r="D324" t="inlineStr">
        <is>
          <t>NORRBOTTENS LÄN</t>
        </is>
      </c>
      <c r="E324" t="inlineStr">
        <is>
          <t>GÄLLIVARE</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66257-2021</t>
        </is>
      </c>
      <c r="B325" s="1" t="n">
        <v>44518</v>
      </c>
      <c r="C325" s="1" t="n">
        <v>45642</v>
      </c>
      <c r="D325" t="inlineStr">
        <is>
          <t>NORRBOTTENS LÄN</t>
        </is>
      </c>
      <c r="E325" t="inlineStr">
        <is>
          <t>GÄLLIVARE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66278-2021</t>
        </is>
      </c>
      <c r="B326" s="1" t="n">
        <v>44518</v>
      </c>
      <c r="C326" s="1" t="n">
        <v>45642</v>
      </c>
      <c r="D326" t="inlineStr">
        <is>
          <t>NORRBOTTENS LÄN</t>
        </is>
      </c>
      <c r="E326" t="inlineStr">
        <is>
          <t>GÄLLIVARE</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66287-2021</t>
        </is>
      </c>
      <c r="B327" s="1" t="n">
        <v>44518</v>
      </c>
      <c r="C327" s="1" t="n">
        <v>45642</v>
      </c>
      <c r="D327" t="inlineStr">
        <is>
          <t>NORRBOTTENS LÄN</t>
        </is>
      </c>
      <c r="E327" t="inlineStr">
        <is>
          <t>GÄLLIVARE</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66950-2021</t>
        </is>
      </c>
      <c r="B328" s="1" t="n">
        <v>44522</v>
      </c>
      <c r="C328" s="1" t="n">
        <v>45642</v>
      </c>
      <c r="D328" t="inlineStr">
        <is>
          <t>NORRBOTTENS LÄN</t>
        </is>
      </c>
      <c r="E328" t="inlineStr">
        <is>
          <t>GÄLLIVARE</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66957-2021</t>
        </is>
      </c>
      <c r="B329" s="1" t="n">
        <v>44522</v>
      </c>
      <c r="C329" s="1" t="n">
        <v>45642</v>
      </c>
      <c r="D329" t="inlineStr">
        <is>
          <t>NORRBOTTENS LÄN</t>
        </is>
      </c>
      <c r="E329" t="inlineStr">
        <is>
          <t>GÄLLIVARE</t>
        </is>
      </c>
      <c r="F329" t="inlineStr">
        <is>
          <t>Allmännings- och besparingsskogar</t>
        </is>
      </c>
      <c r="G329" t="n">
        <v>54</v>
      </c>
      <c r="H329" t="n">
        <v>0</v>
      </c>
      <c r="I329" t="n">
        <v>0</v>
      </c>
      <c r="J329" t="n">
        <v>0</v>
      </c>
      <c r="K329" t="n">
        <v>0</v>
      </c>
      <c r="L329" t="n">
        <v>0</v>
      </c>
      <c r="M329" t="n">
        <v>0</v>
      </c>
      <c r="N329" t="n">
        <v>0</v>
      </c>
      <c r="O329" t="n">
        <v>0</v>
      </c>
      <c r="P329" t="n">
        <v>0</v>
      </c>
      <c r="Q329" t="n">
        <v>0</v>
      </c>
      <c r="R329" s="2" t="inlineStr"/>
    </row>
    <row r="330" ht="15" customHeight="1">
      <c r="A330" t="inlineStr">
        <is>
          <t>A 68199-2021</t>
        </is>
      </c>
      <c r="B330" s="1" t="n">
        <v>44525</v>
      </c>
      <c r="C330" s="1" t="n">
        <v>45642</v>
      </c>
      <c r="D330" t="inlineStr">
        <is>
          <t>NORRBOTTENS LÄN</t>
        </is>
      </c>
      <c r="E330" t="inlineStr">
        <is>
          <t>GÄLLIVARE</t>
        </is>
      </c>
      <c r="G330" t="n">
        <v>6.4</v>
      </c>
      <c r="H330" t="n">
        <v>0</v>
      </c>
      <c r="I330" t="n">
        <v>0</v>
      </c>
      <c r="J330" t="n">
        <v>0</v>
      </c>
      <c r="K330" t="n">
        <v>0</v>
      </c>
      <c r="L330" t="n">
        <v>0</v>
      </c>
      <c r="M330" t="n">
        <v>0</v>
      </c>
      <c r="N330" t="n">
        <v>0</v>
      </c>
      <c r="O330" t="n">
        <v>0</v>
      </c>
      <c r="P330" t="n">
        <v>0</v>
      </c>
      <c r="Q330" t="n">
        <v>0</v>
      </c>
      <c r="R330" s="2" t="inlineStr"/>
    </row>
    <row r="331" ht="15" customHeight="1">
      <c r="A331" t="inlineStr">
        <is>
          <t>A 68960-2021</t>
        </is>
      </c>
      <c r="B331" s="1" t="n">
        <v>44529</v>
      </c>
      <c r="C331" s="1" t="n">
        <v>45642</v>
      </c>
      <c r="D331" t="inlineStr">
        <is>
          <t>NORRBOTTENS LÄN</t>
        </is>
      </c>
      <c r="E331" t="inlineStr">
        <is>
          <t>GÄLLIVARE</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71941-2021</t>
        </is>
      </c>
      <c r="B332" s="1" t="n">
        <v>44543</v>
      </c>
      <c r="C332" s="1" t="n">
        <v>45642</v>
      </c>
      <c r="D332" t="inlineStr">
        <is>
          <t>NORRBOTTENS LÄN</t>
        </is>
      </c>
      <c r="E332" t="inlineStr">
        <is>
          <t>GÄLLIVARE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72762-2021</t>
        </is>
      </c>
      <c r="B333" s="1" t="n">
        <v>44546</v>
      </c>
      <c r="C333" s="1" t="n">
        <v>45642</v>
      </c>
      <c r="D333" t="inlineStr">
        <is>
          <t>NORRBOTTENS LÄN</t>
        </is>
      </c>
      <c r="E333" t="inlineStr">
        <is>
          <t>GÄLLIVARE</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73341-2021</t>
        </is>
      </c>
      <c r="B334" s="1" t="n">
        <v>44550</v>
      </c>
      <c r="C334" s="1" t="n">
        <v>45642</v>
      </c>
      <c r="D334" t="inlineStr">
        <is>
          <t>NORRBOTTENS LÄN</t>
        </is>
      </c>
      <c r="E334" t="inlineStr">
        <is>
          <t>GÄLLIVARE</t>
        </is>
      </c>
      <c r="G334" t="n">
        <v>0.6</v>
      </c>
      <c r="H334" t="n">
        <v>0</v>
      </c>
      <c r="I334" t="n">
        <v>0</v>
      </c>
      <c r="J334" t="n">
        <v>0</v>
      </c>
      <c r="K334" t="n">
        <v>0</v>
      </c>
      <c r="L334" t="n">
        <v>0</v>
      </c>
      <c r="M334" t="n">
        <v>0</v>
      </c>
      <c r="N334" t="n">
        <v>0</v>
      </c>
      <c r="O334" t="n">
        <v>0</v>
      </c>
      <c r="P334" t="n">
        <v>0</v>
      </c>
      <c r="Q334" t="n">
        <v>0</v>
      </c>
      <c r="R334" s="2" t="inlineStr"/>
    </row>
    <row r="335" ht="15" customHeight="1">
      <c r="A335" t="inlineStr">
        <is>
          <t>A 73337-2021</t>
        </is>
      </c>
      <c r="B335" s="1" t="n">
        <v>44550</v>
      </c>
      <c r="C335" s="1" t="n">
        <v>45642</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73335-2021</t>
        </is>
      </c>
      <c r="B336" s="1" t="n">
        <v>44550</v>
      </c>
      <c r="C336" s="1" t="n">
        <v>45642</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73353-2021</t>
        </is>
      </c>
      <c r="B337" s="1" t="n">
        <v>44551</v>
      </c>
      <c r="C337" s="1" t="n">
        <v>45642</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588-2022</t>
        </is>
      </c>
      <c r="B338" s="1" t="n">
        <v>44566</v>
      </c>
      <c r="C338" s="1" t="n">
        <v>45642</v>
      </c>
      <c r="D338" t="inlineStr">
        <is>
          <t>NORRBOTTENS LÄN</t>
        </is>
      </c>
      <c r="E338" t="inlineStr">
        <is>
          <t>GÄLLIVARE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2018-2022</t>
        </is>
      </c>
      <c r="B339" s="1" t="n">
        <v>44575</v>
      </c>
      <c r="C339" s="1" t="n">
        <v>45642</v>
      </c>
      <c r="D339" t="inlineStr">
        <is>
          <t>NORRBOTTENS LÄN</t>
        </is>
      </c>
      <c r="E339" t="inlineStr">
        <is>
          <t>GÄLLIVARE</t>
        </is>
      </c>
      <c r="G339" t="n">
        <v>11</v>
      </c>
      <c r="H339" t="n">
        <v>0</v>
      </c>
      <c r="I339" t="n">
        <v>0</v>
      </c>
      <c r="J339" t="n">
        <v>0</v>
      </c>
      <c r="K339" t="n">
        <v>0</v>
      </c>
      <c r="L339" t="n">
        <v>0</v>
      </c>
      <c r="M339" t="n">
        <v>0</v>
      </c>
      <c r="N339" t="n">
        <v>0</v>
      </c>
      <c r="O339" t="n">
        <v>0</v>
      </c>
      <c r="P339" t="n">
        <v>0</v>
      </c>
      <c r="Q339" t="n">
        <v>0</v>
      </c>
      <c r="R339" s="2" t="inlineStr"/>
    </row>
    <row r="340" ht="15" customHeight="1">
      <c r="A340" t="inlineStr">
        <is>
          <t>A 4016-2022</t>
        </is>
      </c>
      <c r="B340" s="1" t="n">
        <v>44587</v>
      </c>
      <c r="C340" s="1" t="n">
        <v>45642</v>
      </c>
      <c r="D340" t="inlineStr">
        <is>
          <t>NORRBOTTENS LÄN</t>
        </is>
      </c>
      <c r="E340" t="inlineStr">
        <is>
          <t>GÄLLIVARE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45642</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7538-2022</t>
        </is>
      </c>
      <c r="B342" s="1" t="n">
        <v>44607</v>
      </c>
      <c r="C342" s="1" t="n">
        <v>45642</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7683-2022</t>
        </is>
      </c>
      <c r="B343" s="1" t="n">
        <v>44607</v>
      </c>
      <c r="C343" s="1" t="n">
        <v>45642</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45642</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7676-2022</t>
        </is>
      </c>
      <c r="B345" s="1" t="n">
        <v>44607</v>
      </c>
      <c r="C345" s="1" t="n">
        <v>45642</v>
      </c>
      <c r="D345" t="inlineStr">
        <is>
          <t>NORRBOTTENS LÄN</t>
        </is>
      </c>
      <c r="E345" t="inlineStr">
        <is>
          <t>GÄLLIVARE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7682-2022</t>
        </is>
      </c>
      <c r="B346" s="1" t="n">
        <v>44607</v>
      </c>
      <c r="C346" s="1" t="n">
        <v>45642</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7681-2022</t>
        </is>
      </c>
      <c r="B347" s="1" t="n">
        <v>44607</v>
      </c>
      <c r="C347" s="1" t="n">
        <v>45642</v>
      </c>
      <c r="D347" t="inlineStr">
        <is>
          <t>NORRBOTTENS LÄN</t>
        </is>
      </c>
      <c r="E347" t="inlineStr">
        <is>
          <t>GÄLLIVARE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7690-2022</t>
        </is>
      </c>
      <c r="B348" s="1" t="n">
        <v>44607</v>
      </c>
      <c r="C348" s="1" t="n">
        <v>45642</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7678-2022</t>
        </is>
      </c>
      <c r="B349" s="1" t="n">
        <v>44607</v>
      </c>
      <c r="C349" s="1" t="n">
        <v>45642</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7685-2022</t>
        </is>
      </c>
      <c r="B350" s="1" t="n">
        <v>44607</v>
      </c>
      <c r="C350" s="1" t="n">
        <v>45642</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8018-2022</t>
        </is>
      </c>
      <c r="B351" s="1" t="n">
        <v>44609</v>
      </c>
      <c r="C351" s="1" t="n">
        <v>45642</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9504-2022</t>
        </is>
      </c>
      <c r="B352" s="1" t="n">
        <v>44616</v>
      </c>
      <c r="C352" s="1" t="n">
        <v>45642</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9493-2022</t>
        </is>
      </c>
      <c r="B353" s="1" t="n">
        <v>44616</v>
      </c>
      <c r="C353" s="1" t="n">
        <v>45642</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10652-2022</t>
        </is>
      </c>
      <c r="B354" s="1" t="n">
        <v>44624</v>
      </c>
      <c r="C354" s="1" t="n">
        <v>45642</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12202-2022</t>
        </is>
      </c>
      <c r="B355" s="1" t="n">
        <v>44636</v>
      </c>
      <c r="C355" s="1" t="n">
        <v>45642</v>
      </c>
      <c r="D355" t="inlineStr">
        <is>
          <t>NORRBOTTENS LÄN</t>
        </is>
      </c>
      <c r="E355" t="inlineStr">
        <is>
          <t>GÄLLIVARE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14279-2022</t>
        </is>
      </c>
      <c r="B356" s="1" t="n">
        <v>44651</v>
      </c>
      <c r="C356" s="1" t="n">
        <v>45642</v>
      </c>
      <c r="D356" t="inlineStr">
        <is>
          <t>NORRBOTTENS LÄN</t>
        </is>
      </c>
      <c r="E356" t="inlineStr">
        <is>
          <t>GÄLLIVARE</t>
        </is>
      </c>
      <c r="G356" t="n">
        <v>1.9</v>
      </c>
      <c r="H356" t="n">
        <v>0</v>
      </c>
      <c r="I356" t="n">
        <v>0</v>
      </c>
      <c r="J356" t="n">
        <v>0</v>
      </c>
      <c r="K356" t="n">
        <v>0</v>
      </c>
      <c r="L356" t="n">
        <v>0</v>
      </c>
      <c r="M356" t="n">
        <v>0</v>
      </c>
      <c r="N356" t="n">
        <v>0</v>
      </c>
      <c r="O356" t="n">
        <v>0</v>
      </c>
      <c r="P356" t="n">
        <v>0</v>
      </c>
      <c r="Q356" t="n">
        <v>0</v>
      </c>
      <c r="R356" s="2" t="inlineStr"/>
    </row>
    <row r="357" ht="15" customHeight="1">
      <c r="A357" t="inlineStr">
        <is>
          <t>A 16549-2022</t>
        </is>
      </c>
      <c r="B357" s="1" t="n">
        <v>44672</v>
      </c>
      <c r="C357" s="1" t="n">
        <v>45642</v>
      </c>
      <c r="D357" t="inlineStr">
        <is>
          <t>NORRBOTTENS LÄN</t>
        </is>
      </c>
      <c r="E357" t="inlineStr">
        <is>
          <t>GÄLLIVARE</t>
        </is>
      </c>
      <c r="G357" t="n">
        <v>25.9</v>
      </c>
      <c r="H357" t="n">
        <v>0</v>
      </c>
      <c r="I357" t="n">
        <v>0</v>
      </c>
      <c r="J357" t="n">
        <v>0</v>
      </c>
      <c r="K357" t="n">
        <v>0</v>
      </c>
      <c r="L357" t="n">
        <v>0</v>
      </c>
      <c r="M357" t="n">
        <v>0</v>
      </c>
      <c r="N357" t="n">
        <v>0</v>
      </c>
      <c r="O357" t="n">
        <v>0</v>
      </c>
      <c r="P357" t="n">
        <v>0</v>
      </c>
      <c r="Q357" t="n">
        <v>0</v>
      </c>
      <c r="R357" s="2" t="inlineStr"/>
    </row>
    <row r="358" ht="15" customHeight="1">
      <c r="A358" t="inlineStr">
        <is>
          <t>A 18104-2022</t>
        </is>
      </c>
      <c r="B358" s="1" t="n">
        <v>44684</v>
      </c>
      <c r="C358" s="1" t="n">
        <v>45642</v>
      </c>
      <c r="D358" t="inlineStr">
        <is>
          <t>NORRBOTTENS LÄN</t>
        </is>
      </c>
      <c r="E358" t="inlineStr">
        <is>
          <t>GÄLLIVARE</t>
        </is>
      </c>
      <c r="G358" t="n">
        <v>8.4</v>
      </c>
      <c r="H358" t="n">
        <v>0</v>
      </c>
      <c r="I358" t="n">
        <v>0</v>
      </c>
      <c r="J358" t="n">
        <v>0</v>
      </c>
      <c r="K358" t="n">
        <v>0</v>
      </c>
      <c r="L358" t="n">
        <v>0</v>
      </c>
      <c r="M358" t="n">
        <v>0</v>
      </c>
      <c r="N358" t="n">
        <v>0</v>
      </c>
      <c r="O358" t="n">
        <v>0</v>
      </c>
      <c r="P358" t="n">
        <v>0</v>
      </c>
      <c r="Q358" t="n">
        <v>0</v>
      </c>
      <c r="R358" s="2" t="inlineStr"/>
    </row>
    <row r="359" ht="15" customHeight="1">
      <c r="A359" t="inlineStr">
        <is>
          <t>A 20000-2022</t>
        </is>
      </c>
      <c r="B359" s="1" t="n">
        <v>44697</v>
      </c>
      <c r="C359" s="1" t="n">
        <v>45642</v>
      </c>
      <c r="D359" t="inlineStr">
        <is>
          <t>NORRBOTTENS LÄN</t>
        </is>
      </c>
      <c r="E359" t="inlineStr">
        <is>
          <t>GÄLLIVARE</t>
        </is>
      </c>
      <c r="G359" t="n">
        <v>1.2</v>
      </c>
      <c r="H359" t="n">
        <v>0</v>
      </c>
      <c r="I359" t="n">
        <v>0</v>
      </c>
      <c r="J359" t="n">
        <v>0</v>
      </c>
      <c r="K359" t="n">
        <v>0</v>
      </c>
      <c r="L359" t="n">
        <v>0</v>
      </c>
      <c r="M359" t="n">
        <v>0</v>
      </c>
      <c r="N359" t="n">
        <v>0</v>
      </c>
      <c r="O359" t="n">
        <v>0</v>
      </c>
      <c r="P359" t="n">
        <v>0</v>
      </c>
      <c r="Q359" t="n">
        <v>0</v>
      </c>
      <c r="R359" s="2" t="inlineStr"/>
    </row>
    <row r="360" ht="15" customHeight="1">
      <c r="A360" t="inlineStr">
        <is>
          <t>A 22346-2022</t>
        </is>
      </c>
      <c r="B360" s="1" t="n">
        <v>44712</v>
      </c>
      <c r="C360" s="1" t="n">
        <v>45642</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22347-2022</t>
        </is>
      </c>
      <c r="B361" s="1" t="n">
        <v>44712</v>
      </c>
      <c r="C361" s="1" t="n">
        <v>45642</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22348-2022</t>
        </is>
      </c>
      <c r="B362" s="1" t="n">
        <v>44712</v>
      </c>
      <c r="C362" s="1" t="n">
        <v>45642</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22349-2022</t>
        </is>
      </c>
      <c r="B363" s="1" t="n">
        <v>44712</v>
      </c>
      <c r="C363" s="1" t="n">
        <v>45642</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24564-2022</t>
        </is>
      </c>
      <c r="B364" s="1" t="n">
        <v>44726</v>
      </c>
      <c r="C364" s="1" t="n">
        <v>45642</v>
      </c>
      <c r="D364" t="inlineStr">
        <is>
          <t>NORRBOTTENS LÄN</t>
        </is>
      </c>
      <c r="E364" t="inlineStr">
        <is>
          <t>GÄLLIVARE</t>
        </is>
      </c>
      <c r="G364" t="n">
        <v>12.9</v>
      </c>
      <c r="H364" t="n">
        <v>0</v>
      </c>
      <c r="I364" t="n">
        <v>0</v>
      </c>
      <c r="J364" t="n">
        <v>0</v>
      </c>
      <c r="K364" t="n">
        <v>0</v>
      </c>
      <c r="L364" t="n">
        <v>0</v>
      </c>
      <c r="M364" t="n">
        <v>0</v>
      </c>
      <c r="N364" t="n">
        <v>0</v>
      </c>
      <c r="O364" t="n">
        <v>0</v>
      </c>
      <c r="P364" t="n">
        <v>0</v>
      </c>
      <c r="Q364" t="n">
        <v>0</v>
      </c>
      <c r="R364" s="2" t="inlineStr"/>
    </row>
    <row r="365" ht="15" customHeight="1">
      <c r="A365" t="inlineStr">
        <is>
          <t>A 25910-2022</t>
        </is>
      </c>
      <c r="B365" s="1" t="n">
        <v>44734</v>
      </c>
      <c r="C365" s="1" t="n">
        <v>45642</v>
      </c>
      <c r="D365" t="inlineStr">
        <is>
          <t>NORRBOTTENS LÄN</t>
        </is>
      </c>
      <c r="E365" t="inlineStr">
        <is>
          <t>GÄLLIVARE</t>
        </is>
      </c>
      <c r="F365" t="inlineStr">
        <is>
          <t>Sveaskog</t>
        </is>
      </c>
      <c r="G365" t="n">
        <v>36.7</v>
      </c>
      <c r="H365" t="n">
        <v>0</v>
      </c>
      <c r="I365" t="n">
        <v>0</v>
      </c>
      <c r="J365" t="n">
        <v>0</v>
      </c>
      <c r="K365" t="n">
        <v>0</v>
      </c>
      <c r="L365" t="n">
        <v>0</v>
      </c>
      <c r="M365" t="n">
        <v>0</v>
      </c>
      <c r="N365" t="n">
        <v>0</v>
      </c>
      <c r="O365" t="n">
        <v>0</v>
      </c>
      <c r="P365" t="n">
        <v>0</v>
      </c>
      <c r="Q365" t="n">
        <v>0</v>
      </c>
      <c r="R365" s="2" t="inlineStr"/>
    </row>
    <row r="366" ht="15" customHeight="1">
      <c r="A366" t="inlineStr">
        <is>
          <t>A 27050-2022</t>
        </is>
      </c>
      <c r="B366" s="1" t="n">
        <v>44741</v>
      </c>
      <c r="C366" s="1" t="n">
        <v>45642</v>
      </c>
      <c r="D366" t="inlineStr">
        <is>
          <t>NORRBOTTENS LÄN</t>
        </is>
      </c>
      <c r="E366" t="inlineStr">
        <is>
          <t>GÄLLIVARE</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29140-2022</t>
        </is>
      </c>
      <c r="B367" s="1" t="n">
        <v>44750</v>
      </c>
      <c r="C367" s="1" t="n">
        <v>45642</v>
      </c>
      <c r="D367" t="inlineStr">
        <is>
          <t>NORRBOTTENS LÄN</t>
        </is>
      </c>
      <c r="E367" t="inlineStr">
        <is>
          <t>GÄLLIVARE</t>
        </is>
      </c>
      <c r="G367" t="n">
        <v>13.6</v>
      </c>
      <c r="H367" t="n">
        <v>0</v>
      </c>
      <c r="I367" t="n">
        <v>0</v>
      </c>
      <c r="J367" t="n">
        <v>0</v>
      </c>
      <c r="K367" t="n">
        <v>0</v>
      </c>
      <c r="L367" t="n">
        <v>0</v>
      </c>
      <c r="M367" t="n">
        <v>0</v>
      </c>
      <c r="N367" t="n">
        <v>0</v>
      </c>
      <c r="O367" t="n">
        <v>0</v>
      </c>
      <c r="P367" t="n">
        <v>0</v>
      </c>
      <c r="Q367" t="n">
        <v>0</v>
      </c>
      <c r="R367" s="2" t="inlineStr"/>
    </row>
    <row r="368" ht="15" customHeight="1">
      <c r="A368" t="inlineStr">
        <is>
          <t>A 31117-2022</t>
        </is>
      </c>
      <c r="B368" s="1" t="n">
        <v>44769</v>
      </c>
      <c r="C368" s="1" t="n">
        <v>45642</v>
      </c>
      <c r="D368" t="inlineStr">
        <is>
          <t>NORRBOTTENS LÄN</t>
        </is>
      </c>
      <c r="E368" t="inlineStr">
        <is>
          <t>GÄLLIVARE</t>
        </is>
      </c>
      <c r="G368" t="n">
        <v>2.2</v>
      </c>
      <c r="H368" t="n">
        <v>0</v>
      </c>
      <c r="I368" t="n">
        <v>0</v>
      </c>
      <c r="J368" t="n">
        <v>0</v>
      </c>
      <c r="K368" t="n">
        <v>0</v>
      </c>
      <c r="L368" t="n">
        <v>0</v>
      </c>
      <c r="M368" t="n">
        <v>0</v>
      </c>
      <c r="N368" t="n">
        <v>0</v>
      </c>
      <c r="O368" t="n">
        <v>0</v>
      </c>
      <c r="P368" t="n">
        <v>0</v>
      </c>
      <c r="Q368" t="n">
        <v>0</v>
      </c>
      <c r="R368" s="2" t="inlineStr"/>
    </row>
    <row r="369" ht="15" customHeight="1">
      <c r="A369" t="inlineStr">
        <is>
          <t>A 31634-2022</t>
        </is>
      </c>
      <c r="B369" s="1" t="n">
        <v>44775</v>
      </c>
      <c r="C369" s="1" t="n">
        <v>45642</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32196-2022</t>
        </is>
      </c>
      <c r="B370" s="1" t="n">
        <v>44781</v>
      </c>
      <c r="C370" s="1" t="n">
        <v>45642</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32720-2022</t>
        </is>
      </c>
      <c r="B371" s="1" t="n">
        <v>44783</v>
      </c>
      <c r="C371" s="1" t="n">
        <v>45642</v>
      </c>
      <c r="D371" t="inlineStr">
        <is>
          <t>NORRBOTTENS LÄN</t>
        </is>
      </c>
      <c r="E371" t="inlineStr">
        <is>
          <t>GÄLLIVARE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33446-2022</t>
        </is>
      </c>
      <c r="B372" s="1" t="n">
        <v>44788</v>
      </c>
      <c r="C372" s="1" t="n">
        <v>45642</v>
      </c>
      <c r="D372" t="inlineStr">
        <is>
          <t>NORRBOTTENS LÄN</t>
        </is>
      </c>
      <c r="E372" t="inlineStr">
        <is>
          <t>GÄLLIVARE</t>
        </is>
      </c>
      <c r="G372" t="n">
        <v>0.5</v>
      </c>
      <c r="H372" t="n">
        <v>0</v>
      </c>
      <c r="I372" t="n">
        <v>0</v>
      </c>
      <c r="J372" t="n">
        <v>0</v>
      </c>
      <c r="K372" t="n">
        <v>0</v>
      </c>
      <c r="L372" t="n">
        <v>0</v>
      </c>
      <c r="M372" t="n">
        <v>0</v>
      </c>
      <c r="N372" t="n">
        <v>0</v>
      </c>
      <c r="O372" t="n">
        <v>0</v>
      </c>
      <c r="P372" t="n">
        <v>0</v>
      </c>
      <c r="Q372" t="n">
        <v>0</v>
      </c>
      <c r="R372" s="2" t="inlineStr"/>
    </row>
    <row r="373" ht="15" customHeight="1">
      <c r="A373" t="inlineStr">
        <is>
          <t>A 34318-2022</t>
        </is>
      </c>
      <c r="B373" s="1" t="n">
        <v>44792</v>
      </c>
      <c r="C373" s="1" t="n">
        <v>45642</v>
      </c>
      <c r="D373" t="inlineStr">
        <is>
          <t>NORRBOTTENS LÄN</t>
        </is>
      </c>
      <c r="E373" t="inlineStr">
        <is>
          <t>GÄLLIVARE</t>
        </is>
      </c>
      <c r="G373" t="n">
        <v>13.3</v>
      </c>
      <c r="H373" t="n">
        <v>0</v>
      </c>
      <c r="I373" t="n">
        <v>0</v>
      </c>
      <c r="J373" t="n">
        <v>0</v>
      </c>
      <c r="K373" t="n">
        <v>0</v>
      </c>
      <c r="L373" t="n">
        <v>0</v>
      </c>
      <c r="M373" t="n">
        <v>0</v>
      </c>
      <c r="N373" t="n">
        <v>0</v>
      </c>
      <c r="O373" t="n">
        <v>0</v>
      </c>
      <c r="P373" t="n">
        <v>0</v>
      </c>
      <c r="Q373" t="n">
        <v>0</v>
      </c>
      <c r="R373" s="2" t="inlineStr"/>
    </row>
    <row r="374" ht="15" customHeight="1">
      <c r="A374" t="inlineStr">
        <is>
          <t>A 34671-2022</t>
        </is>
      </c>
      <c r="B374" s="1" t="n">
        <v>44795</v>
      </c>
      <c r="C374" s="1" t="n">
        <v>45642</v>
      </c>
      <c r="D374" t="inlineStr">
        <is>
          <t>NORRBOTTENS LÄN</t>
        </is>
      </c>
      <c r="E374" t="inlineStr">
        <is>
          <t>GÄLLIVARE</t>
        </is>
      </c>
      <c r="F374" t="inlineStr">
        <is>
          <t>Allmännings- och besparingsskogar</t>
        </is>
      </c>
      <c r="G374" t="n">
        <v>20.5</v>
      </c>
      <c r="H374" t="n">
        <v>0</v>
      </c>
      <c r="I374" t="n">
        <v>0</v>
      </c>
      <c r="J374" t="n">
        <v>0</v>
      </c>
      <c r="K374" t="n">
        <v>0</v>
      </c>
      <c r="L374" t="n">
        <v>0</v>
      </c>
      <c r="M374" t="n">
        <v>0</v>
      </c>
      <c r="N374" t="n">
        <v>0</v>
      </c>
      <c r="O374" t="n">
        <v>0</v>
      </c>
      <c r="P374" t="n">
        <v>0</v>
      </c>
      <c r="Q374" t="n">
        <v>0</v>
      </c>
      <c r="R374" s="2" t="inlineStr"/>
    </row>
    <row r="375" ht="15" customHeight="1">
      <c r="A375" t="inlineStr">
        <is>
          <t>A 34674-2022</t>
        </is>
      </c>
      <c r="B375" s="1" t="n">
        <v>44795</v>
      </c>
      <c r="C375" s="1" t="n">
        <v>45642</v>
      </c>
      <c r="D375" t="inlineStr">
        <is>
          <t>NORRBOTTENS LÄN</t>
        </is>
      </c>
      <c r="E375" t="inlineStr">
        <is>
          <t>GÄLLIVARE</t>
        </is>
      </c>
      <c r="F375" t="inlineStr">
        <is>
          <t>Allmännings- och besparingsskogar</t>
        </is>
      </c>
      <c r="G375" t="n">
        <v>96.7</v>
      </c>
      <c r="H375" t="n">
        <v>0</v>
      </c>
      <c r="I375" t="n">
        <v>0</v>
      </c>
      <c r="J375" t="n">
        <v>0</v>
      </c>
      <c r="K375" t="n">
        <v>0</v>
      </c>
      <c r="L375" t="n">
        <v>0</v>
      </c>
      <c r="M375" t="n">
        <v>0</v>
      </c>
      <c r="N375" t="n">
        <v>0</v>
      </c>
      <c r="O375" t="n">
        <v>0</v>
      </c>
      <c r="P375" t="n">
        <v>0</v>
      </c>
      <c r="Q375" t="n">
        <v>0</v>
      </c>
      <c r="R375" s="2" t="inlineStr"/>
    </row>
    <row r="376" ht="15" customHeight="1">
      <c r="A376" t="inlineStr">
        <is>
          <t>A 35317-2022</t>
        </is>
      </c>
      <c r="B376" s="1" t="n">
        <v>44798</v>
      </c>
      <c r="C376" s="1" t="n">
        <v>45642</v>
      </c>
      <c r="D376" t="inlineStr">
        <is>
          <t>NORRBOTTENS LÄN</t>
        </is>
      </c>
      <c r="E376" t="inlineStr">
        <is>
          <t>GÄLLIVARE</t>
        </is>
      </c>
      <c r="F376" t="inlineStr">
        <is>
          <t>Sveaskog</t>
        </is>
      </c>
      <c r="G376" t="n">
        <v>14.9</v>
      </c>
      <c r="H376" t="n">
        <v>0</v>
      </c>
      <c r="I376" t="n">
        <v>0</v>
      </c>
      <c r="J376" t="n">
        <v>0</v>
      </c>
      <c r="K376" t="n">
        <v>0</v>
      </c>
      <c r="L376" t="n">
        <v>0</v>
      </c>
      <c r="M376" t="n">
        <v>0</v>
      </c>
      <c r="N376" t="n">
        <v>0</v>
      </c>
      <c r="O376" t="n">
        <v>0</v>
      </c>
      <c r="P376" t="n">
        <v>0</v>
      </c>
      <c r="Q376" t="n">
        <v>0</v>
      </c>
      <c r="R376" s="2" t="inlineStr"/>
    </row>
    <row r="377" ht="15" customHeight="1">
      <c r="A377" t="inlineStr">
        <is>
          <t>A 35576-2022</t>
        </is>
      </c>
      <c r="B377" s="1" t="n">
        <v>44799</v>
      </c>
      <c r="C377" s="1" t="n">
        <v>45642</v>
      </c>
      <c r="D377" t="inlineStr">
        <is>
          <t>NORRBOTTENS LÄN</t>
        </is>
      </c>
      <c r="E377" t="inlineStr">
        <is>
          <t>GÄLLIVARE</t>
        </is>
      </c>
      <c r="F377" t="inlineStr">
        <is>
          <t>Allmännings- och besparingsskogar</t>
        </is>
      </c>
      <c r="G377" t="n">
        <v>2.3</v>
      </c>
      <c r="H377" t="n">
        <v>0</v>
      </c>
      <c r="I377" t="n">
        <v>0</v>
      </c>
      <c r="J377" t="n">
        <v>0</v>
      </c>
      <c r="K377" t="n">
        <v>0</v>
      </c>
      <c r="L377" t="n">
        <v>0</v>
      </c>
      <c r="M377" t="n">
        <v>0</v>
      </c>
      <c r="N377" t="n">
        <v>0</v>
      </c>
      <c r="O377" t="n">
        <v>0</v>
      </c>
      <c r="P377" t="n">
        <v>0</v>
      </c>
      <c r="Q377" t="n">
        <v>0</v>
      </c>
      <c r="R377" s="2" t="inlineStr"/>
    </row>
    <row r="378" ht="15" customHeight="1">
      <c r="A378" t="inlineStr">
        <is>
          <t>A 35579-2022</t>
        </is>
      </c>
      <c r="B378" s="1" t="n">
        <v>44799</v>
      </c>
      <c r="C378" s="1" t="n">
        <v>45642</v>
      </c>
      <c r="D378" t="inlineStr">
        <is>
          <t>NORRBOTTENS LÄN</t>
        </is>
      </c>
      <c r="E378" t="inlineStr">
        <is>
          <t>GÄLLIVARE</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39397-2022</t>
        </is>
      </c>
      <c r="B379" s="1" t="n">
        <v>44817</v>
      </c>
      <c r="C379" s="1" t="n">
        <v>45642</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39379-2022</t>
        </is>
      </c>
      <c r="B380" s="1" t="n">
        <v>44818</v>
      </c>
      <c r="C380" s="1" t="n">
        <v>45642</v>
      </c>
      <c r="D380" t="inlineStr">
        <is>
          <t>NORRBOTTENS LÄN</t>
        </is>
      </c>
      <c r="E380" t="inlineStr">
        <is>
          <t>GÄLLIVARE</t>
        </is>
      </c>
      <c r="F380" t="inlineStr">
        <is>
          <t>SCA</t>
        </is>
      </c>
      <c r="G380" t="n">
        <v>13.5</v>
      </c>
      <c r="H380" t="n">
        <v>0</v>
      </c>
      <c r="I380" t="n">
        <v>0</v>
      </c>
      <c r="J380" t="n">
        <v>0</v>
      </c>
      <c r="K380" t="n">
        <v>0</v>
      </c>
      <c r="L380" t="n">
        <v>0</v>
      </c>
      <c r="M380" t="n">
        <v>0</v>
      </c>
      <c r="N380" t="n">
        <v>0</v>
      </c>
      <c r="O380" t="n">
        <v>0</v>
      </c>
      <c r="P380" t="n">
        <v>0</v>
      </c>
      <c r="Q380" t="n">
        <v>0</v>
      </c>
      <c r="R380" s="2" t="inlineStr"/>
    </row>
    <row r="381" ht="15" customHeight="1">
      <c r="A381" t="inlineStr">
        <is>
          <t>A 39378-2022</t>
        </is>
      </c>
      <c r="B381" s="1" t="n">
        <v>44817</v>
      </c>
      <c r="C381" s="1" t="n">
        <v>45642</v>
      </c>
      <c r="D381" t="inlineStr">
        <is>
          <t>NORRBOTTENS LÄN</t>
        </is>
      </c>
      <c r="E381" t="inlineStr">
        <is>
          <t>GÄLLIVARE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39377-2022</t>
        </is>
      </c>
      <c r="B382" s="1" t="n">
        <v>44817</v>
      </c>
      <c r="C382" s="1" t="n">
        <v>45642</v>
      </c>
      <c r="D382" t="inlineStr">
        <is>
          <t>NORRBOTTENS LÄN</t>
        </is>
      </c>
      <c r="E382" t="inlineStr">
        <is>
          <t>GÄLLIVARE</t>
        </is>
      </c>
      <c r="F382" t="inlineStr">
        <is>
          <t>SCA</t>
        </is>
      </c>
      <c r="G382" t="n">
        <v>11.8</v>
      </c>
      <c r="H382" t="n">
        <v>0</v>
      </c>
      <c r="I382" t="n">
        <v>0</v>
      </c>
      <c r="J382" t="n">
        <v>0</v>
      </c>
      <c r="K382" t="n">
        <v>0</v>
      </c>
      <c r="L382" t="n">
        <v>0</v>
      </c>
      <c r="M382" t="n">
        <v>0</v>
      </c>
      <c r="N382" t="n">
        <v>0</v>
      </c>
      <c r="O382" t="n">
        <v>0</v>
      </c>
      <c r="P382" t="n">
        <v>0</v>
      </c>
      <c r="Q382" t="n">
        <v>0</v>
      </c>
      <c r="R382" s="2" t="inlineStr"/>
    </row>
    <row r="383" ht="15" customHeight="1">
      <c r="A383" t="inlineStr">
        <is>
          <t>A 39559-2022</t>
        </is>
      </c>
      <c r="B383" s="1" t="n">
        <v>44818</v>
      </c>
      <c r="C383" s="1" t="n">
        <v>45642</v>
      </c>
      <c r="D383" t="inlineStr">
        <is>
          <t>NORRBOTTENS LÄN</t>
        </is>
      </c>
      <c r="E383" t="inlineStr">
        <is>
          <t>GÄLLIVARE</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39958-2022</t>
        </is>
      </c>
      <c r="B384" s="1" t="n">
        <v>44819</v>
      </c>
      <c r="C384" s="1" t="n">
        <v>45642</v>
      </c>
      <c r="D384" t="inlineStr">
        <is>
          <t>NORRBOTTENS LÄN</t>
        </is>
      </c>
      <c r="E384" t="inlineStr">
        <is>
          <t>GÄLLIVARE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40427-2022</t>
        </is>
      </c>
      <c r="B385" s="1" t="n">
        <v>44823</v>
      </c>
      <c r="C385" s="1" t="n">
        <v>45642</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40845-2022</t>
        </is>
      </c>
      <c r="B386" s="1" t="n">
        <v>44824</v>
      </c>
      <c r="C386" s="1" t="n">
        <v>45642</v>
      </c>
      <c r="D386" t="inlineStr">
        <is>
          <t>NORRBOTTENS LÄN</t>
        </is>
      </c>
      <c r="E386" t="inlineStr">
        <is>
          <t>GÄLLIVARE</t>
        </is>
      </c>
      <c r="F386" t="inlineStr">
        <is>
          <t>SCA</t>
        </is>
      </c>
      <c r="G386" t="n">
        <v>30.9</v>
      </c>
      <c r="H386" t="n">
        <v>0</v>
      </c>
      <c r="I386" t="n">
        <v>0</v>
      </c>
      <c r="J386" t="n">
        <v>0</v>
      </c>
      <c r="K386" t="n">
        <v>0</v>
      </c>
      <c r="L386" t="n">
        <v>0</v>
      </c>
      <c r="M386" t="n">
        <v>0</v>
      </c>
      <c r="N386" t="n">
        <v>0</v>
      </c>
      <c r="O386" t="n">
        <v>0</v>
      </c>
      <c r="P386" t="n">
        <v>0</v>
      </c>
      <c r="Q386" t="n">
        <v>0</v>
      </c>
      <c r="R386" s="2" t="inlineStr"/>
    </row>
    <row r="387" ht="15" customHeight="1">
      <c r="A387" t="inlineStr">
        <is>
          <t>A 42278-2022</t>
        </is>
      </c>
      <c r="B387" s="1" t="n">
        <v>44831</v>
      </c>
      <c r="C387" s="1" t="n">
        <v>45642</v>
      </c>
      <c r="D387" t="inlineStr">
        <is>
          <t>NORRBOTTENS LÄN</t>
        </is>
      </c>
      <c r="E387" t="inlineStr">
        <is>
          <t>GÄLLIVARE</t>
        </is>
      </c>
      <c r="F387" t="inlineStr">
        <is>
          <t>SCA</t>
        </is>
      </c>
      <c r="G387" t="n">
        <v>15.2</v>
      </c>
      <c r="H387" t="n">
        <v>0</v>
      </c>
      <c r="I387" t="n">
        <v>0</v>
      </c>
      <c r="J387" t="n">
        <v>0</v>
      </c>
      <c r="K387" t="n">
        <v>0</v>
      </c>
      <c r="L387" t="n">
        <v>0</v>
      </c>
      <c r="M387" t="n">
        <v>0</v>
      </c>
      <c r="N387" t="n">
        <v>0</v>
      </c>
      <c r="O387" t="n">
        <v>0</v>
      </c>
      <c r="P387" t="n">
        <v>0</v>
      </c>
      <c r="Q387" t="n">
        <v>0</v>
      </c>
      <c r="R387" s="2" t="inlineStr"/>
    </row>
    <row r="388" ht="15" customHeight="1">
      <c r="A388" t="inlineStr">
        <is>
          <t>A 42886-2022</t>
        </is>
      </c>
      <c r="B388" s="1" t="n">
        <v>44833</v>
      </c>
      <c r="C388" s="1" t="n">
        <v>45642</v>
      </c>
      <c r="D388" t="inlineStr">
        <is>
          <t>NORRBOTTENS LÄN</t>
        </is>
      </c>
      <c r="E388" t="inlineStr">
        <is>
          <t>GÄLLIVARE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43153-2022</t>
        </is>
      </c>
      <c r="B389" s="1" t="n">
        <v>44834</v>
      </c>
      <c r="C389" s="1" t="n">
        <v>45642</v>
      </c>
      <c r="D389" t="inlineStr">
        <is>
          <t>NORRBOTTENS LÄN</t>
        </is>
      </c>
      <c r="E389" t="inlineStr">
        <is>
          <t>GÄLLIVARE</t>
        </is>
      </c>
      <c r="F389" t="inlineStr">
        <is>
          <t>SCA</t>
        </is>
      </c>
      <c r="G389" t="n">
        <v>22.3</v>
      </c>
      <c r="H389" t="n">
        <v>0</v>
      </c>
      <c r="I389" t="n">
        <v>0</v>
      </c>
      <c r="J389" t="n">
        <v>0</v>
      </c>
      <c r="K389" t="n">
        <v>0</v>
      </c>
      <c r="L389" t="n">
        <v>0</v>
      </c>
      <c r="M389" t="n">
        <v>0</v>
      </c>
      <c r="N389" t="n">
        <v>0</v>
      </c>
      <c r="O389" t="n">
        <v>0</v>
      </c>
      <c r="P389" t="n">
        <v>0</v>
      </c>
      <c r="Q389" t="n">
        <v>0</v>
      </c>
      <c r="R389" s="2" t="inlineStr"/>
    </row>
    <row r="390" ht="15" customHeight="1">
      <c r="A390" t="inlineStr">
        <is>
          <t>A 43154-2022</t>
        </is>
      </c>
      <c r="B390" s="1" t="n">
        <v>44834</v>
      </c>
      <c r="C390" s="1" t="n">
        <v>45642</v>
      </c>
      <c r="D390" t="inlineStr">
        <is>
          <t>NORRBOTTENS LÄN</t>
        </is>
      </c>
      <c r="E390" t="inlineStr">
        <is>
          <t>GÄLLIVARE</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43155-2022</t>
        </is>
      </c>
      <c r="B391" s="1" t="n">
        <v>44834</v>
      </c>
      <c r="C391" s="1" t="n">
        <v>45642</v>
      </c>
      <c r="D391" t="inlineStr">
        <is>
          <t>NORRBOTTENS LÄN</t>
        </is>
      </c>
      <c r="E391" t="inlineStr">
        <is>
          <t>GÄLLIVARE</t>
        </is>
      </c>
      <c r="F391" t="inlineStr">
        <is>
          <t>SCA</t>
        </is>
      </c>
      <c r="G391" t="n">
        <v>10.2</v>
      </c>
      <c r="H391" t="n">
        <v>0</v>
      </c>
      <c r="I391" t="n">
        <v>0</v>
      </c>
      <c r="J391" t="n">
        <v>0</v>
      </c>
      <c r="K391" t="n">
        <v>0</v>
      </c>
      <c r="L391" t="n">
        <v>0</v>
      </c>
      <c r="M391" t="n">
        <v>0</v>
      </c>
      <c r="N391" t="n">
        <v>0</v>
      </c>
      <c r="O391" t="n">
        <v>0</v>
      </c>
      <c r="P391" t="n">
        <v>0</v>
      </c>
      <c r="Q391" t="n">
        <v>0</v>
      </c>
      <c r="R391" s="2" t="inlineStr"/>
    </row>
    <row r="392" ht="15" customHeight="1">
      <c r="A392" t="inlineStr">
        <is>
          <t>A 43159-2022</t>
        </is>
      </c>
      <c r="B392" s="1" t="n">
        <v>44834</v>
      </c>
      <c r="C392" s="1" t="n">
        <v>45642</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43157-2022</t>
        </is>
      </c>
      <c r="B393" s="1" t="n">
        <v>44834</v>
      </c>
      <c r="C393" s="1" t="n">
        <v>45642</v>
      </c>
      <c r="D393" t="inlineStr">
        <is>
          <t>NORRBOTTENS LÄN</t>
        </is>
      </c>
      <c r="E393" t="inlineStr">
        <is>
          <t>GÄLLIVARE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43156-2022</t>
        </is>
      </c>
      <c r="B394" s="1" t="n">
        <v>44834</v>
      </c>
      <c r="C394" s="1" t="n">
        <v>45642</v>
      </c>
      <c r="D394" t="inlineStr">
        <is>
          <t>NORRBOTTENS LÄN</t>
        </is>
      </c>
      <c r="E394" t="inlineStr">
        <is>
          <t>GÄLLIVARE</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44840-2022</t>
        </is>
      </c>
      <c r="B395" s="1" t="n">
        <v>44839</v>
      </c>
      <c r="C395" s="1" t="n">
        <v>45642</v>
      </c>
      <c r="D395" t="inlineStr">
        <is>
          <t>NORRBOTTENS LÄN</t>
        </is>
      </c>
      <c r="E395" t="inlineStr">
        <is>
          <t>GÄLLIVARE</t>
        </is>
      </c>
      <c r="F395" t="inlineStr">
        <is>
          <t>Övriga statliga verk och myndigheter</t>
        </is>
      </c>
      <c r="G395" t="n">
        <v>20.9</v>
      </c>
      <c r="H395" t="n">
        <v>0</v>
      </c>
      <c r="I395" t="n">
        <v>0</v>
      </c>
      <c r="J395" t="n">
        <v>0</v>
      </c>
      <c r="K395" t="n">
        <v>0</v>
      </c>
      <c r="L395" t="n">
        <v>0</v>
      </c>
      <c r="M395" t="n">
        <v>0</v>
      </c>
      <c r="N395" t="n">
        <v>0</v>
      </c>
      <c r="O395" t="n">
        <v>0</v>
      </c>
      <c r="P395" t="n">
        <v>0</v>
      </c>
      <c r="Q395" t="n">
        <v>0</v>
      </c>
      <c r="R395" s="2" t="inlineStr"/>
    </row>
    <row r="396" ht="15" customHeight="1">
      <c r="A396" t="inlineStr">
        <is>
          <t>A 47780-2022</t>
        </is>
      </c>
      <c r="B396" s="1" t="n">
        <v>44854</v>
      </c>
      <c r="C396" s="1" t="n">
        <v>45642</v>
      </c>
      <c r="D396" t="inlineStr">
        <is>
          <t>NORRBOTTENS LÄN</t>
        </is>
      </c>
      <c r="E396" t="inlineStr">
        <is>
          <t>GÄLLIVARE</t>
        </is>
      </c>
      <c r="G396" t="n">
        <v>5.4</v>
      </c>
      <c r="H396" t="n">
        <v>0</v>
      </c>
      <c r="I396" t="n">
        <v>0</v>
      </c>
      <c r="J396" t="n">
        <v>0</v>
      </c>
      <c r="K396" t="n">
        <v>0</v>
      </c>
      <c r="L396" t="n">
        <v>0</v>
      </c>
      <c r="M396" t="n">
        <v>0</v>
      </c>
      <c r="N396" t="n">
        <v>0</v>
      </c>
      <c r="O396" t="n">
        <v>0</v>
      </c>
      <c r="P396" t="n">
        <v>0</v>
      </c>
      <c r="Q396" t="n">
        <v>0</v>
      </c>
      <c r="R396" s="2" t="inlineStr"/>
    </row>
    <row r="397" ht="15" customHeight="1">
      <c r="A397" t="inlineStr">
        <is>
          <t>A 47793-2022</t>
        </is>
      </c>
      <c r="B397" s="1" t="n">
        <v>44854</v>
      </c>
      <c r="C397" s="1" t="n">
        <v>45642</v>
      </c>
      <c r="D397" t="inlineStr">
        <is>
          <t>NORRBOTTENS LÄN</t>
        </is>
      </c>
      <c r="E397" t="inlineStr">
        <is>
          <t>GÄLLIVARE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47795-2022</t>
        </is>
      </c>
      <c r="B398" s="1" t="n">
        <v>44854</v>
      </c>
      <c r="C398" s="1" t="n">
        <v>45642</v>
      </c>
      <c r="D398" t="inlineStr">
        <is>
          <t>NORRBOTTENS LÄN</t>
        </is>
      </c>
      <c r="E398" t="inlineStr">
        <is>
          <t>GÄLLIVARE</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45642</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47779-2022</t>
        </is>
      </c>
      <c r="B400" s="1" t="n">
        <v>44854</v>
      </c>
      <c r="C400" s="1" t="n">
        <v>45642</v>
      </c>
      <c r="D400" t="inlineStr">
        <is>
          <t>NORRBOTTENS LÄN</t>
        </is>
      </c>
      <c r="E400" t="inlineStr">
        <is>
          <t>GÄLLIVARE</t>
        </is>
      </c>
      <c r="G400" t="n">
        <v>0.6</v>
      </c>
      <c r="H400" t="n">
        <v>0</v>
      </c>
      <c r="I400" t="n">
        <v>0</v>
      </c>
      <c r="J400" t="n">
        <v>0</v>
      </c>
      <c r="K400" t="n">
        <v>0</v>
      </c>
      <c r="L400" t="n">
        <v>0</v>
      </c>
      <c r="M400" t="n">
        <v>0</v>
      </c>
      <c r="N400" t="n">
        <v>0</v>
      </c>
      <c r="O400" t="n">
        <v>0</v>
      </c>
      <c r="P400" t="n">
        <v>0</v>
      </c>
      <c r="Q400" t="n">
        <v>0</v>
      </c>
      <c r="R400" s="2" t="inlineStr"/>
    </row>
    <row r="401" ht="15" customHeight="1">
      <c r="A401" t="inlineStr">
        <is>
          <t>A 47808-2022</t>
        </is>
      </c>
      <c r="B401" s="1" t="n">
        <v>44854</v>
      </c>
      <c r="C401" s="1" t="n">
        <v>45642</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47796-2022</t>
        </is>
      </c>
      <c r="B402" s="1" t="n">
        <v>44854</v>
      </c>
      <c r="C402" s="1" t="n">
        <v>45642</v>
      </c>
      <c r="D402" t="inlineStr">
        <is>
          <t>NORRBOTTENS LÄN</t>
        </is>
      </c>
      <c r="E402" t="inlineStr">
        <is>
          <t>GÄLLIVARE</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47802-2022</t>
        </is>
      </c>
      <c r="B403" s="1" t="n">
        <v>44854</v>
      </c>
      <c r="C403" s="1" t="n">
        <v>45642</v>
      </c>
      <c r="D403" t="inlineStr">
        <is>
          <t>NORRBOTTENS LÄN</t>
        </is>
      </c>
      <c r="E403" t="inlineStr">
        <is>
          <t>GÄLLIVARE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49190-2022</t>
        </is>
      </c>
      <c r="B404" s="1" t="n">
        <v>44861</v>
      </c>
      <c r="C404" s="1" t="n">
        <v>45642</v>
      </c>
      <c r="D404" t="inlineStr">
        <is>
          <t>NORRBOTTENS LÄN</t>
        </is>
      </c>
      <c r="E404" t="inlineStr">
        <is>
          <t>GÄLLIVARE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49326-2022</t>
        </is>
      </c>
      <c r="B405" s="1" t="n">
        <v>44861</v>
      </c>
      <c r="C405" s="1" t="n">
        <v>45642</v>
      </c>
      <c r="D405" t="inlineStr">
        <is>
          <t>NORRBOTTENS LÄN</t>
        </is>
      </c>
      <c r="E405" t="inlineStr">
        <is>
          <t>GÄLLIVARE</t>
        </is>
      </c>
      <c r="F405" t="inlineStr">
        <is>
          <t>Sveaskog</t>
        </is>
      </c>
      <c r="G405" t="n">
        <v>23.3</v>
      </c>
      <c r="H405" t="n">
        <v>0</v>
      </c>
      <c r="I405" t="n">
        <v>0</v>
      </c>
      <c r="J405" t="n">
        <v>0</v>
      </c>
      <c r="K405" t="n">
        <v>0</v>
      </c>
      <c r="L405" t="n">
        <v>0</v>
      </c>
      <c r="M405" t="n">
        <v>0</v>
      </c>
      <c r="N405" t="n">
        <v>0</v>
      </c>
      <c r="O405" t="n">
        <v>0</v>
      </c>
      <c r="P405" t="n">
        <v>0</v>
      </c>
      <c r="Q405" t="n">
        <v>0</v>
      </c>
      <c r="R405" s="2" t="inlineStr"/>
    </row>
    <row r="406" ht="15" customHeight="1">
      <c r="A406" t="inlineStr">
        <is>
          <t>A 49869-2022</t>
        </is>
      </c>
      <c r="B406" s="1" t="n">
        <v>44862</v>
      </c>
      <c r="C406" s="1" t="n">
        <v>45642</v>
      </c>
      <c r="D406" t="inlineStr">
        <is>
          <t>NORRBOTTENS LÄN</t>
        </is>
      </c>
      <c r="E406" t="inlineStr">
        <is>
          <t>GÄLLIVARE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49862-2022</t>
        </is>
      </c>
      <c r="B407" s="1" t="n">
        <v>44862</v>
      </c>
      <c r="C407" s="1" t="n">
        <v>45642</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49870-2022</t>
        </is>
      </c>
      <c r="B408" s="1" t="n">
        <v>44862</v>
      </c>
      <c r="C408" s="1" t="n">
        <v>45642</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50729-2022</t>
        </is>
      </c>
      <c r="B409" s="1" t="n">
        <v>44862</v>
      </c>
      <c r="C409" s="1" t="n">
        <v>45642</v>
      </c>
      <c r="D409" t="inlineStr">
        <is>
          <t>NORRBOTTENS LÄN</t>
        </is>
      </c>
      <c r="E409" t="inlineStr">
        <is>
          <t>GÄLLIVARE</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50513-2022</t>
        </is>
      </c>
      <c r="B410" s="1" t="n">
        <v>44866</v>
      </c>
      <c r="C410" s="1" t="n">
        <v>45642</v>
      </c>
      <c r="D410" t="inlineStr">
        <is>
          <t>NORRBOTTENS LÄN</t>
        </is>
      </c>
      <c r="E410" t="inlineStr">
        <is>
          <t>GÄLLIVARE</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53785-2022</t>
        </is>
      </c>
      <c r="B411" s="1" t="n">
        <v>44875</v>
      </c>
      <c r="C411" s="1" t="n">
        <v>45642</v>
      </c>
      <c r="D411" t="inlineStr">
        <is>
          <t>NORRBOTTENS LÄN</t>
        </is>
      </c>
      <c r="E411" t="inlineStr">
        <is>
          <t>GÄLLIVARE</t>
        </is>
      </c>
      <c r="G411" t="n">
        <v>3</v>
      </c>
      <c r="H411" t="n">
        <v>0</v>
      </c>
      <c r="I411" t="n">
        <v>0</v>
      </c>
      <c r="J411" t="n">
        <v>0</v>
      </c>
      <c r="K411" t="n">
        <v>0</v>
      </c>
      <c r="L411" t="n">
        <v>0</v>
      </c>
      <c r="M411" t="n">
        <v>0</v>
      </c>
      <c r="N411" t="n">
        <v>0</v>
      </c>
      <c r="O411" t="n">
        <v>0</v>
      </c>
      <c r="P411" t="n">
        <v>0</v>
      </c>
      <c r="Q411" t="n">
        <v>0</v>
      </c>
      <c r="R411" s="2" t="inlineStr"/>
    </row>
    <row r="412" ht="15" customHeight="1">
      <c r="A412" t="inlineStr">
        <is>
          <t>A 54842-2022</t>
        </is>
      </c>
      <c r="B412" s="1" t="n">
        <v>44883</v>
      </c>
      <c r="C412" s="1" t="n">
        <v>45642</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55221-2022</t>
        </is>
      </c>
      <c r="B413" s="1" t="n">
        <v>44886</v>
      </c>
      <c r="C413" s="1" t="n">
        <v>45642</v>
      </c>
      <c r="D413" t="inlineStr">
        <is>
          <t>NORRBOTTENS LÄN</t>
        </is>
      </c>
      <c r="E413" t="inlineStr">
        <is>
          <t>GÄLLIVARE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55226-2022</t>
        </is>
      </c>
      <c r="B414" s="1" t="n">
        <v>44887</v>
      </c>
      <c r="C414" s="1" t="n">
        <v>45642</v>
      </c>
      <c r="D414" t="inlineStr">
        <is>
          <t>NORRBOTTENS LÄN</t>
        </is>
      </c>
      <c r="E414" t="inlineStr">
        <is>
          <t>GÄLLIVARE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55223-2022</t>
        </is>
      </c>
      <c r="B415" s="1" t="n">
        <v>44886</v>
      </c>
      <c r="C415" s="1" t="n">
        <v>45642</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55239-2022</t>
        </is>
      </c>
      <c r="B416" s="1" t="n">
        <v>44886</v>
      </c>
      <c r="C416" s="1" t="n">
        <v>45642</v>
      </c>
      <c r="D416" t="inlineStr">
        <is>
          <t>NORRBOTTENS LÄN</t>
        </is>
      </c>
      <c r="E416" t="inlineStr">
        <is>
          <t>GÄLLIVARE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55222-2022</t>
        </is>
      </c>
      <c r="B417" s="1" t="n">
        <v>44887</v>
      </c>
      <c r="C417" s="1" t="n">
        <v>45642</v>
      </c>
      <c r="D417" t="inlineStr">
        <is>
          <t>NORRBOTTENS LÄN</t>
        </is>
      </c>
      <c r="E417" t="inlineStr">
        <is>
          <t>GÄLLIVARE</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55220-2022</t>
        </is>
      </c>
      <c r="B418" s="1" t="n">
        <v>44887</v>
      </c>
      <c r="C418" s="1" t="n">
        <v>45642</v>
      </c>
      <c r="D418" t="inlineStr">
        <is>
          <t>NORRBOTTENS LÄN</t>
        </is>
      </c>
      <c r="E418" t="inlineStr">
        <is>
          <t>GÄLLIVARE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55224-2022</t>
        </is>
      </c>
      <c r="B419" s="1" t="n">
        <v>44887</v>
      </c>
      <c r="C419" s="1" t="n">
        <v>45642</v>
      </c>
      <c r="D419" t="inlineStr">
        <is>
          <t>NORRBOTTENS LÄN</t>
        </is>
      </c>
      <c r="E419" t="inlineStr">
        <is>
          <t>GÄLLIVARE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58601-2022</t>
        </is>
      </c>
      <c r="B420" s="1" t="n">
        <v>44895</v>
      </c>
      <c r="C420" s="1" t="n">
        <v>45642</v>
      </c>
      <c r="D420" t="inlineStr">
        <is>
          <t>NORRBOTTENS LÄN</t>
        </is>
      </c>
      <c r="E420" t="inlineStr">
        <is>
          <t>GÄLLIVARE</t>
        </is>
      </c>
      <c r="G420" t="n">
        <v>19.4</v>
      </c>
      <c r="H420" t="n">
        <v>0</v>
      </c>
      <c r="I420" t="n">
        <v>0</v>
      </c>
      <c r="J420" t="n">
        <v>0</v>
      </c>
      <c r="K420" t="n">
        <v>0</v>
      </c>
      <c r="L420" t="n">
        <v>0</v>
      </c>
      <c r="M420" t="n">
        <v>0</v>
      </c>
      <c r="N420" t="n">
        <v>0</v>
      </c>
      <c r="O420" t="n">
        <v>0</v>
      </c>
      <c r="P420" t="n">
        <v>0</v>
      </c>
      <c r="Q420" t="n">
        <v>0</v>
      </c>
      <c r="R420" s="2" t="inlineStr"/>
    </row>
    <row r="421" ht="15" customHeight="1">
      <c r="A421" t="inlineStr">
        <is>
          <t>A 58776-2022</t>
        </is>
      </c>
      <c r="B421" s="1" t="n">
        <v>44895</v>
      </c>
      <c r="C421" s="1" t="n">
        <v>45642</v>
      </c>
      <c r="D421" t="inlineStr">
        <is>
          <t>NORRBOTTENS LÄN</t>
        </is>
      </c>
      <c r="E421" t="inlineStr">
        <is>
          <t>GÄLLIVARE</t>
        </is>
      </c>
      <c r="G421" t="n">
        <v>12.1</v>
      </c>
      <c r="H421" t="n">
        <v>0</v>
      </c>
      <c r="I421" t="n">
        <v>0</v>
      </c>
      <c r="J421" t="n">
        <v>0</v>
      </c>
      <c r="K421" t="n">
        <v>0</v>
      </c>
      <c r="L421" t="n">
        <v>0</v>
      </c>
      <c r="M421" t="n">
        <v>0</v>
      </c>
      <c r="N421" t="n">
        <v>0</v>
      </c>
      <c r="O421" t="n">
        <v>0</v>
      </c>
      <c r="P421" t="n">
        <v>0</v>
      </c>
      <c r="Q421" t="n">
        <v>0</v>
      </c>
      <c r="R421" s="2" t="inlineStr"/>
    </row>
    <row r="422" ht="15" customHeight="1">
      <c r="A422" t="inlineStr">
        <is>
          <t>A 57442-2022</t>
        </is>
      </c>
      <c r="B422" s="1" t="n">
        <v>44896</v>
      </c>
      <c r="C422" s="1" t="n">
        <v>45642</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57833-2022</t>
        </is>
      </c>
      <c r="B423" s="1" t="n">
        <v>44897</v>
      </c>
      <c r="C423" s="1" t="n">
        <v>45642</v>
      </c>
      <c r="D423" t="inlineStr">
        <is>
          <t>NORRBOTTENS LÄN</t>
        </is>
      </c>
      <c r="E423" t="inlineStr">
        <is>
          <t>GÄLLIVARE</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58139-2022</t>
        </is>
      </c>
      <c r="B424" s="1" t="n">
        <v>44900</v>
      </c>
      <c r="C424" s="1" t="n">
        <v>45642</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59059-2022</t>
        </is>
      </c>
      <c r="B425" s="1" t="n">
        <v>44904</v>
      </c>
      <c r="C425" s="1" t="n">
        <v>45642</v>
      </c>
      <c r="D425" t="inlineStr">
        <is>
          <t>NORRBOTTENS LÄN</t>
        </is>
      </c>
      <c r="E425" t="inlineStr">
        <is>
          <t>GÄLLIVARE</t>
        </is>
      </c>
      <c r="G425" t="n">
        <v>6.7</v>
      </c>
      <c r="H425" t="n">
        <v>0</v>
      </c>
      <c r="I425" t="n">
        <v>0</v>
      </c>
      <c r="J425" t="n">
        <v>0</v>
      </c>
      <c r="K425" t="n">
        <v>0</v>
      </c>
      <c r="L425" t="n">
        <v>0</v>
      </c>
      <c r="M425" t="n">
        <v>0</v>
      </c>
      <c r="N425" t="n">
        <v>0</v>
      </c>
      <c r="O425" t="n">
        <v>0</v>
      </c>
      <c r="P425" t="n">
        <v>0</v>
      </c>
      <c r="Q425" t="n">
        <v>0</v>
      </c>
      <c r="R425" s="2" t="inlineStr"/>
    </row>
    <row r="426" ht="15" customHeight="1">
      <c r="A426" t="inlineStr">
        <is>
          <t>A 59068-2022</t>
        </is>
      </c>
      <c r="B426" s="1" t="n">
        <v>44904</v>
      </c>
      <c r="C426" s="1" t="n">
        <v>45642</v>
      </c>
      <c r="D426" t="inlineStr">
        <is>
          <t>NORRBOTTENS LÄN</t>
        </is>
      </c>
      <c r="E426" t="inlineStr">
        <is>
          <t>GÄLLIVARE</t>
        </is>
      </c>
      <c r="G426" t="n">
        <v>1</v>
      </c>
      <c r="H426" t="n">
        <v>0</v>
      </c>
      <c r="I426" t="n">
        <v>0</v>
      </c>
      <c r="J426" t="n">
        <v>0</v>
      </c>
      <c r="K426" t="n">
        <v>0</v>
      </c>
      <c r="L426" t="n">
        <v>0</v>
      </c>
      <c r="M426" t="n">
        <v>0</v>
      </c>
      <c r="N426" t="n">
        <v>0</v>
      </c>
      <c r="O426" t="n">
        <v>0</v>
      </c>
      <c r="P426" t="n">
        <v>0</v>
      </c>
      <c r="Q426" t="n">
        <v>0</v>
      </c>
      <c r="R426" s="2" t="inlineStr"/>
    </row>
    <row r="427" ht="15" customHeight="1">
      <c r="A427" t="inlineStr">
        <is>
          <t>A 59172-2022</t>
        </is>
      </c>
      <c r="B427" s="1" t="n">
        <v>44904</v>
      </c>
      <c r="C427" s="1" t="n">
        <v>45642</v>
      </c>
      <c r="D427" t="inlineStr">
        <is>
          <t>NORRBOTTENS LÄN</t>
        </is>
      </c>
      <c r="E427" t="inlineStr">
        <is>
          <t>GÄLLIVARE</t>
        </is>
      </c>
      <c r="G427" t="n">
        <v>0.5</v>
      </c>
      <c r="H427" t="n">
        <v>0</v>
      </c>
      <c r="I427" t="n">
        <v>0</v>
      </c>
      <c r="J427" t="n">
        <v>0</v>
      </c>
      <c r="K427" t="n">
        <v>0</v>
      </c>
      <c r="L427" t="n">
        <v>0</v>
      </c>
      <c r="M427" t="n">
        <v>0</v>
      </c>
      <c r="N427" t="n">
        <v>0</v>
      </c>
      <c r="O427" t="n">
        <v>0</v>
      </c>
      <c r="P427" t="n">
        <v>0</v>
      </c>
      <c r="Q427" t="n">
        <v>0</v>
      </c>
      <c r="R427" s="2" t="inlineStr"/>
    </row>
    <row r="428" ht="15" customHeight="1">
      <c r="A428" t="inlineStr">
        <is>
          <t>A 59189-2022</t>
        </is>
      </c>
      <c r="B428" s="1" t="n">
        <v>44904</v>
      </c>
      <c r="C428" s="1" t="n">
        <v>45642</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59177-2022</t>
        </is>
      </c>
      <c r="B429" s="1" t="n">
        <v>44904</v>
      </c>
      <c r="C429" s="1" t="n">
        <v>45642</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59194-2022</t>
        </is>
      </c>
      <c r="B430" s="1" t="n">
        <v>44904</v>
      </c>
      <c r="C430" s="1" t="n">
        <v>45642</v>
      </c>
      <c r="D430" t="inlineStr">
        <is>
          <t>NORRBOTTENS LÄN</t>
        </is>
      </c>
      <c r="E430" t="inlineStr">
        <is>
          <t>GÄLLIVARE</t>
        </is>
      </c>
      <c r="G430" t="n">
        <v>3.4</v>
      </c>
      <c r="H430" t="n">
        <v>0</v>
      </c>
      <c r="I430" t="n">
        <v>0</v>
      </c>
      <c r="J430" t="n">
        <v>0</v>
      </c>
      <c r="K430" t="n">
        <v>0</v>
      </c>
      <c r="L430" t="n">
        <v>0</v>
      </c>
      <c r="M430" t="n">
        <v>0</v>
      </c>
      <c r="N430" t="n">
        <v>0</v>
      </c>
      <c r="O430" t="n">
        <v>0</v>
      </c>
      <c r="P430" t="n">
        <v>0</v>
      </c>
      <c r="Q430" t="n">
        <v>0</v>
      </c>
      <c r="R430" s="2" t="inlineStr"/>
    </row>
    <row r="431" ht="15" customHeight="1">
      <c r="A431" t="inlineStr">
        <is>
          <t>A 61679-2022</t>
        </is>
      </c>
      <c r="B431" s="1" t="n">
        <v>44909</v>
      </c>
      <c r="C431" s="1" t="n">
        <v>45642</v>
      </c>
      <c r="D431" t="inlineStr">
        <is>
          <t>NORRBOTTENS LÄN</t>
        </is>
      </c>
      <c r="E431" t="inlineStr">
        <is>
          <t>GÄLLIVARE</t>
        </is>
      </c>
      <c r="G431" t="n">
        <v>5.7</v>
      </c>
      <c r="H431" t="n">
        <v>0</v>
      </c>
      <c r="I431" t="n">
        <v>0</v>
      </c>
      <c r="J431" t="n">
        <v>0</v>
      </c>
      <c r="K431" t="n">
        <v>0</v>
      </c>
      <c r="L431" t="n">
        <v>0</v>
      </c>
      <c r="M431" t="n">
        <v>0</v>
      </c>
      <c r="N431" t="n">
        <v>0</v>
      </c>
      <c r="O431" t="n">
        <v>0</v>
      </c>
      <c r="P431" t="n">
        <v>0</v>
      </c>
      <c r="Q431" t="n">
        <v>0</v>
      </c>
      <c r="R431" s="2" t="inlineStr"/>
    </row>
    <row r="432" ht="15" customHeight="1">
      <c r="A432" t="inlineStr">
        <is>
          <t>A 61795-2022</t>
        </is>
      </c>
      <c r="B432" s="1" t="n">
        <v>44911</v>
      </c>
      <c r="C432" s="1" t="n">
        <v>45642</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61644-2022</t>
        </is>
      </c>
      <c r="B433" s="1" t="n">
        <v>44916</v>
      </c>
      <c r="C433" s="1" t="n">
        <v>45642</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62496-2022</t>
        </is>
      </c>
      <c r="B434" s="1" t="n">
        <v>44916</v>
      </c>
      <c r="C434" s="1" t="n">
        <v>45642</v>
      </c>
      <c r="D434" t="inlineStr">
        <is>
          <t>NORRBOTTENS LÄN</t>
        </is>
      </c>
      <c r="E434" t="inlineStr">
        <is>
          <t>GÄLLIVARE</t>
        </is>
      </c>
      <c r="G434" t="n">
        <v>23.4</v>
      </c>
      <c r="H434" t="n">
        <v>0</v>
      </c>
      <c r="I434" t="n">
        <v>0</v>
      </c>
      <c r="J434" t="n">
        <v>0</v>
      </c>
      <c r="K434" t="n">
        <v>0</v>
      </c>
      <c r="L434" t="n">
        <v>0</v>
      </c>
      <c r="M434" t="n">
        <v>0</v>
      </c>
      <c r="N434" t="n">
        <v>0</v>
      </c>
      <c r="O434" t="n">
        <v>0</v>
      </c>
      <c r="P434" t="n">
        <v>0</v>
      </c>
      <c r="Q434" t="n">
        <v>0</v>
      </c>
      <c r="R434" s="2" t="inlineStr"/>
    </row>
    <row r="435" ht="15" customHeight="1">
      <c r="A435" t="inlineStr">
        <is>
          <t>A 62160-2022</t>
        </is>
      </c>
      <c r="B435" s="1" t="n">
        <v>44922</v>
      </c>
      <c r="C435" s="1" t="n">
        <v>45642</v>
      </c>
      <c r="D435" t="inlineStr">
        <is>
          <t>NORRBOTTENS LÄN</t>
        </is>
      </c>
      <c r="E435" t="inlineStr">
        <is>
          <t>GÄLLIVARE</t>
        </is>
      </c>
      <c r="G435" t="n">
        <v>19.6</v>
      </c>
      <c r="H435" t="n">
        <v>0</v>
      </c>
      <c r="I435" t="n">
        <v>0</v>
      </c>
      <c r="J435" t="n">
        <v>0</v>
      </c>
      <c r="K435" t="n">
        <v>0</v>
      </c>
      <c r="L435" t="n">
        <v>0</v>
      </c>
      <c r="M435" t="n">
        <v>0</v>
      </c>
      <c r="N435" t="n">
        <v>0</v>
      </c>
      <c r="O435" t="n">
        <v>0</v>
      </c>
      <c r="P435" t="n">
        <v>0</v>
      </c>
      <c r="Q435" t="n">
        <v>0</v>
      </c>
      <c r="R435" s="2" t="inlineStr"/>
    </row>
    <row r="436" ht="15" customHeight="1">
      <c r="A436" t="inlineStr">
        <is>
          <t>A 62258-2022</t>
        </is>
      </c>
      <c r="B436" s="1" t="n">
        <v>44922</v>
      </c>
      <c r="C436" s="1" t="n">
        <v>45642</v>
      </c>
      <c r="D436" t="inlineStr">
        <is>
          <t>NORRBOTTENS LÄN</t>
        </is>
      </c>
      <c r="E436" t="inlineStr">
        <is>
          <t>GÄLLIVARE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45642</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62580-2022</t>
        </is>
      </c>
      <c r="B438" s="1" t="n">
        <v>44924</v>
      </c>
      <c r="C438" s="1" t="n">
        <v>45642</v>
      </c>
      <c r="D438" t="inlineStr">
        <is>
          <t>NORRBOTTENS LÄN</t>
        </is>
      </c>
      <c r="E438" t="inlineStr">
        <is>
          <t>GÄLLIVARE</t>
        </is>
      </c>
      <c r="F438" t="inlineStr">
        <is>
          <t>SCA</t>
        </is>
      </c>
      <c r="G438" t="n">
        <v>9.9</v>
      </c>
      <c r="H438" t="n">
        <v>0</v>
      </c>
      <c r="I438" t="n">
        <v>0</v>
      </c>
      <c r="J438" t="n">
        <v>0</v>
      </c>
      <c r="K438" t="n">
        <v>0</v>
      </c>
      <c r="L438" t="n">
        <v>0</v>
      </c>
      <c r="M438" t="n">
        <v>0</v>
      </c>
      <c r="N438" t="n">
        <v>0</v>
      </c>
      <c r="O438" t="n">
        <v>0</v>
      </c>
      <c r="P438" t="n">
        <v>0</v>
      </c>
      <c r="Q438" t="n">
        <v>0</v>
      </c>
      <c r="R438" s="2" t="inlineStr"/>
    </row>
    <row r="439" ht="15" customHeight="1">
      <c r="A439" t="inlineStr">
        <is>
          <t>A 1312-2023</t>
        </is>
      </c>
      <c r="B439" s="1" t="n">
        <v>44931</v>
      </c>
      <c r="C439" s="1" t="n">
        <v>45642</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1609-2023</t>
        </is>
      </c>
      <c r="B440" s="1" t="n">
        <v>44937</v>
      </c>
      <c r="C440" s="1" t="n">
        <v>45642</v>
      </c>
      <c r="D440" t="inlineStr">
        <is>
          <t>NORRBOTTENS LÄN</t>
        </is>
      </c>
      <c r="E440" t="inlineStr">
        <is>
          <t>GÄLLIVARE</t>
        </is>
      </c>
      <c r="G440" t="n">
        <v>0.7</v>
      </c>
      <c r="H440" t="n">
        <v>0</v>
      </c>
      <c r="I440" t="n">
        <v>0</v>
      </c>
      <c r="J440" t="n">
        <v>0</v>
      </c>
      <c r="K440" t="n">
        <v>0</v>
      </c>
      <c r="L440" t="n">
        <v>0</v>
      </c>
      <c r="M440" t="n">
        <v>0</v>
      </c>
      <c r="N440" t="n">
        <v>0</v>
      </c>
      <c r="O440" t="n">
        <v>0</v>
      </c>
      <c r="P440" t="n">
        <v>0</v>
      </c>
      <c r="Q440" t="n">
        <v>0</v>
      </c>
      <c r="R440" s="2" t="inlineStr"/>
    </row>
    <row r="441" ht="15" customHeight="1">
      <c r="A441" t="inlineStr">
        <is>
          <t>A 2244-2023</t>
        </is>
      </c>
      <c r="B441" s="1" t="n">
        <v>44942</v>
      </c>
      <c r="C441" s="1" t="n">
        <v>45642</v>
      </c>
      <c r="D441" t="inlineStr">
        <is>
          <t>NORRBOTTENS LÄN</t>
        </is>
      </c>
      <c r="E441" t="inlineStr">
        <is>
          <t>GÄLLIVARE</t>
        </is>
      </c>
      <c r="G441" t="n">
        <v>21.1</v>
      </c>
      <c r="H441" t="n">
        <v>0</v>
      </c>
      <c r="I441" t="n">
        <v>0</v>
      </c>
      <c r="J441" t="n">
        <v>0</v>
      </c>
      <c r="K441" t="n">
        <v>0</v>
      </c>
      <c r="L441" t="n">
        <v>0</v>
      </c>
      <c r="M441" t="n">
        <v>0</v>
      </c>
      <c r="N441" t="n">
        <v>0</v>
      </c>
      <c r="O441" t="n">
        <v>0</v>
      </c>
      <c r="P441" t="n">
        <v>0</v>
      </c>
      <c r="Q441" t="n">
        <v>0</v>
      </c>
      <c r="R441" s="2" t="inlineStr"/>
    </row>
    <row r="442" ht="15" customHeight="1">
      <c r="A442" t="inlineStr">
        <is>
          <t>A 2237-2023</t>
        </is>
      </c>
      <c r="B442" s="1" t="n">
        <v>44942</v>
      </c>
      <c r="C442" s="1" t="n">
        <v>45642</v>
      </c>
      <c r="D442" t="inlineStr">
        <is>
          <t>NORRBOTTENS LÄN</t>
        </is>
      </c>
      <c r="E442" t="inlineStr">
        <is>
          <t>GÄLLIVARE</t>
        </is>
      </c>
      <c r="G442" t="n">
        <v>7</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45642</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2621-2023</t>
        </is>
      </c>
      <c r="B444" s="1" t="n">
        <v>44942</v>
      </c>
      <c r="C444" s="1" t="n">
        <v>45642</v>
      </c>
      <c r="D444" t="inlineStr">
        <is>
          <t>NORRBOTTENS LÄN</t>
        </is>
      </c>
      <c r="E444" t="inlineStr">
        <is>
          <t>GÄLLIVARE</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4185-2023</t>
        </is>
      </c>
      <c r="B445" s="1" t="n">
        <v>44953</v>
      </c>
      <c r="C445" s="1" t="n">
        <v>45642</v>
      </c>
      <c r="D445" t="inlineStr">
        <is>
          <t>NORRBOTTENS LÄN</t>
        </is>
      </c>
      <c r="E445" t="inlineStr">
        <is>
          <t>GÄLLIVARE</t>
        </is>
      </c>
      <c r="G445" t="n">
        <v>2.7</v>
      </c>
      <c r="H445" t="n">
        <v>0</v>
      </c>
      <c r="I445" t="n">
        <v>0</v>
      </c>
      <c r="J445" t="n">
        <v>0</v>
      </c>
      <c r="K445" t="n">
        <v>0</v>
      </c>
      <c r="L445" t="n">
        <v>0</v>
      </c>
      <c r="M445" t="n">
        <v>0</v>
      </c>
      <c r="N445" t="n">
        <v>0</v>
      </c>
      <c r="O445" t="n">
        <v>0</v>
      </c>
      <c r="P445" t="n">
        <v>0</v>
      </c>
      <c r="Q445" t="n">
        <v>0</v>
      </c>
      <c r="R445" s="2" t="inlineStr"/>
    </row>
    <row r="446" ht="15" customHeight="1">
      <c r="A446" t="inlineStr">
        <is>
          <t>A 4768-2023</t>
        </is>
      </c>
      <c r="B446" s="1" t="n">
        <v>44953</v>
      </c>
      <c r="C446" s="1" t="n">
        <v>45642</v>
      </c>
      <c r="D446" t="inlineStr">
        <is>
          <t>NORRBOTTENS LÄN</t>
        </is>
      </c>
      <c r="E446" t="inlineStr">
        <is>
          <t>GÄLLIVARE</t>
        </is>
      </c>
      <c r="G446" t="n">
        <v>7.9</v>
      </c>
      <c r="H446" t="n">
        <v>0</v>
      </c>
      <c r="I446" t="n">
        <v>0</v>
      </c>
      <c r="J446" t="n">
        <v>0</v>
      </c>
      <c r="K446" t="n">
        <v>0</v>
      </c>
      <c r="L446" t="n">
        <v>0</v>
      </c>
      <c r="M446" t="n">
        <v>0</v>
      </c>
      <c r="N446" t="n">
        <v>0</v>
      </c>
      <c r="O446" t="n">
        <v>0</v>
      </c>
      <c r="P446" t="n">
        <v>0</v>
      </c>
      <c r="Q446" t="n">
        <v>0</v>
      </c>
      <c r="R446" s="2" t="inlineStr"/>
    </row>
    <row r="447" ht="15" customHeight="1">
      <c r="A447" t="inlineStr">
        <is>
          <t>A 4756-2023</t>
        </is>
      </c>
      <c r="B447" s="1" t="n">
        <v>44953</v>
      </c>
      <c r="C447" s="1" t="n">
        <v>45642</v>
      </c>
      <c r="D447" t="inlineStr">
        <is>
          <t>NORRBOTTENS LÄN</t>
        </is>
      </c>
      <c r="E447" t="inlineStr">
        <is>
          <t>GÄLLIVARE</t>
        </is>
      </c>
      <c r="G447" t="n">
        <v>4.2</v>
      </c>
      <c r="H447" t="n">
        <v>0</v>
      </c>
      <c r="I447" t="n">
        <v>0</v>
      </c>
      <c r="J447" t="n">
        <v>0</v>
      </c>
      <c r="K447" t="n">
        <v>0</v>
      </c>
      <c r="L447" t="n">
        <v>0</v>
      </c>
      <c r="M447" t="n">
        <v>0</v>
      </c>
      <c r="N447" t="n">
        <v>0</v>
      </c>
      <c r="O447" t="n">
        <v>0</v>
      </c>
      <c r="P447" t="n">
        <v>0</v>
      </c>
      <c r="Q447" t="n">
        <v>0</v>
      </c>
      <c r="R447" s="2" t="inlineStr"/>
    </row>
    <row r="448" ht="15" customHeight="1">
      <c r="A448" t="inlineStr">
        <is>
          <t>A 4773-2023</t>
        </is>
      </c>
      <c r="B448" s="1" t="n">
        <v>44953</v>
      </c>
      <c r="C448" s="1" t="n">
        <v>45642</v>
      </c>
      <c r="D448" t="inlineStr">
        <is>
          <t>NORRBOTTENS LÄN</t>
        </is>
      </c>
      <c r="E448" t="inlineStr">
        <is>
          <t>GÄLLIVARE</t>
        </is>
      </c>
      <c r="G448" t="n">
        <v>8.6</v>
      </c>
      <c r="H448" t="n">
        <v>0</v>
      </c>
      <c r="I448" t="n">
        <v>0</v>
      </c>
      <c r="J448" t="n">
        <v>0</v>
      </c>
      <c r="K448" t="n">
        <v>0</v>
      </c>
      <c r="L448" t="n">
        <v>0</v>
      </c>
      <c r="M448" t="n">
        <v>0</v>
      </c>
      <c r="N448" t="n">
        <v>0</v>
      </c>
      <c r="O448" t="n">
        <v>0</v>
      </c>
      <c r="P448" t="n">
        <v>0</v>
      </c>
      <c r="Q448" t="n">
        <v>0</v>
      </c>
      <c r="R448" s="2" t="inlineStr"/>
    </row>
    <row r="449" ht="15" customHeight="1">
      <c r="A449" t="inlineStr">
        <is>
          <t>A 4238-2023</t>
        </is>
      </c>
      <c r="B449" s="1" t="n">
        <v>44953</v>
      </c>
      <c r="C449" s="1" t="n">
        <v>45642</v>
      </c>
      <c r="D449" t="inlineStr">
        <is>
          <t>NORRBOTTENS LÄN</t>
        </is>
      </c>
      <c r="E449" t="inlineStr">
        <is>
          <t>GÄLLIVARE</t>
        </is>
      </c>
      <c r="G449" t="n">
        <v>5.1</v>
      </c>
      <c r="H449" t="n">
        <v>0</v>
      </c>
      <c r="I449" t="n">
        <v>0</v>
      </c>
      <c r="J449" t="n">
        <v>0</v>
      </c>
      <c r="K449" t="n">
        <v>0</v>
      </c>
      <c r="L449" t="n">
        <v>0</v>
      </c>
      <c r="M449" t="n">
        <v>0</v>
      </c>
      <c r="N449" t="n">
        <v>0</v>
      </c>
      <c r="O449" t="n">
        <v>0</v>
      </c>
      <c r="P449" t="n">
        <v>0</v>
      </c>
      <c r="Q449" t="n">
        <v>0</v>
      </c>
      <c r="R449" s="2" t="inlineStr"/>
    </row>
    <row r="450" ht="15" customHeight="1">
      <c r="A450" t="inlineStr">
        <is>
          <t>A 5454-2023</t>
        </is>
      </c>
      <c r="B450" s="1" t="n">
        <v>44959</v>
      </c>
      <c r="C450" s="1" t="n">
        <v>45642</v>
      </c>
      <c r="D450" t="inlineStr">
        <is>
          <t>NORRBOTTENS LÄN</t>
        </is>
      </c>
      <c r="E450" t="inlineStr">
        <is>
          <t>GÄLLIVARE</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5456-2023</t>
        </is>
      </c>
      <c r="B451" s="1" t="n">
        <v>44959</v>
      </c>
      <c r="C451" s="1" t="n">
        <v>45642</v>
      </c>
      <c r="D451" t="inlineStr">
        <is>
          <t>NORRBOTTENS LÄN</t>
        </is>
      </c>
      <c r="E451" t="inlineStr">
        <is>
          <t>GÄLLIVARE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5695-2023</t>
        </is>
      </c>
      <c r="B452" s="1" t="n">
        <v>44960</v>
      </c>
      <c r="C452" s="1" t="n">
        <v>45642</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5704-2023</t>
        </is>
      </c>
      <c r="B453" s="1" t="n">
        <v>44960</v>
      </c>
      <c r="C453" s="1" t="n">
        <v>45642</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5708-2023</t>
        </is>
      </c>
      <c r="B454" s="1" t="n">
        <v>44960</v>
      </c>
      <c r="C454" s="1" t="n">
        <v>45642</v>
      </c>
      <c r="D454" t="inlineStr">
        <is>
          <t>NORRBOTTENS LÄN</t>
        </is>
      </c>
      <c r="E454" t="inlineStr">
        <is>
          <t>GÄLLIVARE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5709-2023</t>
        </is>
      </c>
      <c r="B455" s="1" t="n">
        <v>44960</v>
      </c>
      <c r="C455" s="1" t="n">
        <v>45642</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6459-2023</t>
        </is>
      </c>
      <c r="B456" s="1" t="n">
        <v>44965</v>
      </c>
      <c r="C456" s="1" t="n">
        <v>45642</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6783-2023</t>
        </is>
      </c>
      <c r="B457" s="1" t="n">
        <v>44966</v>
      </c>
      <c r="C457" s="1" t="n">
        <v>45642</v>
      </c>
      <c r="D457" t="inlineStr">
        <is>
          <t>NORRBOTTENS LÄN</t>
        </is>
      </c>
      <c r="E457" t="inlineStr">
        <is>
          <t>GÄLLIVARE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6781-2023</t>
        </is>
      </c>
      <c r="B458" s="1" t="n">
        <v>44966</v>
      </c>
      <c r="C458" s="1" t="n">
        <v>45642</v>
      </c>
      <c r="D458" t="inlineStr">
        <is>
          <t>NORRBOTTENS LÄN</t>
        </is>
      </c>
      <c r="E458" t="inlineStr">
        <is>
          <t>GÄLLIVARE</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10149-2023</t>
        </is>
      </c>
      <c r="B459" s="1" t="n">
        <v>44980</v>
      </c>
      <c r="C459" s="1" t="n">
        <v>45642</v>
      </c>
      <c r="D459" t="inlineStr">
        <is>
          <t>NORRBOTTENS LÄN</t>
        </is>
      </c>
      <c r="E459" t="inlineStr">
        <is>
          <t>GÄLLIVARE</t>
        </is>
      </c>
      <c r="F459" t="inlineStr">
        <is>
          <t>Allmännings- och besparingsskogar</t>
        </is>
      </c>
      <c r="G459" t="n">
        <v>12.5</v>
      </c>
      <c r="H459" t="n">
        <v>0</v>
      </c>
      <c r="I459" t="n">
        <v>0</v>
      </c>
      <c r="J459" t="n">
        <v>0</v>
      </c>
      <c r="K459" t="n">
        <v>0</v>
      </c>
      <c r="L459" t="n">
        <v>0</v>
      </c>
      <c r="M459" t="n">
        <v>0</v>
      </c>
      <c r="N459" t="n">
        <v>0</v>
      </c>
      <c r="O459" t="n">
        <v>0</v>
      </c>
      <c r="P459" t="n">
        <v>0</v>
      </c>
      <c r="Q459" t="n">
        <v>0</v>
      </c>
      <c r="R459" s="2" t="inlineStr"/>
    </row>
    <row r="460" ht="15" customHeight="1">
      <c r="A460" t="inlineStr">
        <is>
          <t>A 10183-2023</t>
        </is>
      </c>
      <c r="B460" s="1" t="n">
        <v>44980</v>
      </c>
      <c r="C460" s="1" t="n">
        <v>45642</v>
      </c>
      <c r="D460" t="inlineStr">
        <is>
          <t>NORRBOTTENS LÄN</t>
        </is>
      </c>
      <c r="E460" t="inlineStr">
        <is>
          <t>GÄLLIVARE</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10153-2023</t>
        </is>
      </c>
      <c r="B461" s="1" t="n">
        <v>44980</v>
      </c>
      <c r="C461" s="1" t="n">
        <v>45642</v>
      </c>
      <c r="D461" t="inlineStr">
        <is>
          <t>NORRBOTTENS LÄN</t>
        </is>
      </c>
      <c r="E461" t="inlineStr">
        <is>
          <t>GÄLLIVARE</t>
        </is>
      </c>
      <c r="F461" t="inlineStr">
        <is>
          <t>Allmännings- och besparingsskogar</t>
        </is>
      </c>
      <c r="G461" t="n">
        <v>35.1</v>
      </c>
      <c r="H461" t="n">
        <v>0</v>
      </c>
      <c r="I461" t="n">
        <v>0</v>
      </c>
      <c r="J461" t="n">
        <v>0</v>
      </c>
      <c r="K461" t="n">
        <v>0</v>
      </c>
      <c r="L461" t="n">
        <v>0</v>
      </c>
      <c r="M461" t="n">
        <v>0</v>
      </c>
      <c r="N461" t="n">
        <v>0</v>
      </c>
      <c r="O461" t="n">
        <v>0</v>
      </c>
      <c r="P461" t="n">
        <v>0</v>
      </c>
      <c r="Q461" t="n">
        <v>0</v>
      </c>
      <c r="R461" s="2" t="inlineStr"/>
    </row>
    <row r="462" ht="15" customHeight="1">
      <c r="A462" t="inlineStr">
        <is>
          <t>A 10139-2023</t>
        </is>
      </c>
      <c r="B462" s="1" t="n">
        <v>44980</v>
      </c>
      <c r="C462" s="1" t="n">
        <v>45642</v>
      </c>
      <c r="D462" t="inlineStr">
        <is>
          <t>NORRBOTTENS LÄN</t>
        </is>
      </c>
      <c r="E462" t="inlineStr">
        <is>
          <t>GÄLLIVARE</t>
        </is>
      </c>
      <c r="F462" t="inlineStr">
        <is>
          <t>Allmännings- och besparingsskogar</t>
        </is>
      </c>
      <c r="G462" t="n">
        <v>12.5</v>
      </c>
      <c r="H462" t="n">
        <v>0</v>
      </c>
      <c r="I462" t="n">
        <v>0</v>
      </c>
      <c r="J462" t="n">
        <v>0</v>
      </c>
      <c r="K462" t="n">
        <v>0</v>
      </c>
      <c r="L462" t="n">
        <v>0</v>
      </c>
      <c r="M462" t="n">
        <v>0</v>
      </c>
      <c r="N462" t="n">
        <v>0</v>
      </c>
      <c r="O462" t="n">
        <v>0</v>
      </c>
      <c r="P462" t="n">
        <v>0</v>
      </c>
      <c r="Q462" t="n">
        <v>0</v>
      </c>
      <c r="R462" s="2" t="inlineStr"/>
    </row>
    <row r="463" ht="15" customHeight="1">
      <c r="A463" t="inlineStr">
        <is>
          <t>A 10166-2023</t>
        </is>
      </c>
      <c r="B463" s="1" t="n">
        <v>44980</v>
      </c>
      <c r="C463" s="1" t="n">
        <v>45642</v>
      </c>
      <c r="D463" t="inlineStr">
        <is>
          <t>NORRBOTTENS LÄN</t>
        </is>
      </c>
      <c r="E463" t="inlineStr">
        <is>
          <t>GÄLLIVARE</t>
        </is>
      </c>
      <c r="F463" t="inlineStr">
        <is>
          <t>Allmännings- och besparingsskogar</t>
        </is>
      </c>
      <c r="G463" t="n">
        <v>18.6</v>
      </c>
      <c r="H463" t="n">
        <v>0</v>
      </c>
      <c r="I463" t="n">
        <v>0</v>
      </c>
      <c r="J463" t="n">
        <v>0</v>
      </c>
      <c r="K463" t="n">
        <v>0</v>
      </c>
      <c r="L463" t="n">
        <v>0</v>
      </c>
      <c r="M463" t="n">
        <v>0</v>
      </c>
      <c r="N463" t="n">
        <v>0</v>
      </c>
      <c r="O463" t="n">
        <v>0</v>
      </c>
      <c r="P463" t="n">
        <v>0</v>
      </c>
      <c r="Q463" t="n">
        <v>0</v>
      </c>
      <c r="R463" s="2" t="inlineStr"/>
    </row>
    <row r="464" ht="15" customHeight="1">
      <c r="A464" t="inlineStr">
        <is>
          <t>A 10187-2023</t>
        </is>
      </c>
      <c r="B464" s="1" t="n">
        <v>44980</v>
      </c>
      <c r="C464" s="1" t="n">
        <v>45642</v>
      </c>
      <c r="D464" t="inlineStr">
        <is>
          <t>NORRBOTTENS LÄN</t>
        </is>
      </c>
      <c r="E464" t="inlineStr">
        <is>
          <t>GÄLLIVARE</t>
        </is>
      </c>
      <c r="F464" t="inlineStr">
        <is>
          <t>Allmännings- och besparingsskogar</t>
        </is>
      </c>
      <c r="G464" t="n">
        <v>33.5</v>
      </c>
      <c r="H464" t="n">
        <v>0</v>
      </c>
      <c r="I464" t="n">
        <v>0</v>
      </c>
      <c r="J464" t="n">
        <v>0</v>
      </c>
      <c r="K464" t="n">
        <v>0</v>
      </c>
      <c r="L464" t="n">
        <v>0</v>
      </c>
      <c r="M464" t="n">
        <v>0</v>
      </c>
      <c r="N464" t="n">
        <v>0</v>
      </c>
      <c r="O464" t="n">
        <v>0</v>
      </c>
      <c r="P464" t="n">
        <v>0</v>
      </c>
      <c r="Q464" t="n">
        <v>0</v>
      </c>
      <c r="R464" s="2" t="inlineStr"/>
    </row>
    <row r="465" ht="15" customHeight="1">
      <c r="A465" t="inlineStr">
        <is>
          <t>A 9556-2023</t>
        </is>
      </c>
      <c r="B465" s="1" t="n">
        <v>44981</v>
      </c>
      <c r="C465" s="1" t="n">
        <v>45642</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10298-2023</t>
        </is>
      </c>
      <c r="B466" s="1" t="n">
        <v>44986</v>
      </c>
      <c r="C466" s="1" t="n">
        <v>45642</v>
      </c>
      <c r="D466" t="inlineStr">
        <is>
          <t>NORRBOTTENS LÄN</t>
        </is>
      </c>
      <c r="E466" t="inlineStr">
        <is>
          <t>GÄLLIVARE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11290-2023</t>
        </is>
      </c>
      <c r="B467" s="1" t="n">
        <v>44992</v>
      </c>
      <c r="C467" s="1" t="n">
        <v>45642</v>
      </c>
      <c r="D467" t="inlineStr">
        <is>
          <t>NORRBOTTENS LÄN</t>
        </is>
      </c>
      <c r="E467" t="inlineStr">
        <is>
          <t>GÄLLIVARE</t>
        </is>
      </c>
      <c r="G467" t="n">
        <v>2</v>
      </c>
      <c r="H467" t="n">
        <v>0</v>
      </c>
      <c r="I467" t="n">
        <v>0</v>
      </c>
      <c r="J467" t="n">
        <v>0</v>
      </c>
      <c r="K467" t="n">
        <v>0</v>
      </c>
      <c r="L467" t="n">
        <v>0</v>
      </c>
      <c r="M467" t="n">
        <v>0</v>
      </c>
      <c r="N467" t="n">
        <v>0</v>
      </c>
      <c r="O467" t="n">
        <v>0</v>
      </c>
      <c r="P467" t="n">
        <v>0</v>
      </c>
      <c r="Q467" t="n">
        <v>0</v>
      </c>
      <c r="R467" s="2" t="inlineStr"/>
    </row>
    <row r="468" ht="15" customHeight="1">
      <c r="A468" t="inlineStr">
        <is>
          <t>A 13250-2023</t>
        </is>
      </c>
      <c r="B468" s="1" t="n">
        <v>45002</v>
      </c>
      <c r="C468" s="1" t="n">
        <v>45642</v>
      </c>
      <c r="D468" t="inlineStr">
        <is>
          <t>NORRBOTTENS LÄN</t>
        </is>
      </c>
      <c r="E468" t="inlineStr">
        <is>
          <t>GÄLLIVARE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13251-2023</t>
        </is>
      </c>
      <c r="B469" s="1" t="n">
        <v>45002</v>
      </c>
      <c r="C469" s="1" t="n">
        <v>45642</v>
      </c>
      <c r="D469" t="inlineStr">
        <is>
          <t>NORRBOTTENS LÄN</t>
        </is>
      </c>
      <c r="E469" t="inlineStr">
        <is>
          <t>GÄLLIVARE</t>
        </is>
      </c>
      <c r="F469" t="inlineStr">
        <is>
          <t>SCA</t>
        </is>
      </c>
      <c r="G469" t="n">
        <v>23.6</v>
      </c>
      <c r="H469" t="n">
        <v>0</v>
      </c>
      <c r="I469" t="n">
        <v>0</v>
      </c>
      <c r="J469" t="n">
        <v>0</v>
      </c>
      <c r="K469" t="n">
        <v>0</v>
      </c>
      <c r="L469" t="n">
        <v>0</v>
      </c>
      <c r="M469" t="n">
        <v>0</v>
      </c>
      <c r="N469" t="n">
        <v>0</v>
      </c>
      <c r="O469" t="n">
        <v>0</v>
      </c>
      <c r="P469" t="n">
        <v>0</v>
      </c>
      <c r="Q469" t="n">
        <v>0</v>
      </c>
      <c r="R469" s="2" t="inlineStr"/>
    </row>
    <row r="470" ht="15" customHeight="1">
      <c r="A470" t="inlineStr">
        <is>
          <t>A 15072-2023</t>
        </is>
      </c>
      <c r="B470" s="1" t="n">
        <v>45015</v>
      </c>
      <c r="C470" s="1" t="n">
        <v>45642</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16068-2023</t>
        </is>
      </c>
      <c r="B471" s="1" t="n">
        <v>45027</v>
      </c>
      <c r="C471" s="1" t="n">
        <v>45642</v>
      </c>
      <c r="D471" t="inlineStr">
        <is>
          <t>NORRBOTTENS LÄN</t>
        </is>
      </c>
      <c r="E471" t="inlineStr">
        <is>
          <t>GÄLLIVARE</t>
        </is>
      </c>
      <c r="G471" t="n">
        <v>4.1</v>
      </c>
      <c r="H471" t="n">
        <v>0</v>
      </c>
      <c r="I471" t="n">
        <v>0</v>
      </c>
      <c r="J471" t="n">
        <v>0</v>
      </c>
      <c r="K471" t="n">
        <v>0</v>
      </c>
      <c r="L471" t="n">
        <v>0</v>
      </c>
      <c r="M471" t="n">
        <v>0</v>
      </c>
      <c r="N471" t="n">
        <v>0</v>
      </c>
      <c r="O471" t="n">
        <v>0</v>
      </c>
      <c r="P471" t="n">
        <v>0</v>
      </c>
      <c r="Q471" t="n">
        <v>0</v>
      </c>
      <c r="R471" s="2" t="inlineStr"/>
    </row>
    <row r="472" ht="15" customHeight="1">
      <c r="A472" t="inlineStr">
        <is>
          <t>A 16754-2023</t>
        </is>
      </c>
      <c r="B472" s="1" t="n">
        <v>45030</v>
      </c>
      <c r="C472" s="1" t="n">
        <v>45642</v>
      </c>
      <c r="D472" t="inlineStr">
        <is>
          <t>NORRBOTTENS LÄN</t>
        </is>
      </c>
      <c r="E472" t="inlineStr">
        <is>
          <t>GÄLLIVARE</t>
        </is>
      </c>
      <c r="G472" t="n">
        <v>9.1</v>
      </c>
      <c r="H472" t="n">
        <v>0</v>
      </c>
      <c r="I472" t="n">
        <v>0</v>
      </c>
      <c r="J472" t="n">
        <v>0</v>
      </c>
      <c r="K472" t="n">
        <v>0</v>
      </c>
      <c r="L472" t="n">
        <v>0</v>
      </c>
      <c r="M472" t="n">
        <v>0</v>
      </c>
      <c r="N472" t="n">
        <v>0</v>
      </c>
      <c r="O472" t="n">
        <v>0</v>
      </c>
      <c r="P472" t="n">
        <v>0</v>
      </c>
      <c r="Q472" t="n">
        <v>0</v>
      </c>
      <c r="R472" s="2" t="inlineStr"/>
    </row>
    <row r="473" ht="15" customHeight="1">
      <c r="A473" t="inlineStr">
        <is>
          <t>A 16973-2023</t>
        </is>
      </c>
      <c r="B473" s="1" t="n">
        <v>45033</v>
      </c>
      <c r="C473" s="1" t="n">
        <v>45642</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45642</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19619-2023</t>
        </is>
      </c>
      <c r="B475" s="1" t="n">
        <v>45050</v>
      </c>
      <c r="C475" s="1" t="n">
        <v>45642</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20126-2023</t>
        </is>
      </c>
      <c r="B476" s="1" t="n">
        <v>45051</v>
      </c>
      <c r="C476" s="1" t="n">
        <v>45642</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21159-2023</t>
        </is>
      </c>
      <c r="B477" s="1" t="n">
        <v>45062</v>
      </c>
      <c r="C477" s="1" t="n">
        <v>45642</v>
      </c>
      <c r="D477" t="inlineStr">
        <is>
          <t>NORRBOTTENS LÄN</t>
        </is>
      </c>
      <c r="E477" t="inlineStr">
        <is>
          <t>GÄLLIVARE</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21556-2023</t>
        </is>
      </c>
      <c r="B478" s="1" t="n">
        <v>45063</v>
      </c>
      <c r="C478" s="1" t="n">
        <v>45642</v>
      </c>
      <c r="D478" t="inlineStr">
        <is>
          <t>NORRBOTTENS LÄN</t>
        </is>
      </c>
      <c r="E478" t="inlineStr">
        <is>
          <t>GÄLLIVARE</t>
        </is>
      </c>
      <c r="G478" t="n">
        <v>6.8</v>
      </c>
      <c r="H478" t="n">
        <v>0</v>
      </c>
      <c r="I478" t="n">
        <v>0</v>
      </c>
      <c r="J478" t="n">
        <v>0</v>
      </c>
      <c r="K478" t="n">
        <v>0</v>
      </c>
      <c r="L478" t="n">
        <v>0</v>
      </c>
      <c r="M478" t="n">
        <v>0</v>
      </c>
      <c r="N478" t="n">
        <v>0</v>
      </c>
      <c r="O478" t="n">
        <v>0</v>
      </c>
      <c r="P478" t="n">
        <v>0</v>
      </c>
      <c r="Q478" t="n">
        <v>0</v>
      </c>
      <c r="R478" s="2" t="inlineStr"/>
    </row>
    <row r="479" ht="15" customHeight="1">
      <c r="A479" t="inlineStr">
        <is>
          <t>A 21785-2023</t>
        </is>
      </c>
      <c r="B479" s="1" t="n">
        <v>45065</v>
      </c>
      <c r="C479" s="1" t="n">
        <v>45642</v>
      </c>
      <c r="D479" t="inlineStr">
        <is>
          <t>NORRBOTTENS LÄN</t>
        </is>
      </c>
      <c r="E479" t="inlineStr">
        <is>
          <t>GÄLLIVARE</t>
        </is>
      </c>
      <c r="G479" t="n">
        <v>22.4</v>
      </c>
      <c r="H479" t="n">
        <v>0</v>
      </c>
      <c r="I479" t="n">
        <v>0</v>
      </c>
      <c r="J479" t="n">
        <v>0</v>
      </c>
      <c r="K479" t="n">
        <v>0</v>
      </c>
      <c r="L479" t="n">
        <v>0</v>
      </c>
      <c r="M479" t="n">
        <v>0</v>
      </c>
      <c r="N479" t="n">
        <v>0</v>
      </c>
      <c r="O479" t="n">
        <v>0</v>
      </c>
      <c r="P479" t="n">
        <v>0</v>
      </c>
      <c r="Q479" t="n">
        <v>0</v>
      </c>
      <c r="R479" s="2" t="inlineStr"/>
    </row>
    <row r="480" ht="15" customHeight="1">
      <c r="A480" t="inlineStr">
        <is>
          <t>A 22744-2023</t>
        </is>
      </c>
      <c r="B480" s="1" t="n">
        <v>45072</v>
      </c>
      <c r="C480" s="1" t="n">
        <v>45642</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22743-2023</t>
        </is>
      </c>
      <c r="B481" s="1" t="n">
        <v>45072</v>
      </c>
      <c r="C481" s="1" t="n">
        <v>45642</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23489-2023</t>
        </is>
      </c>
      <c r="B482" s="1" t="n">
        <v>45072</v>
      </c>
      <c r="C482" s="1" t="n">
        <v>45642</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45642</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24094-2023</t>
        </is>
      </c>
      <c r="B484" s="1" t="n">
        <v>45079</v>
      </c>
      <c r="C484" s="1" t="n">
        <v>45642</v>
      </c>
      <c r="D484" t="inlineStr">
        <is>
          <t>NORRBOTTENS LÄN</t>
        </is>
      </c>
      <c r="E484" t="inlineStr">
        <is>
          <t>GÄLLIVARE</t>
        </is>
      </c>
      <c r="G484" t="n">
        <v>3.6</v>
      </c>
      <c r="H484" t="n">
        <v>0</v>
      </c>
      <c r="I484" t="n">
        <v>0</v>
      </c>
      <c r="J484" t="n">
        <v>0</v>
      </c>
      <c r="K484" t="n">
        <v>0</v>
      </c>
      <c r="L484" t="n">
        <v>0</v>
      </c>
      <c r="M484" t="n">
        <v>0</v>
      </c>
      <c r="N484" t="n">
        <v>0</v>
      </c>
      <c r="O484" t="n">
        <v>0</v>
      </c>
      <c r="P484" t="n">
        <v>0</v>
      </c>
      <c r="Q484" t="n">
        <v>0</v>
      </c>
      <c r="R484" s="2" t="inlineStr"/>
    </row>
    <row r="485" ht="15" customHeight="1">
      <c r="A485" t="inlineStr">
        <is>
          <t>A 24117-2023</t>
        </is>
      </c>
      <c r="B485" s="1" t="n">
        <v>45079</v>
      </c>
      <c r="C485" s="1" t="n">
        <v>45642</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25197-2023</t>
        </is>
      </c>
      <c r="B486" s="1" t="n">
        <v>45086</v>
      </c>
      <c r="C486" s="1" t="n">
        <v>45642</v>
      </c>
      <c r="D486" t="inlineStr">
        <is>
          <t>NORRBOTTENS LÄN</t>
        </is>
      </c>
      <c r="E486" t="inlineStr">
        <is>
          <t>GÄLLIVARE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25195-2023</t>
        </is>
      </c>
      <c r="B487" s="1" t="n">
        <v>45086</v>
      </c>
      <c r="C487" s="1" t="n">
        <v>45642</v>
      </c>
      <c r="D487" t="inlineStr">
        <is>
          <t>NORRBOTTENS LÄN</t>
        </is>
      </c>
      <c r="E487" t="inlineStr">
        <is>
          <t>GÄLLIVARE</t>
        </is>
      </c>
      <c r="F487" t="inlineStr">
        <is>
          <t>Sveaskog</t>
        </is>
      </c>
      <c r="G487" t="n">
        <v>6.1</v>
      </c>
      <c r="H487" t="n">
        <v>0</v>
      </c>
      <c r="I487" t="n">
        <v>0</v>
      </c>
      <c r="J487" t="n">
        <v>0</v>
      </c>
      <c r="K487" t="n">
        <v>0</v>
      </c>
      <c r="L487" t="n">
        <v>0</v>
      </c>
      <c r="M487" t="n">
        <v>0</v>
      </c>
      <c r="N487" t="n">
        <v>0</v>
      </c>
      <c r="O487" t="n">
        <v>0</v>
      </c>
      <c r="P487" t="n">
        <v>0</v>
      </c>
      <c r="Q487" t="n">
        <v>0</v>
      </c>
      <c r="R487" s="2" t="inlineStr"/>
    </row>
    <row r="488" ht="15" customHeight="1">
      <c r="A488" t="inlineStr">
        <is>
          <t>A 25191-2023</t>
        </is>
      </c>
      <c r="B488" s="1" t="n">
        <v>45086</v>
      </c>
      <c r="C488" s="1" t="n">
        <v>45642</v>
      </c>
      <c r="D488" t="inlineStr">
        <is>
          <t>NORRBOTTENS LÄN</t>
        </is>
      </c>
      <c r="E488" t="inlineStr">
        <is>
          <t>GÄLLIVARE</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25681-2023</t>
        </is>
      </c>
      <c r="B489" s="1" t="n">
        <v>45089</v>
      </c>
      <c r="C489" s="1" t="n">
        <v>45642</v>
      </c>
      <c r="D489" t="inlineStr">
        <is>
          <t>NORRBOTTENS LÄN</t>
        </is>
      </c>
      <c r="E489" t="inlineStr">
        <is>
          <t>GÄLLIVARE</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28600-2023</t>
        </is>
      </c>
      <c r="B490" s="1" t="n">
        <v>45096</v>
      </c>
      <c r="C490" s="1" t="n">
        <v>45642</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28646-2023</t>
        </is>
      </c>
      <c r="B491" s="1" t="n">
        <v>45096</v>
      </c>
      <c r="C491" s="1" t="n">
        <v>45642</v>
      </c>
      <c r="D491" t="inlineStr">
        <is>
          <t>NORRBOTTENS LÄN</t>
        </is>
      </c>
      <c r="E491" t="inlineStr">
        <is>
          <t>GÄLLIVARE</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28619-2023</t>
        </is>
      </c>
      <c r="B492" s="1" t="n">
        <v>45096</v>
      </c>
      <c r="C492" s="1" t="n">
        <v>45642</v>
      </c>
      <c r="D492" t="inlineStr">
        <is>
          <t>NORRBOTTENS LÄN</t>
        </is>
      </c>
      <c r="E492" t="inlineStr">
        <is>
          <t>GÄLLIVARE</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28624-2023</t>
        </is>
      </c>
      <c r="B493" s="1" t="n">
        <v>45096</v>
      </c>
      <c r="C493" s="1" t="n">
        <v>45642</v>
      </c>
      <c r="D493" t="inlineStr">
        <is>
          <t>NORRBOTTENS LÄN</t>
        </is>
      </c>
      <c r="E493" t="inlineStr">
        <is>
          <t>GÄLLIVARE</t>
        </is>
      </c>
      <c r="F493" t="inlineStr">
        <is>
          <t>Allmännings- och besparingsskogar</t>
        </is>
      </c>
      <c r="G493" t="n">
        <v>44.7</v>
      </c>
      <c r="H493" t="n">
        <v>0</v>
      </c>
      <c r="I493" t="n">
        <v>0</v>
      </c>
      <c r="J493" t="n">
        <v>0</v>
      </c>
      <c r="K493" t="n">
        <v>0</v>
      </c>
      <c r="L493" t="n">
        <v>0</v>
      </c>
      <c r="M493" t="n">
        <v>0</v>
      </c>
      <c r="N493" t="n">
        <v>0</v>
      </c>
      <c r="O493" t="n">
        <v>0</v>
      </c>
      <c r="P493" t="n">
        <v>0</v>
      </c>
      <c r="Q493" t="n">
        <v>0</v>
      </c>
      <c r="R493" s="2" t="inlineStr"/>
    </row>
    <row r="494" ht="15" customHeight="1">
      <c r="A494" t="inlineStr">
        <is>
          <t>A 28177-2023</t>
        </is>
      </c>
      <c r="B494" s="1" t="n">
        <v>45099</v>
      </c>
      <c r="C494" s="1" t="n">
        <v>45642</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30765-2023</t>
        </is>
      </c>
      <c r="B495" s="1" t="n">
        <v>45103</v>
      </c>
      <c r="C495" s="1" t="n">
        <v>45642</v>
      </c>
      <c r="D495" t="inlineStr">
        <is>
          <t>NORRBOTTENS LÄN</t>
        </is>
      </c>
      <c r="E495" t="inlineStr">
        <is>
          <t>GÄLLIVARE</t>
        </is>
      </c>
      <c r="F495" t="inlineStr">
        <is>
          <t>Allmännings- och besparingsskogar</t>
        </is>
      </c>
      <c r="G495" t="n">
        <v>10.8</v>
      </c>
      <c r="H495" t="n">
        <v>0</v>
      </c>
      <c r="I495" t="n">
        <v>0</v>
      </c>
      <c r="J495" t="n">
        <v>0</v>
      </c>
      <c r="K495" t="n">
        <v>0</v>
      </c>
      <c r="L495" t="n">
        <v>0</v>
      </c>
      <c r="M495" t="n">
        <v>0</v>
      </c>
      <c r="N495" t="n">
        <v>0</v>
      </c>
      <c r="O495" t="n">
        <v>0</v>
      </c>
      <c r="P495" t="n">
        <v>0</v>
      </c>
      <c r="Q495" t="n">
        <v>0</v>
      </c>
      <c r="R495" s="2" t="inlineStr"/>
    </row>
    <row r="496" ht="15" customHeight="1">
      <c r="A496" t="inlineStr">
        <is>
          <t>A 28837-2023</t>
        </is>
      </c>
      <c r="B496" s="1" t="n">
        <v>45104</v>
      </c>
      <c r="C496" s="1" t="n">
        <v>45642</v>
      </c>
      <c r="D496" t="inlineStr">
        <is>
          <t>NORRBOTTENS LÄN</t>
        </is>
      </c>
      <c r="E496" t="inlineStr">
        <is>
          <t>GÄLLIVARE</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29634-2023</t>
        </is>
      </c>
      <c r="B497" s="1" t="n">
        <v>45107</v>
      </c>
      <c r="C497" s="1" t="n">
        <v>45642</v>
      </c>
      <c r="D497" t="inlineStr">
        <is>
          <t>NORRBOTTENS LÄN</t>
        </is>
      </c>
      <c r="E497" t="inlineStr">
        <is>
          <t>GÄLLIVARE</t>
        </is>
      </c>
      <c r="F497" t="inlineStr">
        <is>
          <t>SCA</t>
        </is>
      </c>
      <c r="G497" t="n">
        <v>12.1</v>
      </c>
      <c r="H497" t="n">
        <v>0</v>
      </c>
      <c r="I497" t="n">
        <v>0</v>
      </c>
      <c r="J497" t="n">
        <v>0</v>
      </c>
      <c r="K497" t="n">
        <v>0</v>
      </c>
      <c r="L497" t="n">
        <v>0</v>
      </c>
      <c r="M497" t="n">
        <v>0</v>
      </c>
      <c r="N497" t="n">
        <v>0</v>
      </c>
      <c r="O497" t="n">
        <v>0</v>
      </c>
      <c r="P497" t="n">
        <v>0</v>
      </c>
      <c r="Q497" t="n">
        <v>0</v>
      </c>
      <c r="R497" s="2" t="inlineStr"/>
    </row>
    <row r="498" ht="15" customHeight="1">
      <c r="A498" t="inlineStr">
        <is>
          <t>A 30020-2023</t>
        </is>
      </c>
      <c r="B498" s="1" t="n">
        <v>45110</v>
      </c>
      <c r="C498" s="1" t="n">
        <v>45642</v>
      </c>
      <c r="D498" t="inlineStr">
        <is>
          <t>NORRBOTTENS LÄN</t>
        </is>
      </c>
      <c r="E498" t="inlineStr">
        <is>
          <t>GÄLLIVARE</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30026-2023</t>
        </is>
      </c>
      <c r="B499" s="1" t="n">
        <v>45110</v>
      </c>
      <c r="C499" s="1" t="n">
        <v>45642</v>
      </c>
      <c r="D499" t="inlineStr">
        <is>
          <t>NORRBOTTENS LÄN</t>
        </is>
      </c>
      <c r="E499" t="inlineStr">
        <is>
          <t>GÄLLIVARE</t>
        </is>
      </c>
      <c r="F499" t="inlineStr">
        <is>
          <t>Sveaskog</t>
        </is>
      </c>
      <c r="G499" t="n">
        <v>13.1</v>
      </c>
      <c r="H499" t="n">
        <v>0</v>
      </c>
      <c r="I499" t="n">
        <v>0</v>
      </c>
      <c r="J499" t="n">
        <v>0</v>
      </c>
      <c r="K499" t="n">
        <v>0</v>
      </c>
      <c r="L499" t="n">
        <v>0</v>
      </c>
      <c r="M499" t="n">
        <v>0</v>
      </c>
      <c r="N499" t="n">
        <v>0</v>
      </c>
      <c r="O499" t="n">
        <v>0</v>
      </c>
      <c r="P499" t="n">
        <v>0</v>
      </c>
      <c r="Q499" t="n">
        <v>0</v>
      </c>
      <c r="R499" s="2" t="inlineStr"/>
    </row>
    <row r="500" ht="15" customHeight="1">
      <c r="A500" t="inlineStr">
        <is>
          <t>A 30384-2023</t>
        </is>
      </c>
      <c r="B500" s="1" t="n">
        <v>45111</v>
      </c>
      <c r="C500" s="1" t="n">
        <v>45642</v>
      </c>
      <c r="D500" t="inlineStr">
        <is>
          <t>NORRBOTTENS LÄN</t>
        </is>
      </c>
      <c r="E500" t="inlineStr">
        <is>
          <t>GÄLLIVARE</t>
        </is>
      </c>
      <c r="G500" t="n">
        <v>1.6</v>
      </c>
      <c r="H500" t="n">
        <v>0</v>
      </c>
      <c r="I500" t="n">
        <v>0</v>
      </c>
      <c r="J500" t="n">
        <v>0</v>
      </c>
      <c r="K500" t="n">
        <v>0</v>
      </c>
      <c r="L500" t="n">
        <v>0</v>
      </c>
      <c r="M500" t="n">
        <v>0</v>
      </c>
      <c r="N500" t="n">
        <v>0</v>
      </c>
      <c r="O500" t="n">
        <v>0</v>
      </c>
      <c r="P500" t="n">
        <v>0</v>
      </c>
      <c r="Q500" t="n">
        <v>0</v>
      </c>
      <c r="R500" s="2" t="inlineStr"/>
    </row>
    <row r="501" ht="15" customHeight="1">
      <c r="A501" t="inlineStr">
        <is>
          <t>A 30383-2023</t>
        </is>
      </c>
      <c r="B501" s="1" t="n">
        <v>45111</v>
      </c>
      <c r="C501" s="1" t="n">
        <v>45642</v>
      </c>
      <c r="D501" t="inlineStr">
        <is>
          <t>NORRBOTTENS LÄN</t>
        </is>
      </c>
      <c r="E501" t="inlineStr">
        <is>
          <t>GÄLLIVARE</t>
        </is>
      </c>
      <c r="G501" t="n">
        <v>5</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45642</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30851-2023</t>
        </is>
      </c>
      <c r="B503" s="1" t="n">
        <v>45112</v>
      </c>
      <c r="C503" s="1" t="n">
        <v>45642</v>
      </c>
      <c r="D503" t="inlineStr">
        <is>
          <t>NORRBOTTENS LÄN</t>
        </is>
      </c>
      <c r="E503" t="inlineStr">
        <is>
          <t>GÄLLIVARE</t>
        </is>
      </c>
      <c r="F503" t="inlineStr">
        <is>
          <t>SCA</t>
        </is>
      </c>
      <c r="G503" t="n">
        <v>28.4</v>
      </c>
      <c r="H503" t="n">
        <v>0</v>
      </c>
      <c r="I503" t="n">
        <v>0</v>
      </c>
      <c r="J503" t="n">
        <v>0</v>
      </c>
      <c r="K503" t="n">
        <v>0</v>
      </c>
      <c r="L503" t="n">
        <v>0</v>
      </c>
      <c r="M503" t="n">
        <v>0</v>
      </c>
      <c r="N503" t="n">
        <v>0</v>
      </c>
      <c r="O503" t="n">
        <v>0</v>
      </c>
      <c r="P503" t="n">
        <v>0</v>
      </c>
      <c r="Q503" t="n">
        <v>0</v>
      </c>
      <c r="R503" s="2" t="inlineStr"/>
    </row>
    <row r="504" ht="15" customHeight="1">
      <c r="A504" t="inlineStr">
        <is>
          <t>A 33382-2023</t>
        </is>
      </c>
      <c r="B504" s="1" t="n">
        <v>45117</v>
      </c>
      <c r="C504" s="1" t="n">
        <v>45642</v>
      </c>
      <c r="D504" t="inlineStr">
        <is>
          <t>NORRBOTTENS LÄN</t>
        </is>
      </c>
      <c r="E504" t="inlineStr">
        <is>
          <t>GÄLLIVARE</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33373-2023</t>
        </is>
      </c>
      <c r="B505" s="1" t="n">
        <v>45117</v>
      </c>
      <c r="C505" s="1" t="n">
        <v>45642</v>
      </c>
      <c r="D505" t="inlineStr">
        <is>
          <t>NORRBOTTENS LÄN</t>
        </is>
      </c>
      <c r="E505" t="inlineStr">
        <is>
          <t>GÄLLIVARE</t>
        </is>
      </c>
      <c r="F505" t="inlineStr">
        <is>
          <t>Allmännings- och besparingsskogar</t>
        </is>
      </c>
      <c r="G505" t="n">
        <v>3</v>
      </c>
      <c r="H505" t="n">
        <v>0</v>
      </c>
      <c r="I505" t="n">
        <v>0</v>
      </c>
      <c r="J505" t="n">
        <v>0</v>
      </c>
      <c r="K505" t="n">
        <v>0</v>
      </c>
      <c r="L505" t="n">
        <v>0</v>
      </c>
      <c r="M505" t="n">
        <v>0</v>
      </c>
      <c r="N505" t="n">
        <v>0</v>
      </c>
      <c r="O505" t="n">
        <v>0</v>
      </c>
      <c r="P505" t="n">
        <v>0</v>
      </c>
      <c r="Q505" t="n">
        <v>0</v>
      </c>
      <c r="R505" s="2" t="inlineStr"/>
    </row>
    <row r="506" ht="15" customHeight="1">
      <c r="A506" t="inlineStr">
        <is>
          <t>A 33392-2023</t>
        </is>
      </c>
      <c r="B506" s="1" t="n">
        <v>45117</v>
      </c>
      <c r="C506" s="1" t="n">
        <v>45642</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33390-2023</t>
        </is>
      </c>
      <c r="B507" s="1" t="n">
        <v>45117</v>
      </c>
      <c r="C507" s="1" t="n">
        <v>45642</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33847-2023</t>
        </is>
      </c>
      <c r="B508" s="1" t="n">
        <v>45121</v>
      </c>
      <c r="C508" s="1" t="n">
        <v>45642</v>
      </c>
      <c r="D508" t="inlineStr">
        <is>
          <t>NORRBOTTENS LÄN</t>
        </is>
      </c>
      <c r="E508" t="inlineStr">
        <is>
          <t>GÄLLIVARE</t>
        </is>
      </c>
      <c r="F508" t="inlineStr">
        <is>
          <t>Övriga statliga verk och myndigheter</t>
        </is>
      </c>
      <c r="G508" t="n">
        <v>3</v>
      </c>
      <c r="H508" t="n">
        <v>0</v>
      </c>
      <c r="I508" t="n">
        <v>0</v>
      </c>
      <c r="J508" t="n">
        <v>0</v>
      </c>
      <c r="K508" t="n">
        <v>0</v>
      </c>
      <c r="L508" t="n">
        <v>0</v>
      </c>
      <c r="M508" t="n">
        <v>0</v>
      </c>
      <c r="N508" t="n">
        <v>0</v>
      </c>
      <c r="O508" t="n">
        <v>0</v>
      </c>
      <c r="P508" t="n">
        <v>0</v>
      </c>
      <c r="Q508" t="n">
        <v>0</v>
      </c>
      <c r="R508" s="2" t="inlineStr"/>
    </row>
    <row r="509" ht="15" customHeight="1">
      <c r="A509" t="inlineStr">
        <is>
          <t>A 33182-2023</t>
        </is>
      </c>
      <c r="B509" s="1" t="n">
        <v>45127</v>
      </c>
      <c r="C509" s="1" t="n">
        <v>45642</v>
      </c>
      <c r="D509" t="inlineStr">
        <is>
          <t>NORRBOTTENS LÄN</t>
        </is>
      </c>
      <c r="E509" t="inlineStr">
        <is>
          <t>GÄLLIVARE</t>
        </is>
      </c>
      <c r="F509" t="inlineStr">
        <is>
          <t>Sveaskog</t>
        </is>
      </c>
      <c r="G509" t="n">
        <v>40.3</v>
      </c>
      <c r="H509" t="n">
        <v>0</v>
      </c>
      <c r="I509" t="n">
        <v>0</v>
      </c>
      <c r="J509" t="n">
        <v>0</v>
      </c>
      <c r="K509" t="n">
        <v>0</v>
      </c>
      <c r="L509" t="n">
        <v>0</v>
      </c>
      <c r="M509" t="n">
        <v>0</v>
      </c>
      <c r="N509" t="n">
        <v>0</v>
      </c>
      <c r="O509" t="n">
        <v>0</v>
      </c>
      <c r="P509" t="n">
        <v>0</v>
      </c>
      <c r="Q509" t="n">
        <v>0</v>
      </c>
      <c r="R509" s="2" t="inlineStr"/>
    </row>
    <row r="510" ht="15" customHeight="1">
      <c r="A510" t="inlineStr">
        <is>
          <t>A 34139-2023</t>
        </is>
      </c>
      <c r="B510" s="1" t="n">
        <v>45136</v>
      </c>
      <c r="C510" s="1" t="n">
        <v>45642</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34173-2023</t>
        </is>
      </c>
      <c r="B511" s="1" t="n">
        <v>45138</v>
      </c>
      <c r="C511" s="1" t="n">
        <v>45642</v>
      </c>
      <c r="D511" t="inlineStr">
        <is>
          <t>NORRBOTTENS LÄN</t>
        </is>
      </c>
      <c r="E511" t="inlineStr">
        <is>
          <t>GÄLLIVARE</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34625-2023</t>
        </is>
      </c>
      <c r="B512" s="1" t="n">
        <v>45140</v>
      </c>
      <c r="C512" s="1" t="n">
        <v>45642</v>
      </c>
      <c r="D512" t="inlineStr">
        <is>
          <t>NORRBOTTENS LÄN</t>
        </is>
      </c>
      <c r="E512" t="inlineStr">
        <is>
          <t>GÄLLIVARE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34622-2023</t>
        </is>
      </c>
      <c r="B513" s="1" t="n">
        <v>45140</v>
      </c>
      <c r="C513" s="1" t="n">
        <v>45642</v>
      </c>
      <c r="D513" t="inlineStr">
        <is>
          <t>NORRBOTTENS LÄN</t>
        </is>
      </c>
      <c r="E513" t="inlineStr">
        <is>
          <t>GÄLLIVARE</t>
        </is>
      </c>
      <c r="F513" t="inlineStr">
        <is>
          <t>Sveaskog</t>
        </is>
      </c>
      <c r="G513" t="n">
        <v>31.4</v>
      </c>
      <c r="H513" t="n">
        <v>0</v>
      </c>
      <c r="I513" t="n">
        <v>0</v>
      </c>
      <c r="J513" t="n">
        <v>0</v>
      </c>
      <c r="K513" t="n">
        <v>0</v>
      </c>
      <c r="L513" t="n">
        <v>0</v>
      </c>
      <c r="M513" t="n">
        <v>0</v>
      </c>
      <c r="N513" t="n">
        <v>0</v>
      </c>
      <c r="O513" t="n">
        <v>0</v>
      </c>
      <c r="P513" t="n">
        <v>0</v>
      </c>
      <c r="Q513" t="n">
        <v>0</v>
      </c>
      <c r="R513" s="2" t="inlineStr"/>
    </row>
    <row r="514" ht="15" customHeight="1">
      <c r="A514" t="inlineStr">
        <is>
          <t>A 34900-2023</t>
        </is>
      </c>
      <c r="B514" s="1" t="n">
        <v>45142</v>
      </c>
      <c r="C514" s="1" t="n">
        <v>45642</v>
      </c>
      <c r="D514" t="inlineStr">
        <is>
          <t>NORRBOTTENS LÄN</t>
        </is>
      </c>
      <c r="E514" t="inlineStr">
        <is>
          <t>GÄLLIVARE</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35362-2023</t>
        </is>
      </c>
      <c r="B515" s="1" t="n">
        <v>45146</v>
      </c>
      <c r="C515" s="1" t="n">
        <v>45642</v>
      </c>
      <c r="D515" t="inlineStr">
        <is>
          <t>NORRBOTTENS LÄN</t>
        </is>
      </c>
      <c r="E515" t="inlineStr">
        <is>
          <t>GÄLLIVARE</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35730-2023</t>
        </is>
      </c>
      <c r="B516" s="1" t="n">
        <v>45147</v>
      </c>
      <c r="C516" s="1" t="n">
        <v>45642</v>
      </c>
      <c r="D516" t="inlineStr">
        <is>
          <t>NORRBOTTENS LÄN</t>
        </is>
      </c>
      <c r="E516" t="inlineStr">
        <is>
          <t>GÄLLIVARE</t>
        </is>
      </c>
      <c r="G516" t="n">
        <v>0.4</v>
      </c>
      <c r="H516" t="n">
        <v>0</v>
      </c>
      <c r="I516" t="n">
        <v>0</v>
      </c>
      <c r="J516" t="n">
        <v>0</v>
      </c>
      <c r="K516" t="n">
        <v>0</v>
      </c>
      <c r="L516" t="n">
        <v>0</v>
      </c>
      <c r="M516" t="n">
        <v>0</v>
      </c>
      <c r="N516" t="n">
        <v>0</v>
      </c>
      <c r="O516" t="n">
        <v>0</v>
      </c>
      <c r="P516" t="n">
        <v>0</v>
      </c>
      <c r="Q516" t="n">
        <v>0</v>
      </c>
      <c r="R516" s="2" t="inlineStr"/>
    </row>
    <row r="517" ht="15" customHeight="1">
      <c r="A517" t="inlineStr">
        <is>
          <t>A 36014-2023</t>
        </is>
      </c>
      <c r="B517" s="1" t="n">
        <v>45148</v>
      </c>
      <c r="C517" s="1" t="n">
        <v>45642</v>
      </c>
      <c r="D517" t="inlineStr">
        <is>
          <t>NORRBOTTENS LÄN</t>
        </is>
      </c>
      <c r="E517" t="inlineStr">
        <is>
          <t>GÄLLIVARE</t>
        </is>
      </c>
      <c r="F517" t="inlineStr">
        <is>
          <t>Allmännings- och besparingsskogar</t>
        </is>
      </c>
      <c r="G517" t="n">
        <v>9.9</v>
      </c>
      <c r="H517" t="n">
        <v>0</v>
      </c>
      <c r="I517" t="n">
        <v>0</v>
      </c>
      <c r="J517" t="n">
        <v>0</v>
      </c>
      <c r="K517" t="n">
        <v>0</v>
      </c>
      <c r="L517" t="n">
        <v>0</v>
      </c>
      <c r="M517" t="n">
        <v>0</v>
      </c>
      <c r="N517" t="n">
        <v>0</v>
      </c>
      <c r="O517" t="n">
        <v>0</v>
      </c>
      <c r="P517" t="n">
        <v>0</v>
      </c>
      <c r="Q517" t="n">
        <v>0</v>
      </c>
      <c r="R517" s="2" t="inlineStr"/>
    </row>
    <row r="518" ht="15" customHeight="1">
      <c r="A518" t="inlineStr">
        <is>
          <t>A 36039-2023</t>
        </is>
      </c>
      <c r="B518" s="1" t="n">
        <v>45148</v>
      </c>
      <c r="C518" s="1" t="n">
        <v>45642</v>
      </c>
      <c r="D518" t="inlineStr">
        <is>
          <t>NORRBOTTENS LÄN</t>
        </is>
      </c>
      <c r="E518" t="inlineStr">
        <is>
          <t>GÄLLIVARE</t>
        </is>
      </c>
      <c r="F518" t="inlineStr">
        <is>
          <t>Allmännings- och besparingsskogar</t>
        </is>
      </c>
      <c r="G518" t="n">
        <v>24.3</v>
      </c>
      <c r="H518" t="n">
        <v>0</v>
      </c>
      <c r="I518" t="n">
        <v>0</v>
      </c>
      <c r="J518" t="n">
        <v>0</v>
      </c>
      <c r="K518" t="n">
        <v>0</v>
      </c>
      <c r="L518" t="n">
        <v>0</v>
      </c>
      <c r="M518" t="n">
        <v>0</v>
      </c>
      <c r="N518" t="n">
        <v>0</v>
      </c>
      <c r="O518" t="n">
        <v>0</v>
      </c>
      <c r="P518" t="n">
        <v>0</v>
      </c>
      <c r="Q518" t="n">
        <v>0</v>
      </c>
      <c r="R518" s="2" t="inlineStr"/>
    </row>
    <row r="519" ht="15" customHeight="1">
      <c r="A519" t="inlineStr">
        <is>
          <t>A 36245-2023</t>
        </is>
      </c>
      <c r="B519" s="1" t="n">
        <v>45150</v>
      </c>
      <c r="C519" s="1" t="n">
        <v>45642</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36249-2023</t>
        </is>
      </c>
      <c r="B520" s="1" t="n">
        <v>45151</v>
      </c>
      <c r="C520" s="1" t="n">
        <v>45642</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36242-2023</t>
        </is>
      </c>
      <c r="B521" s="1" t="n">
        <v>45150</v>
      </c>
      <c r="C521" s="1" t="n">
        <v>45642</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36247-2023</t>
        </is>
      </c>
      <c r="B522" s="1" t="n">
        <v>45151</v>
      </c>
      <c r="C522" s="1" t="n">
        <v>45642</v>
      </c>
      <c r="D522" t="inlineStr">
        <is>
          <t>NORRBOTTENS LÄN</t>
        </is>
      </c>
      <c r="E522" t="inlineStr">
        <is>
          <t>GÄLLIVARE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36251-2023</t>
        </is>
      </c>
      <c r="B523" s="1" t="n">
        <v>45151</v>
      </c>
      <c r="C523" s="1" t="n">
        <v>45642</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36244-2023</t>
        </is>
      </c>
      <c r="B524" s="1" t="n">
        <v>45150</v>
      </c>
      <c r="C524" s="1" t="n">
        <v>45642</v>
      </c>
      <c r="D524" t="inlineStr">
        <is>
          <t>NORRBOTTENS LÄN</t>
        </is>
      </c>
      <c r="E524" t="inlineStr">
        <is>
          <t>GÄLLIVARE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36246-2023</t>
        </is>
      </c>
      <c r="B525" s="1" t="n">
        <v>45150</v>
      </c>
      <c r="C525" s="1" t="n">
        <v>45642</v>
      </c>
      <c r="D525" t="inlineStr">
        <is>
          <t>NORRBOTTENS LÄN</t>
        </is>
      </c>
      <c r="E525" t="inlineStr">
        <is>
          <t>GÄLLIVARE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36250-2023</t>
        </is>
      </c>
      <c r="B526" s="1" t="n">
        <v>45151</v>
      </c>
      <c r="C526" s="1" t="n">
        <v>45642</v>
      </c>
      <c r="D526" t="inlineStr">
        <is>
          <t>NORRBOTTENS LÄN</t>
        </is>
      </c>
      <c r="E526" t="inlineStr">
        <is>
          <t>GÄLLIVARE</t>
        </is>
      </c>
      <c r="F526" t="inlineStr">
        <is>
          <t>SCA</t>
        </is>
      </c>
      <c r="G526" t="n">
        <v>14.6</v>
      </c>
      <c r="H526" t="n">
        <v>0</v>
      </c>
      <c r="I526" t="n">
        <v>0</v>
      </c>
      <c r="J526" t="n">
        <v>0</v>
      </c>
      <c r="K526" t="n">
        <v>0</v>
      </c>
      <c r="L526" t="n">
        <v>0</v>
      </c>
      <c r="M526" t="n">
        <v>0</v>
      </c>
      <c r="N526" t="n">
        <v>0</v>
      </c>
      <c r="O526" t="n">
        <v>0</v>
      </c>
      <c r="P526" t="n">
        <v>0</v>
      </c>
      <c r="Q526" t="n">
        <v>0</v>
      </c>
      <c r="R526" s="2" t="inlineStr"/>
    </row>
    <row r="527" ht="15" customHeight="1">
      <c r="A527" t="inlineStr">
        <is>
          <t>A 36322-2023</t>
        </is>
      </c>
      <c r="B527" s="1" t="n">
        <v>45152</v>
      </c>
      <c r="C527" s="1" t="n">
        <v>45642</v>
      </c>
      <c r="D527" t="inlineStr">
        <is>
          <t>NORRBOTTENS LÄN</t>
        </is>
      </c>
      <c r="E527" t="inlineStr">
        <is>
          <t>GÄLLIVARE</t>
        </is>
      </c>
      <c r="F527" t="inlineStr">
        <is>
          <t>Allmännings- och besparingsskogar</t>
        </is>
      </c>
      <c r="G527" t="n">
        <v>36.8</v>
      </c>
      <c r="H527" t="n">
        <v>0</v>
      </c>
      <c r="I527" t="n">
        <v>0</v>
      </c>
      <c r="J527" t="n">
        <v>0</v>
      </c>
      <c r="K527" t="n">
        <v>0</v>
      </c>
      <c r="L527" t="n">
        <v>0</v>
      </c>
      <c r="M527" t="n">
        <v>0</v>
      </c>
      <c r="N527" t="n">
        <v>0</v>
      </c>
      <c r="O527" t="n">
        <v>0</v>
      </c>
      <c r="P527" t="n">
        <v>0</v>
      </c>
      <c r="Q527" t="n">
        <v>0</v>
      </c>
      <c r="R527" s="2" t="inlineStr"/>
    </row>
    <row r="528" ht="15" customHeight="1">
      <c r="A528" t="inlineStr">
        <is>
          <t>A 36587-2023</t>
        </is>
      </c>
      <c r="B528" s="1" t="n">
        <v>45153</v>
      </c>
      <c r="C528" s="1" t="n">
        <v>45642</v>
      </c>
      <c r="D528" t="inlineStr">
        <is>
          <t>NORRBOTTENS LÄN</t>
        </is>
      </c>
      <c r="E528" t="inlineStr">
        <is>
          <t>GÄLLIVARE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36612-2023</t>
        </is>
      </c>
      <c r="B529" s="1" t="n">
        <v>45153</v>
      </c>
      <c r="C529" s="1" t="n">
        <v>45642</v>
      </c>
      <c r="D529" t="inlineStr">
        <is>
          <t>NORRBOTTENS LÄN</t>
        </is>
      </c>
      <c r="E529" t="inlineStr">
        <is>
          <t>GÄLLIVARE</t>
        </is>
      </c>
      <c r="F529" t="inlineStr">
        <is>
          <t>Sveaskog</t>
        </is>
      </c>
      <c r="G529" t="n">
        <v>27.5</v>
      </c>
      <c r="H529" t="n">
        <v>0</v>
      </c>
      <c r="I529" t="n">
        <v>0</v>
      </c>
      <c r="J529" t="n">
        <v>0</v>
      </c>
      <c r="K529" t="n">
        <v>0</v>
      </c>
      <c r="L529" t="n">
        <v>0</v>
      </c>
      <c r="M529" t="n">
        <v>0</v>
      </c>
      <c r="N529" t="n">
        <v>0</v>
      </c>
      <c r="O529" t="n">
        <v>0</v>
      </c>
      <c r="P529" t="n">
        <v>0</v>
      </c>
      <c r="Q529" t="n">
        <v>0</v>
      </c>
      <c r="R529" s="2" t="inlineStr"/>
    </row>
    <row r="530" ht="15" customHeight="1">
      <c r="A530" t="inlineStr">
        <is>
          <t>A 36591-2023</t>
        </is>
      </c>
      <c r="B530" s="1" t="n">
        <v>45153</v>
      </c>
      <c r="C530" s="1" t="n">
        <v>45642</v>
      </c>
      <c r="D530" t="inlineStr">
        <is>
          <t>NORRBOTTENS LÄN</t>
        </is>
      </c>
      <c r="E530" t="inlineStr">
        <is>
          <t>GÄLLIVARE</t>
        </is>
      </c>
      <c r="F530" t="inlineStr">
        <is>
          <t>Sveaskog</t>
        </is>
      </c>
      <c r="G530" t="n">
        <v>8.5</v>
      </c>
      <c r="H530" t="n">
        <v>0</v>
      </c>
      <c r="I530" t="n">
        <v>0</v>
      </c>
      <c r="J530" t="n">
        <v>0</v>
      </c>
      <c r="K530" t="n">
        <v>0</v>
      </c>
      <c r="L530" t="n">
        <v>0</v>
      </c>
      <c r="M530" t="n">
        <v>0</v>
      </c>
      <c r="N530" t="n">
        <v>0</v>
      </c>
      <c r="O530" t="n">
        <v>0</v>
      </c>
      <c r="P530" t="n">
        <v>0</v>
      </c>
      <c r="Q530" t="n">
        <v>0</v>
      </c>
      <c r="R530" s="2" t="inlineStr"/>
    </row>
    <row r="531" ht="15" customHeight="1">
      <c r="A531" t="inlineStr">
        <is>
          <t>A 36602-2023</t>
        </is>
      </c>
      <c r="B531" s="1" t="n">
        <v>45153</v>
      </c>
      <c r="C531" s="1" t="n">
        <v>45642</v>
      </c>
      <c r="D531" t="inlineStr">
        <is>
          <t>NORRBOTTENS LÄN</t>
        </is>
      </c>
      <c r="E531" t="inlineStr">
        <is>
          <t>GÄLLIVARE</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36881-2023</t>
        </is>
      </c>
      <c r="B532" s="1" t="n">
        <v>45154</v>
      </c>
      <c r="C532" s="1" t="n">
        <v>45642</v>
      </c>
      <c r="D532" t="inlineStr">
        <is>
          <t>NORRBOTTENS LÄN</t>
        </is>
      </c>
      <c r="E532" t="inlineStr">
        <is>
          <t>GÄLLIVARE</t>
        </is>
      </c>
      <c r="G532" t="n">
        <v>3.8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45155</v>
      </c>
      <c r="C533" s="1" t="n">
        <v>45642</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36980-2023</t>
        </is>
      </c>
      <c r="B534" s="1" t="n">
        <v>45155</v>
      </c>
      <c r="C534" s="1" t="n">
        <v>45642</v>
      </c>
      <c r="D534" t="inlineStr">
        <is>
          <t>NORRBOTTENS LÄN</t>
        </is>
      </c>
      <c r="E534" t="inlineStr">
        <is>
          <t>GÄLLIVARE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36984-2023</t>
        </is>
      </c>
      <c r="B535" s="1" t="n">
        <v>45155</v>
      </c>
      <c r="C535" s="1" t="n">
        <v>45642</v>
      </c>
      <c r="D535" t="inlineStr">
        <is>
          <t>NORRBOTTENS LÄN</t>
        </is>
      </c>
      <c r="E535" t="inlineStr">
        <is>
          <t>GÄLLIVARE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36978-2023</t>
        </is>
      </c>
      <c r="B536" s="1" t="n">
        <v>45155</v>
      </c>
      <c r="C536" s="1" t="n">
        <v>45642</v>
      </c>
      <c r="D536" t="inlineStr">
        <is>
          <t>NORRBOTTENS LÄN</t>
        </is>
      </c>
      <c r="E536" t="inlineStr">
        <is>
          <t>GÄLLIVARE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36979-2023</t>
        </is>
      </c>
      <c r="B537" s="1" t="n">
        <v>45155</v>
      </c>
      <c r="C537" s="1" t="n">
        <v>45642</v>
      </c>
      <c r="D537" t="inlineStr">
        <is>
          <t>NORRBOTTENS LÄN</t>
        </is>
      </c>
      <c r="E537" t="inlineStr">
        <is>
          <t>GÄLLIVARE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36983-2023</t>
        </is>
      </c>
      <c r="B538" s="1" t="n">
        <v>45155</v>
      </c>
      <c r="C538" s="1" t="n">
        <v>45642</v>
      </c>
      <c r="D538" t="inlineStr">
        <is>
          <t>NORRBOTTENS LÄN</t>
        </is>
      </c>
      <c r="E538" t="inlineStr">
        <is>
          <t>GÄLLIVARE</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37819-2023</t>
        </is>
      </c>
      <c r="B539" s="1" t="n">
        <v>45160</v>
      </c>
      <c r="C539" s="1" t="n">
        <v>45642</v>
      </c>
      <c r="D539" t="inlineStr">
        <is>
          <t>NORRBOTTENS LÄN</t>
        </is>
      </c>
      <c r="E539" t="inlineStr">
        <is>
          <t>GÄLLIVARE</t>
        </is>
      </c>
      <c r="F539" t="inlineStr">
        <is>
          <t>Sveaskog</t>
        </is>
      </c>
      <c r="G539" t="n">
        <v>30.4</v>
      </c>
      <c r="H539" t="n">
        <v>0</v>
      </c>
      <c r="I539" t="n">
        <v>0</v>
      </c>
      <c r="J539" t="n">
        <v>0</v>
      </c>
      <c r="K539" t="n">
        <v>0</v>
      </c>
      <c r="L539" t="n">
        <v>0</v>
      </c>
      <c r="M539" t="n">
        <v>0</v>
      </c>
      <c r="N539" t="n">
        <v>0</v>
      </c>
      <c r="O539" t="n">
        <v>0</v>
      </c>
      <c r="P539" t="n">
        <v>0</v>
      </c>
      <c r="Q539" t="n">
        <v>0</v>
      </c>
      <c r="R539" s="2" t="inlineStr"/>
    </row>
    <row r="540" ht="15" customHeight="1">
      <c r="A540" t="inlineStr">
        <is>
          <t>A 37818-2023</t>
        </is>
      </c>
      <c r="B540" s="1" t="n">
        <v>45160</v>
      </c>
      <c r="C540" s="1" t="n">
        <v>45642</v>
      </c>
      <c r="D540" t="inlineStr">
        <is>
          <t>NORRBOTTENS LÄN</t>
        </is>
      </c>
      <c r="E540" t="inlineStr">
        <is>
          <t>GÄLLIVARE</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38426-2023</t>
        </is>
      </c>
      <c r="B541" s="1" t="n">
        <v>45162</v>
      </c>
      <c r="C541" s="1" t="n">
        <v>45642</v>
      </c>
      <c r="D541" t="inlineStr">
        <is>
          <t>NORRBOTTENS LÄN</t>
        </is>
      </c>
      <c r="E541" t="inlineStr">
        <is>
          <t>GÄLLIVARE</t>
        </is>
      </c>
      <c r="F541" t="inlineStr">
        <is>
          <t>Sveaskog</t>
        </is>
      </c>
      <c r="G541" t="n">
        <v>13.9</v>
      </c>
      <c r="H541" t="n">
        <v>0</v>
      </c>
      <c r="I541" t="n">
        <v>0</v>
      </c>
      <c r="J541" t="n">
        <v>0</v>
      </c>
      <c r="K541" t="n">
        <v>0</v>
      </c>
      <c r="L541" t="n">
        <v>0</v>
      </c>
      <c r="M541" t="n">
        <v>0</v>
      </c>
      <c r="N541" t="n">
        <v>0</v>
      </c>
      <c r="O541" t="n">
        <v>0</v>
      </c>
      <c r="P541" t="n">
        <v>0</v>
      </c>
      <c r="Q541" t="n">
        <v>0</v>
      </c>
      <c r="R541" s="2" t="inlineStr"/>
    </row>
    <row r="542" ht="15" customHeight="1">
      <c r="A542" t="inlineStr">
        <is>
          <t>A 38406-2023</t>
        </is>
      </c>
      <c r="B542" s="1" t="n">
        <v>45162</v>
      </c>
      <c r="C542" s="1" t="n">
        <v>45642</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38598-2023</t>
        </is>
      </c>
      <c r="B543" s="1" t="n">
        <v>45162</v>
      </c>
      <c r="C543" s="1" t="n">
        <v>45642</v>
      </c>
      <c r="D543" t="inlineStr">
        <is>
          <t>NORRBOTTENS LÄN</t>
        </is>
      </c>
      <c r="E543" t="inlineStr">
        <is>
          <t>GÄLLIVARE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39057-2023</t>
        </is>
      </c>
      <c r="B544" s="1" t="n">
        <v>45163</v>
      </c>
      <c r="C544" s="1" t="n">
        <v>45642</v>
      </c>
      <c r="D544" t="inlineStr">
        <is>
          <t>NORRBOTTENS LÄN</t>
        </is>
      </c>
      <c r="E544" t="inlineStr">
        <is>
          <t>GÄLLIVARE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39056-2023</t>
        </is>
      </c>
      <c r="B545" s="1" t="n">
        <v>45163</v>
      </c>
      <c r="C545" s="1" t="n">
        <v>45642</v>
      </c>
      <c r="D545" t="inlineStr">
        <is>
          <t>NORRBOTTENS LÄN</t>
        </is>
      </c>
      <c r="E545" t="inlineStr">
        <is>
          <t>GÄLLIVARE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39060-2023</t>
        </is>
      </c>
      <c r="B546" s="1" t="n">
        <v>45163</v>
      </c>
      <c r="C546" s="1" t="n">
        <v>45642</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40498-2023</t>
        </is>
      </c>
      <c r="B547" s="1" t="n">
        <v>45170</v>
      </c>
      <c r="C547" s="1" t="n">
        <v>45642</v>
      </c>
      <c r="D547" t="inlineStr">
        <is>
          <t>NORRBOTTENS LÄN</t>
        </is>
      </c>
      <c r="E547" t="inlineStr">
        <is>
          <t>GÄLLIVARE</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40492-2023</t>
        </is>
      </c>
      <c r="B548" s="1" t="n">
        <v>45170</v>
      </c>
      <c r="C548" s="1" t="n">
        <v>45642</v>
      </c>
      <c r="D548" t="inlineStr">
        <is>
          <t>NORRBOTTENS LÄN</t>
        </is>
      </c>
      <c r="E548" t="inlineStr">
        <is>
          <t>GÄLLIVARE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40816-2023</t>
        </is>
      </c>
      <c r="B549" s="1" t="n">
        <v>45171</v>
      </c>
      <c r="C549" s="1" t="n">
        <v>45642</v>
      </c>
      <c r="D549" t="inlineStr">
        <is>
          <t>NORRBOTTENS LÄN</t>
        </is>
      </c>
      <c r="E549" t="inlineStr">
        <is>
          <t>GÄLLIVARE</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40819-2023</t>
        </is>
      </c>
      <c r="B550" s="1" t="n">
        <v>45171</v>
      </c>
      <c r="C550" s="1" t="n">
        <v>45642</v>
      </c>
      <c r="D550" t="inlineStr">
        <is>
          <t>NORRBOTTENS LÄN</t>
        </is>
      </c>
      <c r="E550" t="inlineStr">
        <is>
          <t>GÄLLIVARE</t>
        </is>
      </c>
      <c r="F550" t="inlineStr">
        <is>
          <t>Sveaskog</t>
        </is>
      </c>
      <c r="G550" t="n">
        <v>10</v>
      </c>
      <c r="H550" t="n">
        <v>0</v>
      </c>
      <c r="I550" t="n">
        <v>0</v>
      </c>
      <c r="J550" t="n">
        <v>0</v>
      </c>
      <c r="K550" t="n">
        <v>0</v>
      </c>
      <c r="L550" t="n">
        <v>0</v>
      </c>
      <c r="M550" t="n">
        <v>0</v>
      </c>
      <c r="N550" t="n">
        <v>0</v>
      </c>
      <c r="O550" t="n">
        <v>0</v>
      </c>
      <c r="P550" t="n">
        <v>0</v>
      </c>
      <c r="Q550" t="n">
        <v>0</v>
      </c>
      <c r="R550" s="2" t="inlineStr"/>
    </row>
    <row r="551" ht="15" customHeight="1">
      <c r="A551" t="inlineStr">
        <is>
          <t>A 40818-2023</t>
        </is>
      </c>
      <c r="B551" s="1" t="n">
        <v>45171</v>
      </c>
      <c r="C551" s="1" t="n">
        <v>45642</v>
      </c>
      <c r="D551" t="inlineStr">
        <is>
          <t>NORRBOTTENS LÄN</t>
        </is>
      </c>
      <c r="E551" t="inlineStr">
        <is>
          <t>GÄLLIVARE</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40817-2023</t>
        </is>
      </c>
      <c r="B552" s="1" t="n">
        <v>45171</v>
      </c>
      <c r="C552" s="1" t="n">
        <v>45642</v>
      </c>
      <c r="D552" t="inlineStr">
        <is>
          <t>NORRBOTTENS LÄN</t>
        </is>
      </c>
      <c r="E552" t="inlineStr">
        <is>
          <t>GÄLLIVARE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40974-2023</t>
        </is>
      </c>
      <c r="B553" s="1" t="n">
        <v>45173</v>
      </c>
      <c r="C553" s="1" t="n">
        <v>45642</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41547-2023</t>
        </is>
      </c>
      <c r="B554" s="1" t="n">
        <v>45173</v>
      </c>
      <c r="C554" s="1" t="n">
        <v>45642</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41560-2023</t>
        </is>
      </c>
      <c r="B555" s="1" t="n">
        <v>45173</v>
      </c>
      <c r="C555" s="1" t="n">
        <v>45642</v>
      </c>
      <c r="D555" t="inlineStr">
        <is>
          <t>NORRBOTTENS LÄN</t>
        </is>
      </c>
      <c r="E555" t="inlineStr">
        <is>
          <t>GÄLLIVARE</t>
        </is>
      </c>
      <c r="G555" t="n">
        <v>9</v>
      </c>
      <c r="H555" t="n">
        <v>0</v>
      </c>
      <c r="I555" t="n">
        <v>0</v>
      </c>
      <c r="J555" t="n">
        <v>0</v>
      </c>
      <c r="K555" t="n">
        <v>0</v>
      </c>
      <c r="L555" t="n">
        <v>0</v>
      </c>
      <c r="M555" t="n">
        <v>0</v>
      </c>
      <c r="N555" t="n">
        <v>0</v>
      </c>
      <c r="O555" t="n">
        <v>0</v>
      </c>
      <c r="P555" t="n">
        <v>0</v>
      </c>
      <c r="Q555" t="n">
        <v>0</v>
      </c>
      <c r="R555" s="2" t="inlineStr"/>
    </row>
    <row r="556" ht="15" customHeight="1">
      <c r="A556" t="inlineStr">
        <is>
          <t>A 41653-2023</t>
        </is>
      </c>
      <c r="B556" s="1" t="n">
        <v>45176</v>
      </c>
      <c r="C556" s="1" t="n">
        <v>45642</v>
      </c>
      <c r="D556" t="inlineStr">
        <is>
          <t>NORRBOTTENS LÄN</t>
        </is>
      </c>
      <c r="E556" t="inlineStr">
        <is>
          <t>GÄLLIVARE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42612-2023</t>
        </is>
      </c>
      <c r="B557" s="1" t="n">
        <v>45176</v>
      </c>
      <c r="C557" s="1" t="n">
        <v>45642</v>
      </c>
      <c r="D557" t="inlineStr">
        <is>
          <t>NORRBOTTENS LÄN</t>
        </is>
      </c>
      <c r="E557" t="inlineStr">
        <is>
          <t>GÄLLIVARE</t>
        </is>
      </c>
      <c r="G557" t="n">
        <v>3.9</v>
      </c>
      <c r="H557" t="n">
        <v>0</v>
      </c>
      <c r="I557" t="n">
        <v>0</v>
      </c>
      <c r="J557" t="n">
        <v>0</v>
      </c>
      <c r="K557" t="n">
        <v>0</v>
      </c>
      <c r="L557" t="n">
        <v>0</v>
      </c>
      <c r="M557" t="n">
        <v>0</v>
      </c>
      <c r="N557" t="n">
        <v>0</v>
      </c>
      <c r="O557" t="n">
        <v>0</v>
      </c>
      <c r="P557" t="n">
        <v>0</v>
      </c>
      <c r="Q557" t="n">
        <v>0</v>
      </c>
      <c r="R557" s="2" t="inlineStr"/>
    </row>
    <row r="558" ht="15" customHeight="1">
      <c r="A558" t="inlineStr">
        <is>
          <t>A 42158-2023</t>
        </is>
      </c>
      <c r="B558" s="1" t="n">
        <v>45178</v>
      </c>
      <c r="C558" s="1" t="n">
        <v>45642</v>
      </c>
      <c r="D558" t="inlineStr">
        <is>
          <t>NORRBOTTENS LÄN</t>
        </is>
      </c>
      <c r="E558" t="inlineStr">
        <is>
          <t>GÄLLIVARE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42157-2023</t>
        </is>
      </c>
      <c r="B559" s="1" t="n">
        <v>45178</v>
      </c>
      <c r="C559" s="1" t="n">
        <v>45642</v>
      </c>
      <c r="D559" t="inlineStr">
        <is>
          <t>NORRBOTTENS LÄN</t>
        </is>
      </c>
      <c r="E559" t="inlineStr">
        <is>
          <t>GÄLLIVARE</t>
        </is>
      </c>
      <c r="F559" t="inlineStr">
        <is>
          <t>SCA</t>
        </is>
      </c>
      <c r="G559" t="n">
        <v>7.9</v>
      </c>
      <c r="H559" t="n">
        <v>0</v>
      </c>
      <c r="I559" t="n">
        <v>0</v>
      </c>
      <c r="J559" t="n">
        <v>0</v>
      </c>
      <c r="K559" t="n">
        <v>0</v>
      </c>
      <c r="L559" t="n">
        <v>0</v>
      </c>
      <c r="M559" t="n">
        <v>0</v>
      </c>
      <c r="N559" t="n">
        <v>0</v>
      </c>
      <c r="O559" t="n">
        <v>0</v>
      </c>
      <c r="P559" t="n">
        <v>0</v>
      </c>
      <c r="Q559" t="n">
        <v>0</v>
      </c>
      <c r="R559" s="2" t="inlineStr"/>
    </row>
    <row r="560" ht="15" customHeight="1">
      <c r="A560" t="inlineStr">
        <is>
          <t>A 42546-2023</t>
        </is>
      </c>
      <c r="B560" s="1" t="n">
        <v>45181</v>
      </c>
      <c r="C560" s="1" t="n">
        <v>45642</v>
      </c>
      <c r="D560" t="inlineStr">
        <is>
          <t>NORRBOTTENS LÄN</t>
        </is>
      </c>
      <c r="E560" t="inlineStr">
        <is>
          <t>GÄLLIVARE</t>
        </is>
      </c>
      <c r="F560" t="inlineStr">
        <is>
          <t>Sveaskog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42562-2023</t>
        </is>
      </c>
      <c r="B561" s="1" t="n">
        <v>45181</v>
      </c>
      <c r="C561" s="1" t="n">
        <v>45642</v>
      </c>
      <c r="D561" t="inlineStr">
        <is>
          <t>NORRBOTTENS LÄN</t>
        </is>
      </c>
      <c r="E561" t="inlineStr">
        <is>
          <t>GÄLLIVARE</t>
        </is>
      </c>
      <c r="F561" t="inlineStr">
        <is>
          <t>Sveaskog</t>
        </is>
      </c>
      <c r="G561" t="n">
        <v>32.4</v>
      </c>
      <c r="H561" t="n">
        <v>0</v>
      </c>
      <c r="I561" t="n">
        <v>0</v>
      </c>
      <c r="J561" t="n">
        <v>0</v>
      </c>
      <c r="K561" t="n">
        <v>0</v>
      </c>
      <c r="L561" t="n">
        <v>0</v>
      </c>
      <c r="M561" t="n">
        <v>0</v>
      </c>
      <c r="N561" t="n">
        <v>0</v>
      </c>
      <c r="O561" t="n">
        <v>0</v>
      </c>
      <c r="P561" t="n">
        <v>0</v>
      </c>
      <c r="Q561" t="n">
        <v>0</v>
      </c>
      <c r="R561" s="2" t="inlineStr"/>
    </row>
    <row r="562" ht="15" customHeight="1">
      <c r="A562" t="inlineStr">
        <is>
          <t>A 42568-2023</t>
        </is>
      </c>
      <c r="B562" s="1" t="n">
        <v>45181</v>
      </c>
      <c r="C562" s="1" t="n">
        <v>45642</v>
      </c>
      <c r="D562" t="inlineStr">
        <is>
          <t>NORRBOTTENS LÄN</t>
        </is>
      </c>
      <c r="E562" t="inlineStr">
        <is>
          <t>GÄLLIVARE</t>
        </is>
      </c>
      <c r="F562" t="inlineStr">
        <is>
          <t>Sveaskog</t>
        </is>
      </c>
      <c r="G562" t="n">
        <v>24.6</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45183</v>
      </c>
      <c r="C563" s="1" t="n">
        <v>45642</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43407-2023</t>
        </is>
      </c>
      <c r="B564" s="1" t="n">
        <v>45184</v>
      </c>
      <c r="C564" s="1" t="n">
        <v>45642</v>
      </c>
      <c r="D564" t="inlineStr">
        <is>
          <t>NORRBOTTENS LÄN</t>
        </is>
      </c>
      <c r="E564" t="inlineStr">
        <is>
          <t>GÄLLIVARE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43408-2023</t>
        </is>
      </c>
      <c r="B565" s="1" t="n">
        <v>45183</v>
      </c>
      <c r="C565" s="1" t="n">
        <v>45642</v>
      </c>
      <c r="D565" t="inlineStr">
        <is>
          <t>NORRBOTTENS LÄN</t>
        </is>
      </c>
      <c r="E565" t="inlineStr">
        <is>
          <t>GÄLLIVARE</t>
        </is>
      </c>
      <c r="F565" t="inlineStr">
        <is>
          <t>SCA</t>
        </is>
      </c>
      <c r="G565" t="n">
        <v>10</v>
      </c>
      <c r="H565" t="n">
        <v>0</v>
      </c>
      <c r="I565" t="n">
        <v>0</v>
      </c>
      <c r="J565" t="n">
        <v>0</v>
      </c>
      <c r="K565" t="n">
        <v>0</v>
      </c>
      <c r="L565" t="n">
        <v>0</v>
      </c>
      <c r="M565" t="n">
        <v>0</v>
      </c>
      <c r="N565" t="n">
        <v>0</v>
      </c>
      <c r="O565" t="n">
        <v>0</v>
      </c>
      <c r="P565" t="n">
        <v>0</v>
      </c>
      <c r="Q565" t="n">
        <v>0</v>
      </c>
      <c r="R565" s="2" t="inlineStr"/>
    </row>
    <row r="566" ht="15" customHeight="1">
      <c r="A566" t="inlineStr">
        <is>
          <t>A 43477-2023</t>
        </is>
      </c>
      <c r="B566" s="1" t="n">
        <v>45184</v>
      </c>
      <c r="C566" s="1" t="n">
        <v>45642</v>
      </c>
      <c r="D566" t="inlineStr">
        <is>
          <t>NORRBOTTENS LÄN</t>
        </is>
      </c>
      <c r="E566" t="inlineStr">
        <is>
          <t>GÄLLIVARE</t>
        </is>
      </c>
      <c r="F566" t="inlineStr">
        <is>
          <t>Sveaskog</t>
        </is>
      </c>
      <c r="G566" t="n">
        <v>29.1</v>
      </c>
      <c r="H566" t="n">
        <v>0</v>
      </c>
      <c r="I566" t="n">
        <v>0</v>
      </c>
      <c r="J566" t="n">
        <v>0</v>
      </c>
      <c r="K566" t="n">
        <v>0</v>
      </c>
      <c r="L566" t="n">
        <v>0</v>
      </c>
      <c r="M566" t="n">
        <v>0</v>
      </c>
      <c r="N566" t="n">
        <v>0</v>
      </c>
      <c r="O566" t="n">
        <v>0</v>
      </c>
      <c r="P566" t="n">
        <v>0</v>
      </c>
      <c r="Q566" t="n">
        <v>0</v>
      </c>
      <c r="R566" s="2" t="inlineStr"/>
    </row>
    <row r="567" ht="15" customHeight="1">
      <c r="A567" t="inlineStr">
        <is>
          <t>A 43988-2023</t>
        </is>
      </c>
      <c r="B567" s="1" t="n">
        <v>45187</v>
      </c>
      <c r="C567" s="1" t="n">
        <v>45642</v>
      </c>
      <c r="D567" t="inlineStr">
        <is>
          <t>NORRBOTTENS LÄN</t>
        </is>
      </c>
      <c r="E567" t="inlineStr">
        <is>
          <t>GÄLLIVARE</t>
        </is>
      </c>
      <c r="F567" t="inlineStr">
        <is>
          <t>SCA</t>
        </is>
      </c>
      <c r="G567" t="n">
        <v>10.7</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45642</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44689-2023</t>
        </is>
      </c>
      <c r="B569" s="1" t="n">
        <v>45189</v>
      </c>
      <c r="C569" s="1" t="n">
        <v>45642</v>
      </c>
      <c r="D569" t="inlineStr">
        <is>
          <t>NORRBOTTENS LÄN</t>
        </is>
      </c>
      <c r="E569" t="inlineStr">
        <is>
          <t>GÄLLIVARE</t>
        </is>
      </c>
      <c r="G569" t="n">
        <v>26.1</v>
      </c>
      <c r="H569" t="n">
        <v>0</v>
      </c>
      <c r="I569" t="n">
        <v>0</v>
      </c>
      <c r="J569" t="n">
        <v>0</v>
      </c>
      <c r="K569" t="n">
        <v>0</v>
      </c>
      <c r="L569" t="n">
        <v>0</v>
      </c>
      <c r="M569" t="n">
        <v>0</v>
      </c>
      <c r="N569" t="n">
        <v>0</v>
      </c>
      <c r="O569" t="n">
        <v>0</v>
      </c>
      <c r="P569" t="n">
        <v>0</v>
      </c>
      <c r="Q569" t="n">
        <v>0</v>
      </c>
      <c r="R569" s="2" t="inlineStr"/>
    </row>
    <row r="570" ht="15" customHeight="1">
      <c r="A570" t="inlineStr">
        <is>
          <t>A 44686-2023</t>
        </is>
      </c>
      <c r="B570" s="1" t="n">
        <v>45189</v>
      </c>
      <c r="C570" s="1" t="n">
        <v>45642</v>
      </c>
      <c r="D570" t="inlineStr">
        <is>
          <t>NORRBOTTENS LÄN</t>
        </is>
      </c>
      <c r="E570" t="inlineStr">
        <is>
          <t>GÄLLIVARE</t>
        </is>
      </c>
      <c r="G570" t="n">
        <v>19.4</v>
      </c>
      <c r="H570" t="n">
        <v>0</v>
      </c>
      <c r="I570" t="n">
        <v>0</v>
      </c>
      <c r="J570" t="n">
        <v>0</v>
      </c>
      <c r="K570" t="n">
        <v>0</v>
      </c>
      <c r="L570" t="n">
        <v>0</v>
      </c>
      <c r="M570" t="n">
        <v>0</v>
      </c>
      <c r="N570" t="n">
        <v>0</v>
      </c>
      <c r="O570" t="n">
        <v>0</v>
      </c>
      <c r="P570" t="n">
        <v>0</v>
      </c>
      <c r="Q570" t="n">
        <v>0</v>
      </c>
      <c r="R570" s="2" t="inlineStr"/>
    </row>
    <row r="571" ht="15" customHeight="1">
      <c r="A571" t="inlineStr">
        <is>
          <t>A 44690-2023</t>
        </is>
      </c>
      <c r="B571" s="1" t="n">
        <v>45189</v>
      </c>
      <c r="C571" s="1" t="n">
        <v>45642</v>
      </c>
      <c r="D571" t="inlineStr">
        <is>
          <t>NORRBOTTENS LÄN</t>
        </is>
      </c>
      <c r="E571" t="inlineStr">
        <is>
          <t>GÄLLIVARE</t>
        </is>
      </c>
      <c r="G571" t="n">
        <v>8.6</v>
      </c>
      <c r="H571" t="n">
        <v>0</v>
      </c>
      <c r="I571" t="n">
        <v>0</v>
      </c>
      <c r="J571" t="n">
        <v>0</v>
      </c>
      <c r="K571" t="n">
        <v>0</v>
      </c>
      <c r="L571" t="n">
        <v>0</v>
      </c>
      <c r="M571" t="n">
        <v>0</v>
      </c>
      <c r="N571" t="n">
        <v>0</v>
      </c>
      <c r="O571" t="n">
        <v>0</v>
      </c>
      <c r="P571" t="n">
        <v>0</v>
      </c>
      <c r="Q571" t="n">
        <v>0</v>
      </c>
      <c r="R571" s="2" t="inlineStr"/>
    </row>
    <row r="572" ht="15" customHeight="1">
      <c r="A572" t="inlineStr">
        <is>
          <t>A 44691-2023</t>
        </is>
      </c>
      <c r="B572" s="1" t="n">
        <v>45189</v>
      </c>
      <c r="C572" s="1" t="n">
        <v>45642</v>
      </c>
      <c r="D572" t="inlineStr">
        <is>
          <t>NORRBOTTENS LÄN</t>
        </is>
      </c>
      <c r="E572" t="inlineStr">
        <is>
          <t>GÄLLIVARE</t>
        </is>
      </c>
      <c r="G572" t="n">
        <v>18.8</v>
      </c>
      <c r="H572" t="n">
        <v>0</v>
      </c>
      <c r="I572" t="n">
        <v>0</v>
      </c>
      <c r="J572" t="n">
        <v>0</v>
      </c>
      <c r="K572" t="n">
        <v>0</v>
      </c>
      <c r="L572" t="n">
        <v>0</v>
      </c>
      <c r="M572" t="n">
        <v>0</v>
      </c>
      <c r="N572" t="n">
        <v>0</v>
      </c>
      <c r="O572" t="n">
        <v>0</v>
      </c>
      <c r="P572" t="n">
        <v>0</v>
      </c>
      <c r="Q572" t="n">
        <v>0</v>
      </c>
      <c r="R572" s="2" t="inlineStr"/>
    </row>
    <row r="573" ht="15" customHeight="1">
      <c r="A573" t="inlineStr">
        <is>
          <t>A 44983-2023</t>
        </is>
      </c>
      <c r="B573" s="1" t="n">
        <v>45190</v>
      </c>
      <c r="C573" s="1" t="n">
        <v>45642</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44982-2023</t>
        </is>
      </c>
      <c r="B574" s="1" t="n">
        <v>45191</v>
      </c>
      <c r="C574" s="1" t="n">
        <v>45642</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45026-2023</t>
        </is>
      </c>
      <c r="B575" s="1" t="n">
        <v>45191</v>
      </c>
      <c r="C575" s="1" t="n">
        <v>45642</v>
      </c>
      <c r="D575" t="inlineStr">
        <is>
          <t>NORRBOTTENS LÄN</t>
        </is>
      </c>
      <c r="E575" t="inlineStr">
        <is>
          <t>GÄLLIVARE</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45191</v>
      </c>
      <c r="C576" s="1" t="n">
        <v>45642</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44985-2023</t>
        </is>
      </c>
      <c r="B577" s="1" t="n">
        <v>45191</v>
      </c>
      <c r="C577" s="1" t="n">
        <v>45642</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46056-2023</t>
        </is>
      </c>
      <c r="B578" s="1" t="n">
        <v>45196</v>
      </c>
      <c r="C578" s="1" t="n">
        <v>45642</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46271-2023</t>
        </is>
      </c>
      <c r="B579" s="1" t="n">
        <v>45196</v>
      </c>
      <c r="C579" s="1" t="n">
        <v>45642</v>
      </c>
      <c r="D579" t="inlineStr">
        <is>
          <t>NORRBOTTENS LÄN</t>
        </is>
      </c>
      <c r="E579" t="inlineStr">
        <is>
          <t>GÄLLIVARE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47239-2023</t>
        </is>
      </c>
      <c r="B580" s="1" t="n">
        <v>45196</v>
      </c>
      <c r="C580" s="1" t="n">
        <v>45642</v>
      </c>
      <c r="D580" t="inlineStr">
        <is>
          <t>NORRBOTTENS LÄN</t>
        </is>
      </c>
      <c r="E580" t="inlineStr">
        <is>
          <t>GÄLLIVARE</t>
        </is>
      </c>
      <c r="F580" t="inlineStr">
        <is>
          <t>Övriga statliga verk och myndigheter</t>
        </is>
      </c>
      <c r="G580" t="n">
        <v>146</v>
      </c>
      <c r="H580" t="n">
        <v>0</v>
      </c>
      <c r="I580" t="n">
        <v>0</v>
      </c>
      <c r="J580" t="n">
        <v>0</v>
      </c>
      <c r="K580" t="n">
        <v>0</v>
      </c>
      <c r="L580" t="n">
        <v>0</v>
      </c>
      <c r="M580" t="n">
        <v>0</v>
      </c>
      <c r="N580" t="n">
        <v>0</v>
      </c>
      <c r="O580" t="n">
        <v>0</v>
      </c>
      <c r="P580" t="n">
        <v>0</v>
      </c>
      <c r="Q580" t="n">
        <v>0</v>
      </c>
      <c r="R580" s="2" t="inlineStr"/>
    </row>
    <row r="581" ht="15" customHeight="1">
      <c r="A581" t="inlineStr">
        <is>
          <t>A 46334-2023</t>
        </is>
      </c>
      <c r="B581" s="1" t="n">
        <v>45197</v>
      </c>
      <c r="C581" s="1" t="n">
        <v>45642</v>
      </c>
      <c r="D581" t="inlineStr">
        <is>
          <t>NORRBOTTENS LÄN</t>
        </is>
      </c>
      <c r="E581" t="inlineStr">
        <is>
          <t>GÄLLIVARE</t>
        </is>
      </c>
      <c r="F581" t="inlineStr">
        <is>
          <t>Sveaskog</t>
        </is>
      </c>
      <c r="G581" t="n">
        <v>22.9</v>
      </c>
      <c r="H581" t="n">
        <v>0</v>
      </c>
      <c r="I581" t="n">
        <v>0</v>
      </c>
      <c r="J581" t="n">
        <v>0</v>
      </c>
      <c r="K581" t="n">
        <v>0</v>
      </c>
      <c r="L581" t="n">
        <v>0</v>
      </c>
      <c r="M581" t="n">
        <v>0</v>
      </c>
      <c r="N581" t="n">
        <v>0</v>
      </c>
      <c r="O581" t="n">
        <v>0</v>
      </c>
      <c r="P581" t="n">
        <v>0</v>
      </c>
      <c r="Q581" t="n">
        <v>0</v>
      </c>
      <c r="R581" s="2" t="inlineStr"/>
    </row>
    <row r="582" ht="15" customHeight="1">
      <c r="A582" t="inlineStr">
        <is>
          <t>A 46478-2023</t>
        </is>
      </c>
      <c r="B582" s="1" t="n">
        <v>45197</v>
      </c>
      <c r="C582" s="1" t="n">
        <v>45642</v>
      </c>
      <c r="D582" t="inlineStr">
        <is>
          <t>NORRBOTTENS LÄN</t>
        </is>
      </c>
      <c r="E582" t="inlineStr">
        <is>
          <t>GÄLLIVARE</t>
        </is>
      </c>
      <c r="G582" t="n">
        <v>8.4</v>
      </c>
      <c r="H582" t="n">
        <v>0</v>
      </c>
      <c r="I582" t="n">
        <v>0</v>
      </c>
      <c r="J582" t="n">
        <v>0</v>
      </c>
      <c r="K582" t="n">
        <v>0</v>
      </c>
      <c r="L582" t="n">
        <v>0</v>
      </c>
      <c r="M582" t="n">
        <v>0</v>
      </c>
      <c r="N582" t="n">
        <v>0</v>
      </c>
      <c r="O582" t="n">
        <v>0</v>
      </c>
      <c r="P582" t="n">
        <v>0</v>
      </c>
      <c r="Q582" t="n">
        <v>0</v>
      </c>
      <c r="R582" s="2" t="inlineStr"/>
    </row>
    <row r="583" ht="15" customHeight="1">
      <c r="A583" t="inlineStr">
        <is>
          <t>A 46474-2023</t>
        </is>
      </c>
      <c r="B583" s="1" t="n">
        <v>45197</v>
      </c>
      <c r="C583" s="1" t="n">
        <v>45642</v>
      </c>
      <c r="D583" t="inlineStr">
        <is>
          <t>NORRBOTTENS LÄN</t>
        </is>
      </c>
      <c r="E583" t="inlineStr">
        <is>
          <t>GÄLLIVARE</t>
        </is>
      </c>
      <c r="G583" t="n">
        <v>42.7</v>
      </c>
      <c r="H583" t="n">
        <v>0</v>
      </c>
      <c r="I583" t="n">
        <v>0</v>
      </c>
      <c r="J583" t="n">
        <v>0</v>
      </c>
      <c r="K583" t="n">
        <v>0</v>
      </c>
      <c r="L583" t="n">
        <v>0</v>
      </c>
      <c r="M583" t="n">
        <v>0</v>
      </c>
      <c r="N583" t="n">
        <v>0</v>
      </c>
      <c r="O583" t="n">
        <v>0</v>
      </c>
      <c r="P583" t="n">
        <v>0</v>
      </c>
      <c r="Q583" t="n">
        <v>0</v>
      </c>
      <c r="R583" s="2" t="inlineStr"/>
    </row>
    <row r="584" ht="15" customHeight="1">
      <c r="A584" t="inlineStr">
        <is>
          <t>A 46484-2023</t>
        </is>
      </c>
      <c r="B584" s="1" t="n">
        <v>45197</v>
      </c>
      <c r="C584" s="1" t="n">
        <v>45642</v>
      </c>
      <c r="D584" t="inlineStr">
        <is>
          <t>NORRBOTTENS LÄN</t>
        </is>
      </c>
      <c r="E584" t="inlineStr">
        <is>
          <t>GÄLLIVARE</t>
        </is>
      </c>
      <c r="G584" t="n">
        <v>5.8</v>
      </c>
      <c r="H584" t="n">
        <v>0</v>
      </c>
      <c r="I584" t="n">
        <v>0</v>
      </c>
      <c r="J584" t="n">
        <v>0</v>
      </c>
      <c r="K584" t="n">
        <v>0</v>
      </c>
      <c r="L584" t="n">
        <v>0</v>
      </c>
      <c r="M584" t="n">
        <v>0</v>
      </c>
      <c r="N584" t="n">
        <v>0</v>
      </c>
      <c r="O584" t="n">
        <v>0</v>
      </c>
      <c r="P584" t="n">
        <v>0</v>
      </c>
      <c r="Q584" t="n">
        <v>0</v>
      </c>
      <c r="R584" s="2" t="inlineStr"/>
    </row>
    <row r="585" ht="15" customHeight="1">
      <c r="A585" t="inlineStr">
        <is>
          <t>A 47613-2023</t>
        </is>
      </c>
      <c r="B585" s="1" t="n">
        <v>45198</v>
      </c>
      <c r="C585" s="1" t="n">
        <v>45642</v>
      </c>
      <c r="D585" t="inlineStr">
        <is>
          <t>NORRBOTTENS LÄN</t>
        </is>
      </c>
      <c r="E585" t="inlineStr">
        <is>
          <t>GÄLLIVARE</t>
        </is>
      </c>
      <c r="G585" t="n">
        <v>1.9</v>
      </c>
      <c r="H585" t="n">
        <v>0</v>
      </c>
      <c r="I585" t="n">
        <v>0</v>
      </c>
      <c r="J585" t="n">
        <v>0</v>
      </c>
      <c r="K585" t="n">
        <v>0</v>
      </c>
      <c r="L585" t="n">
        <v>0</v>
      </c>
      <c r="M585" t="n">
        <v>0</v>
      </c>
      <c r="N585" t="n">
        <v>0</v>
      </c>
      <c r="O585" t="n">
        <v>0</v>
      </c>
      <c r="P585" t="n">
        <v>0</v>
      </c>
      <c r="Q585" t="n">
        <v>0</v>
      </c>
      <c r="R585" s="2" t="inlineStr"/>
    </row>
    <row r="586" ht="15" customHeight="1">
      <c r="A586" t="inlineStr">
        <is>
          <t>A 46853-2023</t>
        </is>
      </c>
      <c r="B586" s="1" t="n">
        <v>45199</v>
      </c>
      <c r="C586" s="1" t="n">
        <v>45642</v>
      </c>
      <c r="D586" t="inlineStr">
        <is>
          <t>NORRBOTTENS LÄN</t>
        </is>
      </c>
      <c r="E586" t="inlineStr">
        <is>
          <t>GÄLLIVARE</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45642</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45642</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45642</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45642</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45642</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45642</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45642</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45642</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45642</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45642</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45642</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45642</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45642</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45642</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45642</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45642</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45642</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45642</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45642</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45642</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45642</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45642</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45642</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45642</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45642</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45642</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45642</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45642</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45642</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45642</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45642</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45642</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45642</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45642</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45642</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45642</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45642</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45642</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45642</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45642</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45642</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45642</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45642</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45642</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45642</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45642</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45642</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45642</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45642</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45642</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45642</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45642</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45642</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45642</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45642</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45642</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45642</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45642</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45642</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45642</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45642</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45642</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45642</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45642</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45642</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45642</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45642</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45642</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45642</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45642</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45642</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45642</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45642</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45642</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45642</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45642</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45642</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45642</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45642</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45642</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45642</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45642</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45642</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45642</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45642</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45642</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45642</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45642</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45642</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45642</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45642</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45642</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45642</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45642</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45642</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45642</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45642</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45642</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45642</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45642</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45642</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45642</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45642</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45642</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45642</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45642</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45642</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45642</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45642</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45642</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45642</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45642</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45642</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45642</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45642</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45642</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45642</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45642</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45642</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45642</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45642</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45642</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45642</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45642</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45642</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45642</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45642</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45642</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45642</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45642</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45642</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45642</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45642</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45642</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45642</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45642</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45642</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45642</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45642</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45642</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45642</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45642</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45642</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45642</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45642</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45642</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45642</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45642</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45642</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45642</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45642</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45642</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45642</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45642</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45642</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45642</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45642</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45642</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45642</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45642</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45642</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45642</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45642</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45642</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45642</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45642</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45642</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45642</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45642</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45642</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45642</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45642</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45642</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45642</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45642</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45642</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45642</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45642</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45642</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45642</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45642</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45642</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45642</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45642</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45642</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45642</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45642</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45642</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45642</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45642</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45642</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45642</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45642</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45642</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45642</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45642</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45642</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45642</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45642</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45642</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45642</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45642</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45642</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45642</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45642</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45642</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45642</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45642</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45642</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45642</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45642</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45642</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45642</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45642</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45642</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45642</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45642</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45642</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45642</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45642</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45642</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45642</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45642</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45642</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45642</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45642</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45642</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45642</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45642</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45642</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45642</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45642</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45642</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45642</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45642</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45642</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45642</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45642</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45642</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45642</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45642</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45642</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45642</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45642</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45642</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45642</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45642</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45642</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45642</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45642</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45642</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45642</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45642</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45642</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45642</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45642</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45642</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45642</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45642</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45642</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45642</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45642</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45642</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45642</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45642</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45642</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45642</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45642</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45642</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45642</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45642</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45642</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45642</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45642</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45642</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45642</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45642</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45642</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45642</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45642</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45642</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45642</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45642</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45642</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45642</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45642</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45642</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45642</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45642</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45642</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45642</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53208-2024</t>
        </is>
      </c>
      <c r="B878" s="1" t="n">
        <v>45612</v>
      </c>
      <c r="C878" s="1" t="n">
        <v>45642</v>
      </c>
      <c r="D878" t="inlineStr">
        <is>
          <t>NORRBOTTENS LÄN</t>
        </is>
      </c>
      <c r="E878" t="inlineStr">
        <is>
          <t>GÄLLIVARE</t>
        </is>
      </c>
      <c r="G878" t="n">
        <v>1.9</v>
      </c>
      <c r="H878" t="n">
        <v>0</v>
      </c>
      <c r="I878" t="n">
        <v>0</v>
      </c>
      <c r="J878" t="n">
        <v>0</v>
      </c>
      <c r="K878" t="n">
        <v>0</v>
      </c>
      <c r="L878" t="n">
        <v>0</v>
      </c>
      <c r="M878" t="n">
        <v>0</v>
      </c>
      <c r="N878" t="n">
        <v>0</v>
      </c>
      <c r="O878" t="n">
        <v>0</v>
      </c>
      <c r="P878" t="n">
        <v>0</v>
      </c>
      <c r="Q878" t="n">
        <v>0</v>
      </c>
      <c r="R878" s="2" t="inlineStr"/>
    </row>
    <row r="879" ht="15" customHeight="1">
      <c r="A879" t="inlineStr">
        <is>
          <t>A 53222-2024</t>
        </is>
      </c>
      <c r="B879" s="1" t="n">
        <v>45612</v>
      </c>
      <c r="C879" s="1" t="n">
        <v>45642</v>
      </c>
      <c r="D879" t="inlineStr">
        <is>
          <t>NORRBOTTENS LÄN</t>
        </is>
      </c>
      <c r="E879" t="inlineStr">
        <is>
          <t>GÄLLIVARE</t>
        </is>
      </c>
      <c r="G879" t="n">
        <v>9.4</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45642</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45642</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45642</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45642</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53794-2024</t>
        </is>
      </c>
      <c r="B884" s="1" t="n">
        <v>45615</v>
      </c>
      <c r="C884" s="1" t="n">
        <v>45642</v>
      </c>
      <c r="D884" t="inlineStr">
        <is>
          <t>NORRBOTTENS LÄN</t>
        </is>
      </c>
      <c r="E884" t="inlineStr">
        <is>
          <t>GÄLLIVARE</t>
        </is>
      </c>
      <c r="G884" t="n">
        <v>2.1</v>
      </c>
      <c r="H884" t="n">
        <v>0</v>
      </c>
      <c r="I884" t="n">
        <v>0</v>
      </c>
      <c r="J884" t="n">
        <v>0</v>
      </c>
      <c r="K884" t="n">
        <v>0</v>
      </c>
      <c r="L884" t="n">
        <v>0</v>
      </c>
      <c r="M884" t="n">
        <v>0</v>
      </c>
      <c r="N884" t="n">
        <v>0</v>
      </c>
      <c r="O884" t="n">
        <v>0</v>
      </c>
      <c r="P884" t="n">
        <v>0</v>
      </c>
      <c r="Q884" t="n">
        <v>0</v>
      </c>
      <c r="R884" s="2" t="inlineStr"/>
    </row>
    <row r="885" ht="15" customHeight="1">
      <c r="A885" t="inlineStr">
        <is>
          <t>A 53824-2024</t>
        </is>
      </c>
      <c r="B885" s="1" t="n">
        <v>45615</v>
      </c>
      <c r="C885" s="1" t="n">
        <v>45642</v>
      </c>
      <c r="D885" t="inlineStr">
        <is>
          <t>NORRBOTTENS LÄN</t>
        </is>
      </c>
      <c r="E885" t="inlineStr">
        <is>
          <t>GÄLLIVARE</t>
        </is>
      </c>
      <c r="G885" t="n">
        <v>2</v>
      </c>
      <c r="H885" t="n">
        <v>0</v>
      </c>
      <c r="I885" t="n">
        <v>0</v>
      </c>
      <c r="J885" t="n">
        <v>0</v>
      </c>
      <c r="K885" t="n">
        <v>0</v>
      </c>
      <c r="L885" t="n">
        <v>0</v>
      </c>
      <c r="M885" t="n">
        <v>0</v>
      </c>
      <c r="N885" t="n">
        <v>0</v>
      </c>
      <c r="O885" t="n">
        <v>0</v>
      </c>
      <c r="P885" t="n">
        <v>0</v>
      </c>
      <c r="Q885" t="n">
        <v>0</v>
      </c>
      <c r="R885" s="2" t="inlineStr"/>
    </row>
    <row r="886" ht="15" customHeight="1">
      <c r="A886" t="inlineStr">
        <is>
          <t>A 53828-2024</t>
        </is>
      </c>
      <c r="B886" s="1" t="n">
        <v>45615</v>
      </c>
      <c r="C886" s="1" t="n">
        <v>45642</v>
      </c>
      <c r="D886" t="inlineStr">
        <is>
          <t>NORRBOTTENS LÄN</t>
        </is>
      </c>
      <c r="E886" t="inlineStr">
        <is>
          <t>GÄLLIVARE</t>
        </is>
      </c>
      <c r="G886" t="n">
        <v>1.3</v>
      </c>
      <c r="H886" t="n">
        <v>0</v>
      </c>
      <c r="I886" t="n">
        <v>0</v>
      </c>
      <c r="J886" t="n">
        <v>0</v>
      </c>
      <c r="K886" t="n">
        <v>0</v>
      </c>
      <c r="L886" t="n">
        <v>0</v>
      </c>
      <c r="M886" t="n">
        <v>0</v>
      </c>
      <c r="N886" t="n">
        <v>0</v>
      </c>
      <c r="O886" t="n">
        <v>0</v>
      </c>
      <c r="P886" t="n">
        <v>0</v>
      </c>
      <c r="Q886" t="n">
        <v>0</v>
      </c>
      <c r="R886" s="2" t="inlineStr"/>
    </row>
    <row r="887" ht="15" customHeight="1">
      <c r="A887" t="inlineStr">
        <is>
          <t>A 53893-2024</t>
        </is>
      </c>
      <c r="B887" s="1" t="n">
        <v>45615</v>
      </c>
      <c r="C887" s="1" t="n">
        <v>45642</v>
      </c>
      <c r="D887" t="inlineStr">
        <is>
          <t>NORRBOTTENS LÄN</t>
        </is>
      </c>
      <c r="E887" t="inlineStr">
        <is>
          <t>GÄLLIVARE</t>
        </is>
      </c>
      <c r="G887" t="n">
        <v>3.4</v>
      </c>
      <c r="H887" t="n">
        <v>0</v>
      </c>
      <c r="I887" t="n">
        <v>0</v>
      </c>
      <c r="J887" t="n">
        <v>0</v>
      </c>
      <c r="K887" t="n">
        <v>0</v>
      </c>
      <c r="L887" t="n">
        <v>0</v>
      </c>
      <c r="M887" t="n">
        <v>0</v>
      </c>
      <c r="N887" t="n">
        <v>0</v>
      </c>
      <c r="O887" t="n">
        <v>0</v>
      </c>
      <c r="P887" t="n">
        <v>0</v>
      </c>
      <c r="Q887" t="n">
        <v>0</v>
      </c>
      <c r="R887" s="2" t="inlineStr"/>
    </row>
    <row r="888" ht="15" customHeight="1">
      <c r="A888" t="inlineStr">
        <is>
          <t>A 53801-2024</t>
        </is>
      </c>
      <c r="B888" s="1" t="n">
        <v>45615</v>
      </c>
      <c r="C888" s="1" t="n">
        <v>45642</v>
      </c>
      <c r="D888" t="inlineStr">
        <is>
          <t>NORRBOTTENS LÄN</t>
        </is>
      </c>
      <c r="E888" t="inlineStr">
        <is>
          <t>GÄLLIVARE</t>
        </is>
      </c>
      <c r="G888" t="n">
        <v>3.1</v>
      </c>
      <c r="H888" t="n">
        <v>0</v>
      </c>
      <c r="I888" t="n">
        <v>0</v>
      </c>
      <c r="J888" t="n">
        <v>0</v>
      </c>
      <c r="K888" t="n">
        <v>0</v>
      </c>
      <c r="L888" t="n">
        <v>0</v>
      </c>
      <c r="M888" t="n">
        <v>0</v>
      </c>
      <c r="N888" t="n">
        <v>0</v>
      </c>
      <c r="O888" t="n">
        <v>0</v>
      </c>
      <c r="P888" t="n">
        <v>0</v>
      </c>
      <c r="Q888" t="n">
        <v>0</v>
      </c>
      <c r="R888" s="2" t="inlineStr"/>
    </row>
    <row r="889" ht="15" customHeight="1">
      <c r="A889" t="inlineStr">
        <is>
          <t>A 53700-2024</t>
        </is>
      </c>
      <c r="B889" s="1" t="n">
        <v>45615</v>
      </c>
      <c r="C889" s="1" t="n">
        <v>45642</v>
      </c>
      <c r="D889" t="inlineStr">
        <is>
          <t>NORRBOTTENS LÄN</t>
        </is>
      </c>
      <c r="E889" t="inlineStr">
        <is>
          <t>GÄLLIVARE</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53784-2024</t>
        </is>
      </c>
      <c r="B890" s="1" t="n">
        <v>45615</v>
      </c>
      <c r="C890" s="1" t="n">
        <v>45642</v>
      </c>
      <c r="D890" t="inlineStr">
        <is>
          <t>NORRBOTTENS LÄN</t>
        </is>
      </c>
      <c r="E890" t="inlineStr">
        <is>
          <t>GÄLLIVARE</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53821-2024</t>
        </is>
      </c>
      <c r="B891" s="1" t="n">
        <v>45615</v>
      </c>
      <c r="C891" s="1" t="n">
        <v>45642</v>
      </c>
      <c r="D891" t="inlineStr">
        <is>
          <t>NORRBOTTENS LÄN</t>
        </is>
      </c>
      <c r="E891" t="inlineStr">
        <is>
          <t>GÄLLIVARE</t>
        </is>
      </c>
      <c r="G891" t="n">
        <v>1</v>
      </c>
      <c r="H891" t="n">
        <v>0</v>
      </c>
      <c r="I891" t="n">
        <v>0</v>
      </c>
      <c r="J891" t="n">
        <v>0</v>
      </c>
      <c r="K891" t="n">
        <v>0</v>
      </c>
      <c r="L891" t="n">
        <v>0</v>
      </c>
      <c r="M891" t="n">
        <v>0</v>
      </c>
      <c r="N891" t="n">
        <v>0</v>
      </c>
      <c r="O891" t="n">
        <v>0</v>
      </c>
      <c r="P891" t="n">
        <v>0</v>
      </c>
      <c r="Q891" t="n">
        <v>0</v>
      </c>
      <c r="R891" s="2" t="inlineStr"/>
    </row>
    <row r="892" ht="15" customHeight="1">
      <c r="A892" t="inlineStr">
        <is>
          <t>A 53909-2024</t>
        </is>
      </c>
      <c r="B892" s="1" t="n">
        <v>45615</v>
      </c>
      <c r="C892" s="1" t="n">
        <v>45642</v>
      </c>
      <c r="D892" t="inlineStr">
        <is>
          <t>NORRBOTTENS LÄN</t>
        </is>
      </c>
      <c r="E892" t="inlineStr">
        <is>
          <t>GÄLLIVARE</t>
        </is>
      </c>
      <c r="G892" t="n">
        <v>3.8</v>
      </c>
      <c r="H892" t="n">
        <v>0</v>
      </c>
      <c r="I892" t="n">
        <v>0</v>
      </c>
      <c r="J892" t="n">
        <v>0</v>
      </c>
      <c r="K892" t="n">
        <v>0</v>
      </c>
      <c r="L892" t="n">
        <v>0</v>
      </c>
      <c r="M892" t="n">
        <v>0</v>
      </c>
      <c r="N892" t="n">
        <v>0</v>
      </c>
      <c r="O892" t="n">
        <v>0</v>
      </c>
      <c r="P892" t="n">
        <v>0</v>
      </c>
      <c r="Q892" t="n">
        <v>0</v>
      </c>
      <c r="R892" s="2" t="inlineStr"/>
    </row>
    <row r="893" ht="15" customHeight="1">
      <c r="A893" t="inlineStr">
        <is>
          <t>A 54103-2024</t>
        </is>
      </c>
      <c r="B893" s="1" t="n">
        <v>45616</v>
      </c>
      <c r="C893" s="1" t="n">
        <v>45642</v>
      </c>
      <c r="D893" t="inlineStr">
        <is>
          <t>NORRBOTTENS LÄN</t>
        </is>
      </c>
      <c r="E893" t="inlineStr">
        <is>
          <t>GÄLLIVARE</t>
        </is>
      </c>
      <c r="F893" t="inlineStr">
        <is>
          <t>Allmännings- och besparingsskogar</t>
        </is>
      </c>
      <c r="G893" t="n">
        <v>9.6</v>
      </c>
      <c r="H893" t="n">
        <v>0</v>
      </c>
      <c r="I893" t="n">
        <v>0</v>
      </c>
      <c r="J893" t="n">
        <v>0</v>
      </c>
      <c r="K893" t="n">
        <v>0</v>
      </c>
      <c r="L893" t="n">
        <v>0</v>
      </c>
      <c r="M893" t="n">
        <v>0</v>
      </c>
      <c r="N893" t="n">
        <v>0</v>
      </c>
      <c r="O893" t="n">
        <v>0</v>
      </c>
      <c r="P893" t="n">
        <v>0</v>
      </c>
      <c r="Q893" t="n">
        <v>0</v>
      </c>
      <c r="R893" s="2" t="inlineStr"/>
    </row>
    <row r="894" ht="15" customHeight="1">
      <c r="A894" t="inlineStr">
        <is>
          <t>A 54281-2024</t>
        </is>
      </c>
      <c r="B894" s="1" t="n">
        <v>45616</v>
      </c>
      <c r="C894" s="1" t="n">
        <v>45642</v>
      </c>
      <c r="D894" t="inlineStr">
        <is>
          <t>NORRBOTTENS LÄN</t>
        </is>
      </c>
      <c r="E894" t="inlineStr">
        <is>
          <t>GÄLLIVARE</t>
        </is>
      </c>
      <c r="G894" t="n">
        <v>0.3</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45642</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45642</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55381-2024</t>
        </is>
      </c>
      <c r="B897" s="1" t="n">
        <v>45622</v>
      </c>
      <c r="C897" s="1" t="n">
        <v>45642</v>
      </c>
      <c r="D897" t="inlineStr">
        <is>
          <t>NORRBOTTENS LÄN</t>
        </is>
      </c>
      <c r="E897" t="inlineStr">
        <is>
          <t>GÄLLIVARE</t>
        </is>
      </c>
      <c r="F897" t="inlineStr">
        <is>
          <t>Sveaskog</t>
        </is>
      </c>
      <c r="G897" t="n">
        <v>11.7</v>
      </c>
      <c r="H897" t="n">
        <v>0</v>
      </c>
      <c r="I897" t="n">
        <v>0</v>
      </c>
      <c r="J897" t="n">
        <v>0</v>
      </c>
      <c r="K897" t="n">
        <v>0</v>
      </c>
      <c r="L897" t="n">
        <v>0</v>
      </c>
      <c r="M897" t="n">
        <v>0</v>
      </c>
      <c r="N897" t="n">
        <v>0</v>
      </c>
      <c r="O897" t="n">
        <v>0</v>
      </c>
      <c r="P897" t="n">
        <v>0</v>
      </c>
      <c r="Q897" t="n">
        <v>0</v>
      </c>
      <c r="R897" s="2" t="inlineStr"/>
    </row>
    <row r="898" ht="15" customHeight="1">
      <c r="A898" t="inlineStr">
        <is>
          <t>A 55413-2024</t>
        </is>
      </c>
      <c r="B898" s="1" t="n">
        <v>45622</v>
      </c>
      <c r="C898" s="1" t="n">
        <v>45642</v>
      </c>
      <c r="D898" t="inlineStr">
        <is>
          <t>NORRBOTTENS LÄN</t>
        </is>
      </c>
      <c r="E898" t="inlineStr">
        <is>
          <t>GÄLLIVARE</t>
        </is>
      </c>
      <c r="F898" t="inlineStr">
        <is>
          <t>Sveaskog</t>
        </is>
      </c>
      <c r="G898" t="n">
        <v>40.9</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45642</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45642</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45642</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45642</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45642</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ht="15" customHeight="1">
      <c r="A904" t="inlineStr">
        <is>
          <t>A 59112-2024</t>
        </is>
      </c>
      <c r="B904" s="1" t="n">
        <v>45636</v>
      </c>
      <c r="C904" s="1" t="n">
        <v>45642</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row r="905" ht="15" customHeight="1">
      <c r="A905" t="inlineStr">
        <is>
          <t>A 59232-2024</t>
        </is>
      </c>
      <c r="B905" s="1" t="n">
        <v>45637</v>
      </c>
      <c r="C905" s="1" t="n">
        <v>45642</v>
      </c>
      <c r="D905" t="inlineStr">
        <is>
          <t>NORRBOTTENS LÄN</t>
        </is>
      </c>
      <c r="E905" t="inlineStr">
        <is>
          <t>GÄLLIVARE</t>
        </is>
      </c>
      <c r="G905" t="n">
        <v>2.5</v>
      </c>
      <c r="H905" t="n">
        <v>0</v>
      </c>
      <c r="I905" t="n">
        <v>0</v>
      </c>
      <c r="J905" t="n">
        <v>0</v>
      </c>
      <c r="K905" t="n">
        <v>0</v>
      </c>
      <c r="L905" t="n">
        <v>0</v>
      </c>
      <c r="M905" t="n">
        <v>0</v>
      </c>
      <c r="N905" t="n">
        <v>0</v>
      </c>
      <c r="O905" t="n">
        <v>0</v>
      </c>
      <c r="P905" t="n">
        <v>0</v>
      </c>
      <c r="Q905" t="n">
        <v>0</v>
      </c>
      <c r="R905" s="2" t="inlineStr"/>
    </row>
    <row r="906" ht="15" customHeight="1">
      <c r="A906" t="inlineStr">
        <is>
          <t>A 59652-2024</t>
        </is>
      </c>
      <c r="B906" s="1" t="n">
        <v>45639</v>
      </c>
      <c r="C906" s="1" t="n">
        <v>45642</v>
      </c>
      <c r="D906" t="inlineStr">
        <is>
          <t>NORRBOTTENS LÄN</t>
        </is>
      </c>
      <c r="E906" t="inlineStr">
        <is>
          <t>GÄLLIVARE</t>
        </is>
      </c>
      <c r="F906" t="inlineStr">
        <is>
          <t>SCA</t>
        </is>
      </c>
      <c r="G906" t="n">
        <v>13.6</v>
      </c>
      <c r="H906" t="n">
        <v>0</v>
      </c>
      <c r="I906" t="n">
        <v>0</v>
      </c>
      <c r="J906" t="n">
        <v>0</v>
      </c>
      <c r="K906" t="n">
        <v>0</v>
      </c>
      <c r="L906" t="n">
        <v>0</v>
      </c>
      <c r="M906" t="n">
        <v>0</v>
      </c>
      <c r="N906" t="n">
        <v>0</v>
      </c>
      <c r="O906" t="n">
        <v>0</v>
      </c>
      <c r="P906" t="n">
        <v>0</v>
      </c>
      <c r="Q906" t="n">
        <v>0</v>
      </c>
      <c r="R906" s="2" t="inlineStr"/>
    </row>
    <row r="907" ht="15" customHeight="1">
      <c r="A907" t="inlineStr">
        <is>
          <t>A 59680-2024</t>
        </is>
      </c>
      <c r="B907" s="1" t="n">
        <v>45639</v>
      </c>
      <c r="C907" s="1" t="n">
        <v>45642</v>
      </c>
      <c r="D907" t="inlineStr">
        <is>
          <t>NORRBOTTENS LÄN</t>
        </is>
      </c>
      <c r="E907" t="inlineStr">
        <is>
          <t>GÄLLIVARE</t>
        </is>
      </c>
      <c r="F907" t="inlineStr">
        <is>
          <t>Sveaskog</t>
        </is>
      </c>
      <c r="G907" t="n">
        <v>14.4</v>
      </c>
      <c r="H907" t="n">
        <v>0</v>
      </c>
      <c r="I907" t="n">
        <v>0</v>
      </c>
      <c r="J907" t="n">
        <v>0</v>
      </c>
      <c r="K907" t="n">
        <v>0</v>
      </c>
      <c r="L907" t="n">
        <v>0</v>
      </c>
      <c r="M907" t="n">
        <v>0</v>
      </c>
      <c r="N907" t="n">
        <v>0</v>
      </c>
      <c r="O907" t="n">
        <v>0</v>
      </c>
      <c r="P907" t="n">
        <v>0</v>
      </c>
      <c r="Q907" t="n">
        <v>0</v>
      </c>
      <c r="R907" s="2" t="inlineStr"/>
    </row>
    <row r="908" ht="15" customHeight="1">
      <c r="A908" t="inlineStr">
        <is>
          <t>A 59685-2024</t>
        </is>
      </c>
      <c r="B908" s="1" t="n">
        <v>45639</v>
      </c>
      <c r="C908" s="1" t="n">
        <v>45642</v>
      </c>
      <c r="D908" t="inlineStr">
        <is>
          <t>NORRBOTTENS LÄN</t>
        </is>
      </c>
      <c r="E908" t="inlineStr">
        <is>
          <t>GÄLLIVARE</t>
        </is>
      </c>
      <c r="F908" t="inlineStr">
        <is>
          <t>Sveaskog</t>
        </is>
      </c>
      <c r="G908" t="n">
        <v>1.4</v>
      </c>
      <c r="H908" t="n">
        <v>0</v>
      </c>
      <c r="I908" t="n">
        <v>0</v>
      </c>
      <c r="J908" t="n">
        <v>0</v>
      </c>
      <c r="K908" t="n">
        <v>0</v>
      </c>
      <c r="L908" t="n">
        <v>0</v>
      </c>
      <c r="M908" t="n">
        <v>0</v>
      </c>
      <c r="N908" t="n">
        <v>0</v>
      </c>
      <c r="O908" t="n">
        <v>0</v>
      </c>
      <c r="P908" t="n">
        <v>0</v>
      </c>
      <c r="Q908" t="n">
        <v>0</v>
      </c>
      <c r="R908" s="2" t="inlineStr"/>
    </row>
    <row r="909" ht="15" customHeight="1">
      <c r="A909" t="inlineStr">
        <is>
          <t>A 59698-2024</t>
        </is>
      </c>
      <c r="B909" s="1" t="n">
        <v>45639</v>
      </c>
      <c r="C909" s="1" t="n">
        <v>45642</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59675-2024</t>
        </is>
      </c>
      <c r="B910" s="1" t="n">
        <v>45639</v>
      </c>
      <c r="C910" s="1" t="n">
        <v>45642</v>
      </c>
      <c r="D910" t="inlineStr">
        <is>
          <t>NORRBOTTENS LÄN</t>
        </is>
      </c>
      <c r="E910" t="inlineStr">
        <is>
          <t>GÄLLIVARE</t>
        </is>
      </c>
      <c r="F910" t="inlineStr">
        <is>
          <t>Sveaskog</t>
        </is>
      </c>
      <c r="G910" t="n">
        <v>0.5</v>
      </c>
      <c r="H910" t="n">
        <v>0</v>
      </c>
      <c r="I910" t="n">
        <v>0</v>
      </c>
      <c r="J910" t="n">
        <v>0</v>
      </c>
      <c r="K910" t="n">
        <v>0</v>
      </c>
      <c r="L910" t="n">
        <v>0</v>
      </c>
      <c r="M910" t="n">
        <v>0</v>
      </c>
      <c r="N910" t="n">
        <v>0</v>
      </c>
      <c r="O910" t="n">
        <v>0</v>
      </c>
      <c r="P910" t="n">
        <v>0</v>
      </c>
      <c r="Q910" t="n">
        <v>0</v>
      </c>
      <c r="R910" s="2" t="inlineStr"/>
    </row>
    <row r="911" ht="15" customHeight="1">
      <c r="A911" t="inlineStr">
        <is>
          <t>A 59697-2024</t>
        </is>
      </c>
      <c r="B911" s="1" t="n">
        <v>45639</v>
      </c>
      <c r="C911" s="1" t="n">
        <v>45642</v>
      </c>
      <c r="D911" t="inlineStr">
        <is>
          <t>NORRBOTTENS LÄN</t>
        </is>
      </c>
      <c r="E911" t="inlineStr">
        <is>
          <t>GÄLLIVARE</t>
        </is>
      </c>
      <c r="F911" t="inlineStr">
        <is>
          <t>Sveaskog</t>
        </is>
      </c>
      <c r="G911" t="n">
        <v>3.3</v>
      </c>
      <c r="H911" t="n">
        <v>0</v>
      </c>
      <c r="I911" t="n">
        <v>0</v>
      </c>
      <c r="J911" t="n">
        <v>0</v>
      </c>
      <c r="K911" t="n">
        <v>0</v>
      </c>
      <c r="L911" t="n">
        <v>0</v>
      </c>
      <c r="M911" t="n">
        <v>0</v>
      </c>
      <c r="N911" t="n">
        <v>0</v>
      </c>
      <c r="O911" t="n">
        <v>0</v>
      </c>
      <c r="P911" t="n">
        <v>0</v>
      </c>
      <c r="Q911" t="n">
        <v>0</v>
      </c>
      <c r="R911" s="2" t="inlineStr"/>
    </row>
    <row r="912" ht="15" customHeight="1">
      <c r="A912" t="inlineStr">
        <is>
          <t>A 59704-2024</t>
        </is>
      </c>
      <c r="B912" s="1" t="n">
        <v>45639</v>
      </c>
      <c r="C912" s="1" t="n">
        <v>45642</v>
      </c>
      <c r="D912" t="inlineStr">
        <is>
          <t>NORRBOTTENS LÄN</t>
        </is>
      </c>
      <c r="E912" t="inlineStr">
        <is>
          <t>GÄLLIVARE</t>
        </is>
      </c>
      <c r="F912" t="inlineStr">
        <is>
          <t>Sveaskog</t>
        </is>
      </c>
      <c r="G912" t="n">
        <v>5.8</v>
      </c>
      <c r="H912" t="n">
        <v>0</v>
      </c>
      <c r="I912" t="n">
        <v>0</v>
      </c>
      <c r="J912" t="n">
        <v>0</v>
      </c>
      <c r="K912" t="n">
        <v>0</v>
      </c>
      <c r="L912" t="n">
        <v>0</v>
      </c>
      <c r="M912" t="n">
        <v>0</v>
      </c>
      <c r="N912" t="n">
        <v>0</v>
      </c>
      <c r="O912" t="n">
        <v>0</v>
      </c>
      <c r="P912" t="n">
        <v>0</v>
      </c>
      <c r="Q912" t="n">
        <v>0</v>
      </c>
      <c r="R912" s="2" t="inlineStr"/>
    </row>
    <row r="913" ht="15" customHeight="1">
      <c r="A913" t="inlineStr">
        <is>
          <t>A 59695-2024</t>
        </is>
      </c>
      <c r="B913" s="1" t="n">
        <v>45639</v>
      </c>
      <c r="C913" s="1" t="n">
        <v>45642</v>
      </c>
      <c r="D913" t="inlineStr">
        <is>
          <t>NORRBOTTENS LÄN</t>
        </is>
      </c>
      <c r="E913" t="inlineStr">
        <is>
          <t>GÄLLIVARE</t>
        </is>
      </c>
      <c r="F913" t="inlineStr">
        <is>
          <t>Sveaskog</t>
        </is>
      </c>
      <c r="G913" t="n">
        <v>5.9</v>
      </c>
      <c r="H913" t="n">
        <v>0</v>
      </c>
      <c r="I913" t="n">
        <v>0</v>
      </c>
      <c r="J913" t="n">
        <v>0</v>
      </c>
      <c r="K913" t="n">
        <v>0</v>
      </c>
      <c r="L913" t="n">
        <v>0</v>
      </c>
      <c r="M913" t="n">
        <v>0</v>
      </c>
      <c r="N913" t="n">
        <v>0</v>
      </c>
      <c r="O913" t="n">
        <v>0</v>
      </c>
      <c r="P913" t="n">
        <v>0</v>
      </c>
      <c r="Q913" t="n">
        <v>0</v>
      </c>
      <c r="R913" s="2" t="inlineStr"/>
    </row>
    <row r="914">
      <c r="A914" t="inlineStr">
        <is>
          <t>A 59703-2024</t>
        </is>
      </c>
      <c r="B914" s="1" t="n">
        <v>45639</v>
      </c>
      <c r="C914" s="1" t="n">
        <v>45642</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2024-12-16T15:10:15Z</dcterms:created>
  <dcterms:modified xmlns:dcterms="http://purl.org/dc/terms/" xmlns:xsi="http://www.w3.org/2001/XMLSchema-instance" xsi:type="dcterms:W3CDTF">2024-12-16T15:10:16Z</dcterms:modified>
</cp:coreProperties>
</file>