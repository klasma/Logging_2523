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45704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45704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45704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45704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45704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45704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45704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45704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45704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45704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45704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45704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45704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45704</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45704</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45704</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45704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45704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45704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45704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45704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45704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45704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45704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45704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45704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45704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45704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45704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45704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45704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45704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45704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45704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45704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45704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45704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45704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45704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45704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45704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45704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45704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45704</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45704</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45704</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45704</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45704</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45704</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45704</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45704</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45704</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45704</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45704</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45704</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45704</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45704</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45704</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45704</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45704</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45704</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45704</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45704</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45704</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45704</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45704</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45704</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45704</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45704</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45704</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45704</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45704</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45704</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45704</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45704</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45704</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45704</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5793-2025</t>
        </is>
      </c>
      <c r="B79" s="1" t="n">
        <v>45694</v>
      </c>
      <c r="C79" s="1" t="n">
        <v>45704</v>
      </c>
      <c r="D79" t="inlineStr">
        <is>
          <t>NORRBOTTENS LÄN</t>
        </is>
      </c>
      <c r="E79" t="inlineStr">
        <is>
          <t>GÄLLIVARE</t>
        </is>
      </c>
      <c r="F79" t="inlineStr">
        <is>
          <t>SCA</t>
        </is>
      </c>
      <c r="G79" t="n">
        <v>2.4</v>
      </c>
      <c r="H79" t="n">
        <v>0</v>
      </c>
      <c r="I79" t="n">
        <v>0</v>
      </c>
      <c r="J79" t="n">
        <v>2</v>
      </c>
      <c r="K79" t="n">
        <v>0</v>
      </c>
      <c r="L79" t="n">
        <v>0</v>
      </c>
      <c r="M79" t="n">
        <v>0</v>
      </c>
      <c r="N79" t="n">
        <v>0</v>
      </c>
      <c r="O79" t="n">
        <v>2</v>
      </c>
      <c r="P79" t="n">
        <v>0</v>
      </c>
      <c r="Q79" t="n">
        <v>2</v>
      </c>
      <c r="R79" s="2" t="inlineStr">
        <is>
          <t>Gammelgransskål
Garnlav</t>
        </is>
      </c>
      <c r="S79">
        <f>HYPERLINK("https://klasma.github.io/Logging_2523/artfynd/A 5793-2025 artfynd.xlsx", "A 5793-2025")</f>
        <v/>
      </c>
      <c r="T79">
        <f>HYPERLINK("https://klasma.github.io/Logging_2523/kartor/A 5793-2025 karta.png", "A 5793-2025")</f>
        <v/>
      </c>
      <c r="V79">
        <f>HYPERLINK("https://klasma.github.io/Logging_2523/klagomål/A 5793-2025 FSC-klagomål.docx", "A 5793-2025")</f>
        <v/>
      </c>
      <c r="W79">
        <f>HYPERLINK("https://klasma.github.io/Logging_2523/klagomålsmail/A 5793-2025 FSC-klagomål mail.docx", "A 5793-2025")</f>
        <v/>
      </c>
      <c r="X79">
        <f>HYPERLINK("https://klasma.github.io/Logging_2523/tillsyn/A 5793-2025 tillsynsbegäran.docx", "A 5793-2025")</f>
        <v/>
      </c>
      <c r="Y79">
        <f>HYPERLINK("https://klasma.github.io/Logging_2523/tillsynsmail/A 5793-2025 tillsynsbegäran mail.docx", "A 5793-2025")</f>
        <v/>
      </c>
    </row>
    <row r="80" ht="15" customHeight="1">
      <c r="A80" t="inlineStr">
        <is>
          <t>A 5728-2025</t>
        </is>
      </c>
      <c r="B80" s="1" t="n">
        <v>45694</v>
      </c>
      <c r="C80" s="1" t="n">
        <v>45704</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28204-2019</t>
        </is>
      </c>
      <c r="B81" s="1" t="n">
        <v>43621</v>
      </c>
      <c r="C81" s="1" t="n">
        <v>45704</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45704</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45704</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45704</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45704</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45704</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45704</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45704</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45704</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45704</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45704</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45704</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45704</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45704</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45704</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45704</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45704</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45704</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45704</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45704</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45704</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45704</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45704</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45704</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45704</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45704</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45704</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45704</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45704</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45704</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45704</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45704</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45704</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45704</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45704</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45704</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45704</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45704</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45704</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45704</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45704</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45704</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45704</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45704</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45704</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45704</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45704</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45704</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45704</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45704</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45704</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45704</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45704</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45704</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45704</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45704</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45704</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45704</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45704</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45704</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45704</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45704</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45704</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45704</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45704</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45704</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45704</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45704</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45704</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45704</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45704</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45704</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45704</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45704</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45704</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45704</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45704</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45704</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45704</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45704</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45704</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45704</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45704</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45704</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45704</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45704</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45704</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45704</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45704</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45704</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45704</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45704</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45704</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45704</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45704</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45704</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45704</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45704</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45704</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45704</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45704</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45704</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45704</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45704</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45704</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45704</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45704</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45704</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45704</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45704</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45704</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45704</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45704</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45704</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45704</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45704</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45704</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45704</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45704</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45704</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45704</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45704</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45704</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45704</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45704</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45704</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45704</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45704</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45704</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45704</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45704</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45704</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45704</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45704</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45704</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45704</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45704</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45704</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45704</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45704</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45704</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45704</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45704</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45704</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45704</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45704</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45704</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45704</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45704</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45704</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45704</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45704</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45704</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45704</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45704</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45704</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45704</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45704</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45704</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45704</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45704</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45704</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45704</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45704</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45704</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45704</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45704</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45704</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45704</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45704</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45704</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45704</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45704</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45704</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45704</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45704</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45704</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45704</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45704</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45704</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45704</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45704</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45704</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45704</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45704</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45704</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45704</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45704</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45704</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45704</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45704</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45704</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45704</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45704</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45704</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45704</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45704</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45704</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45704</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45704</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45704</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45704</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45704</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45704</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45704</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45704</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45704</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45704</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45704</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45704</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45704</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45704</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45704</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45704</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45704</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45704</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45704</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45704</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45704</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45704</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45704</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45704</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45704</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45704</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45704</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45704</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45704</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45704</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45704</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45704</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45704</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45704</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45704</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45704</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45704</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45704</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45704</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45704</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45704</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45704</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45704</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45704</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45704</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45704</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45704</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45704</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45704</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45704</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45704</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45704</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45704</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45704</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45704</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45704</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45704</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45704</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45704</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45704</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45704</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45704</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45704</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45704</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45704</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45704</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45704</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45704</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45704</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45704</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45704</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45704</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45704</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45704</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45704</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45704</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45704</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45704</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45704</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45704</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45704</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45704</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45704</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45704</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45704</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45704</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45704</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45704</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45704</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45704</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45704</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45704</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45704</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45704</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45704</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45704</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45704</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45704</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45704</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45704</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45704</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45704</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45704</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45704</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45704</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45704</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45704</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45704</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45704</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45704</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45704</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45704</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45704</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45704</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45704</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45704</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45704</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45704</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45704</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45704</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45704</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45704</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45704</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45704</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45704</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45704</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45704</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45704</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45704</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45704</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45704</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45704</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45704</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45704</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45704</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45704</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45704</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45704</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45704</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45704</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45704</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45704</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45704</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45704</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45704</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45704</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45704</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45704</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45704</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45704</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45704</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45704</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45704</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45704</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45704</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45704</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45704</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45704</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45704</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45704</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45704</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45704</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45704</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45704</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45704</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45704</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45704</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45704</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45704</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45704</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45704</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45704</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45704</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45704</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45704</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45704</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45704</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45704</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45704</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45704</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45704</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45704</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45704</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45704</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45704</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45704</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45704</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45704</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45704</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45704</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45704</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45704</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45704</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45704</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45704</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45704</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45704</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45704</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45704</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45704</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45704</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45704</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45704</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45704</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45704</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45704</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45704</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45704</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45704</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45704</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45704</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45704</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45704</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45704</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45704</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45704</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45704</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45704</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45704</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45704</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45704</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45704</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45704</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45704</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45704</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45704</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45704</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45704</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45704</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45704</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45704</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45704</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45704</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45704</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45704</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45704</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45704</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45704</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45704</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45704</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45704</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45704</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45704</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45704</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45704</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45704</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45704</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45704</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45704</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45704</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45704</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45704</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45704</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45704</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45704</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45704</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45704</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45704</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45704</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45704</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45704</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45704</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45704</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45704</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45704</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45704</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45704</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45704</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45704</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45704</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45704</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45704</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45704</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45704</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45704</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45704</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45704</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45704</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45704</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45704</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45704</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45704</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45704</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45704</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45704</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45704</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45704</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45704</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45704</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45704</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45704</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45704</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45704</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45704</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45704</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45704</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45704</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45704</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45704</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45704</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45704</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45704</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45704</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45704</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45704</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45704</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45704</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45704</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45704</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45704</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45704</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45704</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45704</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45704</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45704</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45704</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45704</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45704</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45704</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45704</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45704</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45704</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45704</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45704</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45704</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45704</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45704</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45704</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45704</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45704</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45704</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45704</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45704</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45704</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45704</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45704</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45704</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45704</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45704</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45704</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45704</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45704</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45704</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45704</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45704</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45704</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45704</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45704</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45704</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45704</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45704</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45704</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45704</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45704</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45704</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45704</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45704</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45704</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45704</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45704</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45704</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45704</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45704</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45704</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45704</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45704</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45704</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45704</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45704</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45704</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45704</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45704</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45704</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45704</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45704</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45704</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45704</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45704</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45704</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45704</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45704</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45704</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45704</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45704</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45704</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45704</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45704</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45704</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45704</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45704</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45704</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45704</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45704</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45704</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45704</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45704</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45704</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45704</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45704</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45704</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45704</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45704</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45704</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45704</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45704</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45704</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45704</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45704</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45704</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45704</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45704</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45704</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45704</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45704</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45704</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45704</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45704</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45704</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45704</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45704</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45704</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45704</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45704</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45704</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45704</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45704</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45704</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45704</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45704</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45704</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45704</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45704</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45704</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45704</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45704</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45704</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45704</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45704</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45704</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45704</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45704</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45704</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45704</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45704</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45704</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45704</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45704</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45704</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45704</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45704</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45704</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45704</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45704</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45704</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45704</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45704</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45704</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45704</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45704</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45704</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45704</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45704</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45704</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45704</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45704</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45704</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45704</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45704</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45704</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45704</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45704</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45704</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45704</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45704</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45704</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45704</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45704</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45704</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45704</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45704</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45704</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45704</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45704</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45704</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45704</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45704</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45704</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45704</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45704</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45704</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45704</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45704</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45704</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45704</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45704</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45704</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45704</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45704</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45704</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45704</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45704</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45704</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45704</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45704</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45704</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45704</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45704</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45704</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45704</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45704</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45704</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45704</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45704</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45704</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45704</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45704</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45704</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45704</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45704</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45704</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45704</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45704</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45704</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45704</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45704</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45704</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45704</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45704</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45704</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45704</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45704</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45704</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45704</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45704</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45704</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45704</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45704</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45704</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45704</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45704</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45704</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45704</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45704</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45704</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45704</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45704</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45704</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45704</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45704</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45704</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45704</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45704</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45704</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45704</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45704</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45704</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45704</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45704</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45704</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45704</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45704</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45704</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45704</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45704</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45704</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45704</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45704</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45704</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45704</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45704</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45704</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45704</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45704</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45704</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45704</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45704</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45704</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45704</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45704</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45704</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45704</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45704</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45704</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45704</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45704</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45704</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45704</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45704</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45704</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45704</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45704</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45704</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45704</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45704</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45704</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45704</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45704</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45704</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45704</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45704</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45704</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45704</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45704</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45704</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45704</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45704</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45704</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45704</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45704</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45704</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45704</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45704</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45704</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45704</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45704</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45704</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45704</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45704</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45704</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45704</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45704</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45704</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45704</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45704</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45704</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45704</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45704</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45704</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45704</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45704</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45704</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45704</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45704</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45704</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45704</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45704</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45704</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45704</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45704</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45704</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45704</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45704</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45704</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45704</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45704</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45704</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45704</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45704</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45704</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45704</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45704</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45704</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4639-2025</t>
        </is>
      </c>
      <c r="B931" s="1" t="n">
        <v>45687</v>
      </c>
      <c r="C931" s="1" t="n">
        <v>45704</v>
      </c>
      <c r="D931" t="inlineStr">
        <is>
          <t>NORRBOTTENS LÄN</t>
        </is>
      </c>
      <c r="E931" t="inlineStr">
        <is>
          <t>GÄLLIVARE</t>
        </is>
      </c>
      <c r="G931" t="n">
        <v>1.2</v>
      </c>
      <c r="H931" t="n">
        <v>0</v>
      </c>
      <c r="I931" t="n">
        <v>0</v>
      </c>
      <c r="J931" t="n">
        <v>0</v>
      </c>
      <c r="K931" t="n">
        <v>0</v>
      </c>
      <c r="L931" t="n">
        <v>0</v>
      </c>
      <c r="M931" t="n">
        <v>0</v>
      </c>
      <c r="N931" t="n">
        <v>0</v>
      </c>
      <c r="O931" t="n">
        <v>0</v>
      </c>
      <c r="P931" t="n">
        <v>0</v>
      </c>
      <c r="Q931" t="n">
        <v>0</v>
      </c>
      <c r="R931" s="2" t="inlineStr"/>
    </row>
    <row r="932" ht="15" customHeight="1">
      <c r="A932" t="inlineStr">
        <is>
          <t>A 4647-2025</t>
        </is>
      </c>
      <c r="B932" s="1" t="n">
        <v>45687</v>
      </c>
      <c r="C932" s="1" t="n">
        <v>45704</v>
      </c>
      <c r="D932" t="inlineStr">
        <is>
          <t>NORRBOTTENS LÄN</t>
        </is>
      </c>
      <c r="E932" t="inlineStr">
        <is>
          <t>GÄLLIVARE</t>
        </is>
      </c>
      <c r="G932" t="n">
        <v>4.9</v>
      </c>
      <c r="H932" t="n">
        <v>0</v>
      </c>
      <c r="I932" t="n">
        <v>0</v>
      </c>
      <c r="J932" t="n">
        <v>0</v>
      </c>
      <c r="K932" t="n">
        <v>0</v>
      </c>
      <c r="L932" t="n">
        <v>0</v>
      </c>
      <c r="M932" t="n">
        <v>0</v>
      </c>
      <c r="N932" t="n">
        <v>0</v>
      </c>
      <c r="O932" t="n">
        <v>0</v>
      </c>
      <c r="P932" t="n">
        <v>0</v>
      </c>
      <c r="Q932" t="n">
        <v>0</v>
      </c>
      <c r="R932" s="2" t="inlineStr"/>
    </row>
    <row r="933" ht="15" customHeight="1">
      <c r="A933" t="inlineStr">
        <is>
          <t>A 4636-2025</t>
        </is>
      </c>
      <c r="B933" s="1" t="n">
        <v>45687</v>
      </c>
      <c r="C933" s="1" t="n">
        <v>45704</v>
      </c>
      <c r="D933" t="inlineStr">
        <is>
          <t>NORRBOTTENS LÄN</t>
        </is>
      </c>
      <c r="E933" t="inlineStr">
        <is>
          <t>GÄLLIVARE</t>
        </is>
      </c>
      <c r="G933" t="n">
        <v>1.4</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45704</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4891-2025</t>
        </is>
      </c>
      <c r="B935" s="1" t="n">
        <v>45688</v>
      </c>
      <c r="C935" s="1" t="n">
        <v>45704</v>
      </c>
      <c r="D935" t="inlineStr">
        <is>
          <t>NORRBOTTENS LÄN</t>
        </is>
      </c>
      <c r="E935" t="inlineStr">
        <is>
          <t>GÄLLIVARE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45704</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4918-2025</t>
        </is>
      </c>
      <c r="B937" s="1" t="n">
        <v>45688</v>
      </c>
      <c r="C937" s="1" t="n">
        <v>45704</v>
      </c>
      <c r="D937" t="inlineStr">
        <is>
          <t>NORRBOTTENS LÄN</t>
        </is>
      </c>
      <c r="E937" t="inlineStr">
        <is>
          <t>GÄLLIVARE</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45704</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5166-2025</t>
        </is>
      </c>
      <c r="B939" s="1" t="n">
        <v>45691</v>
      </c>
      <c r="C939" s="1" t="n">
        <v>45704</v>
      </c>
      <c r="D939" t="inlineStr">
        <is>
          <t>NORRBOTTENS LÄN</t>
        </is>
      </c>
      <c r="E939" t="inlineStr">
        <is>
          <t>GÄLLIVARE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45704</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5523-2025</t>
        </is>
      </c>
      <c r="B941" s="1" t="n">
        <v>45693</v>
      </c>
      <c r="C941" s="1" t="n">
        <v>45704</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45704</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5481-2025</t>
        </is>
      </c>
      <c r="B943" s="1" t="n">
        <v>45693</v>
      </c>
      <c r="C943" s="1" t="n">
        <v>45704</v>
      </c>
      <c r="D943" t="inlineStr">
        <is>
          <t>NORRBOTTENS LÄN</t>
        </is>
      </c>
      <c r="E943" t="inlineStr">
        <is>
          <t>GÄLLIVARE</t>
        </is>
      </c>
      <c r="F943" t="inlineStr">
        <is>
          <t>SCA</t>
        </is>
      </c>
      <c r="G943" t="n">
        <v>13.1</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45704</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6107-2025</t>
        </is>
      </c>
      <c r="B945" s="1" t="n">
        <v>45698</v>
      </c>
      <c r="C945" s="1" t="n">
        <v>45704</v>
      </c>
      <c r="D945" t="inlineStr">
        <is>
          <t>NORRBOTTENS LÄN</t>
        </is>
      </c>
      <c r="E945" t="inlineStr">
        <is>
          <t>GÄLLIVARE</t>
        </is>
      </c>
      <c r="G945" t="n">
        <v>36.9</v>
      </c>
      <c r="H945" t="n">
        <v>0</v>
      </c>
      <c r="I945" t="n">
        <v>0</v>
      </c>
      <c r="J945" t="n">
        <v>0</v>
      </c>
      <c r="K945" t="n">
        <v>0</v>
      </c>
      <c r="L945" t="n">
        <v>0</v>
      </c>
      <c r="M945" t="n">
        <v>0</v>
      </c>
      <c r="N945" t="n">
        <v>0</v>
      </c>
      <c r="O945" t="n">
        <v>0</v>
      </c>
      <c r="P945" t="n">
        <v>0</v>
      </c>
      <c r="Q945" t="n">
        <v>0</v>
      </c>
      <c r="R945" s="2" t="inlineStr"/>
    </row>
    <row r="946">
      <c r="A946" t="inlineStr">
        <is>
          <t>A 6953-2025</t>
        </is>
      </c>
      <c r="B946" s="1" t="n">
        <v>45701</v>
      </c>
      <c r="C946" s="1" t="n">
        <v>45704</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2025-02-16T15:54:20Z</dcterms:created>
  <dcterms:modified xmlns:dcterms="http://purl.org/dc/terms/" xmlns:xsi="http://www.w3.org/2001/XMLSchema-instance" xsi:type="dcterms:W3CDTF">2025-02-16T15:54:21Z</dcterms:modified>
</cp:coreProperties>
</file>