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45700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45700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45700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45700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45700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45700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45700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45700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45700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45700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45700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45700</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45700</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45700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45700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45700</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45700</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45700</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45700</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45700</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45700</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45700</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45700</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45700</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45700</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45700</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45700</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45700</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45700</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45700</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45700</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45700</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45700</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45700</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45700</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45700</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45700</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45700</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45700</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45700</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45700</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45700</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45700</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45700</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45700</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45700</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45700</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45700</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45700</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45700</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45700</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45700</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45700</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45700</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45700</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45700</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45700</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45700</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45700</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45700</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45700</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45700</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45700</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45700</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45700</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45700</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45700</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45700</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45700</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45700</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45700</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45700</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45700</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45700</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5793-2025</t>
        </is>
      </c>
      <c r="B76" s="1" t="n">
        <v>45694</v>
      </c>
      <c r="C76" s="1" t="n">
        <v>45700</v>
      </c>
      <c r="D76" t="inlineStr">
        <is>
          <t>NORRBOTTENS LÄN</t>
        </is>
      </c>
      <c r="E76" t="inlineStr">
        <is>
          <t>GÄLLIVARE</t>
        </is>
      </c>
      <c r="F76" t="inlineStr">
        <is>
          <t>SCA</t>
        </is>
      </c>
      <c r="G76" t="n">
        <v>2.4</v>
      </c>
      <c r="H76" t="n">
        <v>0</v>
      </c>
      <c r="I76" t="n">
        <v>0</v>
      </c>
      <c r="J76" t="n">
        <v>2</v>
      </c>
      <c r="K76" t="n">
        <v>0</v>
      </c>
      <c r="L76" t="n">
        <v>0</v>
      </c>
      <c r="M76" t="n">
        <v>0</v>
      </c>
      <c r="N76" t="n">
        <v>0</v>
      </c>
      <c r="O76" t="n">
        <v>2</v>
      </c>
      <c r="P76" t="n">
        <v>0</v>
      </c>
      <c r="Q76" t="n">
        <v>2</v>
      </c>
      <c r="R76" s="2" t="inlineStr">
        <is>
          <t>Gammelgransskål
Garnlav</t>
        </is>
      </c>
      <c r="S76">
        <f>HYPERLINK("https://klasma.github.io/Logging_2523/artfynd/A 5793-2025 artfynd.xlsx", "A 5793-2025")</f>
        <v/>
      </c>
      <c r="T76">
        <f>HYPERLINK("https://klasma.github.io/Logging_2523/kartor/A 5793-2025 karta.png", "A 5793-2025")</f>
        <v/>
      </c>
      <c r="V76">
        <f>HYPERLINK("https://klasma.github.io/Logging_2523/klagomål/A 5793-2025 FSC-klagomål.docx", "A 5793-2025")</f>
        <v/>
      </c>
      <c r="W76">
        <f>HYPERLINK("https://klasma.github.io/Logging_2523/klagomålsmail/A 5793-2025 FSC-klagomål mail.docx", "A 5793-2025")</f>
        <v/>
      </c>
      <c r="X76">
        <f>HYPERLINK("https://klasma.github.io/Logging_2523/tillsyn/A 5793-2025 tillsynsbegäran.docx", "A 5793-2025")</f>
        <v/>
      </c>
      <c r="Y76">
        <f>HYPERLINK("https://klasma.github.io/Logging_2523/tillsynsmail/A 5793-2025 tillsynsbegäran mail.docx", "A 5793-2025")</f>
        <v/>
      </c>
    </row>
    <row r="77" ht="15" customHeight="1">
      <c r="A77" t="inlineStr">
        <is>
          <t>A 5728-2025</t>
        </is>
      </c>
      <c r="B77" s="1" t="n">
        <v>45694</v>
      </c>
      <c r="C77" s="1" t="n">
        <v>45700</v>
      </c>
      <c r="D77" t="inlineStr">
        <is>
          <t>NORRBOTTENS LÄN</t>
        </is>
      </c>
      <c r="E77" t="inlineStr">
        <is>
          <t>GÄLLIVARE</t>
        </is>
      </c>
      <c r="F77" t="inlineStr">
        <is>
          <t>SCA</t>
        </is>
      </c>
      <c r="G77" t="n">
        <v>13.1</v>
      </c>
      <c r="H77" t="n">
        <v>0</v>
      </c>
      <c r="I77" t="n">
        <v>0</v>
      </c>
      <c r="J77" t="n">
        <v>2</v>
      </c>
      <c r="K77" t="n">
        <v>0</v>
      </c>
      <c r="L77" t="n">
        <v>0</v>
      </c>
      <c r="M77" t="n">
        <v>0</v>
      </c>
      <c r="N77" t="n">
        <v>0</v>
      </c>
      <c r="O77" t="n">
        <v>2</v>
      </c>
      <c r="P77" t="n">
        <v>0</v>
      </c>
      <c r="Q77" t="n">
        <v>2</v>
      </c>
      <c r="R77" s="2" t="inlineStr">
        <is>
          <t>Garnlav
Rosenticka</t>
        </is>
      </c>
      <c r="S77">
        <f>HYPERLINK("https://klasma.github.io/Logging_2523/artfynd/A 5728-2025 artfynd.xlsx", "A 5728-2025")</f>
        <v/>
      </c>
      <c r="T77">
        <f>HYPERLINK("https://klasma.github.io/Logging_2523/kartor/A 5728-2025 karta.png", "A 5728-2025")</f>
        <v/>
      </c>
      <c r="V77">
        <f>HYPERLINK("https://klasma.github.io/Logging_2523/klagomål/A 5728-2025 FSC-klagomål.docx", "A 5728-2025")</f>
        <v/>
      </c>
      <c r="W77">
        <f>HYPERLINK("https://klasma.github.io/Logging_2523/klagomålsmail/A 5728-2025 FSC-klagomål mail.docx", "A 5728-2025")</f>
        <v/>
      </c>
      <c r="X77">
        <f>HYPERLINK("https://klasma.github.io/Logging_2523/tillsyn/A 5728-2025 tillsynsbegäran.docx", "A 5728-2025")</f>
        <v/>
      </c>
      <c r="Y77">
        <f>HYPERLINK("https://klasma.github.io/Logging_2523/tillsynsmail/A 5728-2025 tillsynsbegäran mail.docx", "A 5728-2025")</f>
        <v/>
      </c>
    </row>
    <row r="78" ht="15" customHeight="1">
      <c r="A78" t="inlineStr">
        <is>
          <t>A 28204-2019</t>
        </is>
      </c>
      <c r="B78" s="1" t="n">
        <v>43621</v>
      </c>
      <c r="C78" s="1" t="n">
        <v>45700</v>
      </c>
      <c r="D78" t="inlineStr">
        <is>
          <t>NORRBOTTENS LÄN</t>
        </is>
      </c>
      <c r="E78" t="inlineStr">
        <is>
          <t>GÄLLIVARE</t>
        </is>
      </c>
      <c r="F78" t="inlineStr">
        <is>
          <t>SCA</t>
        </is>
      </c>
      <c r="G78" t="n">
        <v>2.6</v>
      </c>
      <c r="H78" t="n">
        <v>0</v>
      </c>
      <c r="I78" t="n">
        <v>1</v>
      </c>
      <c r="J78" t="n">
        <v>0</v>
      </c>
      <c r="K78" t="n">
        <v>0</v>
      </c>
      <c r="L78" t="n">
        <v>0</v>
      </c>
      <c r="M78" t="n">
        <v>0</v>
      </c>
      <c r="N78" t="n">
        <v>0</v>
      </c>
      <c r="O78" t="n">
        <v>0</v>
      </c>
      <c r="P78" t="n">
        <v>0</v>
      </c>
      <c r="Q78" t="n">
        <v>1</v>
      </c>
      <c r="R78" s="2" t="inlineStr">
        <is>
          <t>Bollvitmossa</t>
        </is>
      </c>
      <c r="S78">
        <f>HYPERLINK("https://klasma.github.io/Logging_2523/artfynd/A 28204-2019 artfynd.xlsx", "A 28204-2019")</f>
        <v/>
      </c>
      <c r="T78">
        <f>HYPERLINK("https://klasma.github.io/Logging_2523/kartor/A 28204-2019 karta.png", "A 28204-2019")</f>
        <v/>
      </c>
      <c r="V78">
        <f>HYPERLINK("https://klasma.github.io/Logging_2523/klagomål/A 28204-2019 FSC-klagomål.docx", "A 28204-2019")</f>
        <v/>
      </c>
      <c r="W78">
        <f>HYPERLINK("https://klasma.github.io/Logging_2523/klagomålsmail/A 28204-2019 FSC-klagomål mail.docx", "A 28204-2019")</f>
        <v/>
      </c>
      <c r="X78">
        <f>HYPERLINK("https://klasma.github.io/Logging_2523/tillsyn/A 28204-2019 tillsynsbegäran.docx", "A 28204-2019")</f>
        <v/>
      </c>
      <c r="Y78">
        <f>HYPERLINK("https://klasma.github.io/Logging_2523/tillsynsmail/A 28204-2019 tillsynsbegäran mail.docx", "A 28204-2019")</f>
        <v/>
      </c>
    </row>
    <row r="79" ht="15" customHeight="1">
      <c r="A79" t="inlineStr">
        <is>
          <t>A 30693-2019</t>
        </is>
      </c>
      <c r="B79" s="1" t="n">
        <v>43636</v>
      </c>
      <c r="C79" s="1" t="n">
        <v>45700</v>
      </c>
      <c r="D79" t="inlineStr">
        <is>
          <t>NORRBOTTENS LÄN</t>
        </is>
      </c>
      <c r="E79" t="inlineStr">
        <is>
          <t>GÄLLIVARE</t>
        </is>
      </c>
      <c r="F79" t="inlineStr">
        <is>
          <t>Sveaskog</t>
        </is>
      </c>
      <c r="G79" t="n">
        <v>7.3</v>
      </c>
      <c r="H79" t="n">
        <v>1</v>
      </c>
      <c r="I79" t="n">
        <v>1</v>
      </c>
      <c r="J79" t="n">
        <v>0</v>
      </c>
      <c r="K79" t="n">
        <v>0</v>
      </c>
      <c r="L79" t="n">
        <v>0</v>
      </c>
      <c r="M79" t="n">
        <v>0</v>
      </c>
      <c r="N79" t="n">
        <v>0</v>
      </c>
      <c r="O79" t="n">
        <v>0</v>
      </c>
      <c r="P79" t="n">
        <v>0</v>
      </c>
      <c r="Q79" t="n">
        <v>1</v>
      </c>
      <c r="R79" s="2" t="inlineStr">
        <is>
          <t>Spindelblomster</t>
        </is>
      </c>
      <c r="S79">
        <f>HYPERLINK("https://klasma.github.io/Logging_2523/artfynd/A 30693-2019 artfynd.xlsx", "A 30693-2019")</f>
        <v/>
      </c>
      <c r="T79">
        <f>HYPERLINK("https://klasma.github.io/Logging_2523/kartor/A 30693-2019 karta.png", "A 30693-2019")</f>
        <v/>
      </c>
      <c r="V79">
        <f>HYPERLINK("https://klasma.github.io/Logging_2523/klagomål/A 30693-2019 FSC-klagomål.docx", "A 30693-2019")</f>
        <v/>
      </c>
      <c r="W79">
        <f>HYPERLINK("https://klasma.github.io/Logging_2523/klagomålsmail/A 30693-2019 FSC-klagomål mail.docx", "A 30693-2019")</f>
        <v/>
      </c>
      <c r="X79">
        <f>HYPERLINK("https://klasma.github.io/Logging_2523/tillsyn/A 30693-2019 tillsynsbegäran.docx", "A 30693-2019")</f>
        <v/>
      </c>
      <c r="Y79">
        <f>HYPERLINK("https://klasma.github.io/Logging_2523/tillsynsmail/A 30693-2019 tillsynsbegäran mail.docx", "A 30693-2019")</f>
        <v/>
      </c>
    </row>
    <row r="80" ht="15" customHeight="1">
      <c r="A80" t="inlineStr">
        <is>
          <t>A 41384-2019</t>
        </is>
      </c>
      <c r="B80" s="1" t="n">
        <v>43698</v>
      </c>
      <c r="C80" s="1" t="n">
        <v>45700</v>
      </c>
      <c r="D80" t="inlineStr">
        <is>
          <t>NORRBOTTENS LÄN</t>
        </is>
      </c>
      <c r="E80" t="inlineStr">
        <is>
          <t>GÄLLIVARE</t>
        </is>
      </c>
      <c r="F80" t="inlineStr">
        <is>
          <t>Sveaskog</t>
        </is>
      </c>
      <c r="G80" t="n">
        <v>3</v>
      </c>
      <c r="H80" t="n">
        <v>0</v>
      </c>
      <c r="I80" t="n">
        <v>0</v>
      </c>
      <c r="J80" t="n">
        <v>1</v>
      </c>
      <c r="K80" t="n">
        <v>0</v>
      </c>
      <c r="L80" t="n">
        <v>0</v>
      </c>
      <c r="M80" t="n">
        <v>0</v>
      </c>
      <c r="N80" t="n">
        <v>0</v>
      </c>
      <c r="O80" t="n">
        <v>1</v>
      </c>
      <c r="P80" t="n">
        <v>0</v>
      </c>
      <c r="Q80" t="n">
        <v>1</v>
      </c>
      <c r="R80" s="2" t="inlineStr">
        <is>
          <t>Kolflarnlav</t>
        </is>
      </c>
      <c r="S80">
        <f>HYPERLINK("https://klasma.github.io/Logging_2523/artfynd/A 41384-2019 artfynd.xlsx", "A 41384-2019")</f>
        <v/>
      </c>
      <c r="T80">
        <f>HYPERLINK("https://klasma.github.io/Logging_2523/kartor/A 41384-2019 karta.png", "A 41384-2019")</f>
        <v/>
      </c>
      <c r="V80">
        <f>HYPERLINK("https://klasma.github.io/Logging_2523/klagomål/A 41384-2019 FSC-klagomål.docx", "A 41384-2019")</f>
        <v/>
      </c>
      <c r="W80">
        <f>HYPERLINK("https://klasma.github.io/Logging_2523/klagomålsmail/A 41384-2019 FSC-klagomål mail.docx", "A 41384-2019")</f>
        <v/>
      </c>
      <c r="X80">
        <f>HYPERLINK("https://klasma.github.io/Logging_2523/tillsyn/A 41384-2019 tillsynsbegäran.docx", "A 41384-2019")</f>
        <v/>
      </c>
      <c r="Y80">
        <f>HYPERLINK("https://klasma.github.io/Logging_2523/tillsynsmail/A 41384-2019 tillsynsbegäran mail.docx", "A 41384-2019")</f>
        <v/>
      </c>
    </row>
    <row r="81" ht="15" customHeight="1">
      <c r="A81" t="inlineStr">
        <is>
          <t>A 15648-2020</t>
        </is>
      </c>
      <c r="B81" s="1" t="n">
        <v>43914</v>
      </c>
      <c r="C81" s="1" t="n">
        <v>45700</v>
      </c>
      <c r="D81" t="inlineStr">
        <is>
          <t>NORRBOTTENS LÄN</t>
        </is>
      </c>
      <c r="E81" t="inlineStr">
        <is>
          <t>GÄLLIVARE</t>
        </is>
      </c>
      <c r="F81" t="inlineStr">
        <is>
          <t>SCA</t>
        </is>
      </c>
      <c r="G81" t="n">
        <v>7</v>
      </c>
      <c r="H81" t="n">
        <v>1</v>
      </c>
      <c r="I81" t="n">
        <v>0</v>
      </c>
      <c r="J81" t="n">
        <v>1</v>
      </c>
      <c r="K81" t="n">
        <v>0</v>
      </c>
      <c r="L81" t="n">
        <v>0</v>
      </c>
      <c r="M81" t="n">
        <v>0</v>
      </c>
      <c r="N81" t="n">
        <v>0</v>
      </c>
      <c r="O81" t="n">
        <v>1</v>
      </c>
      <c r="P81" t="n">
        <v>0</v>
      </c>
      <c r="Q81" t="n">
        <v>1</v>
      </c>
      <c r="R81" s="2" t="inlineStr">
        <is>
          <t>Utter</t>
        </is>
      </c>
      <c r="S81">
        <f>HYPERLINK("https://klasma.github.io/Logging_2523/artfynd/A 15648-2020 artfynd.xlsx", "A 15648-2020")</f>
        <v/>
      </c>
      <c r="T81">
        <f>HYPERLINK("https://klasma.github.io/Logging_2523/kartor/A 15648-2020 karta.png", "A 15648-2020")</f>
        <v/>
      </c>
      <c r="V81">
        <f>HYPERLINK("https://klasma.github.io/Logging_2523/klagomål/A 15648-2020 FSC-klagomål.docx", "A 15648-2020")</f>
        <v/>
      </c>
      <c r="W81">
        <f>HYPERLINK("https://klasma.github.io/Logging_2523/klagomålsmail/A 15648-2020 FSC-klagomål mail.docx", "A 15648-2020")</f>
        <v/>
      </c>
      <c r="X81">
        <f>HYPERLINK("https://klasma.github.io/Logging_2523/tillsyn/A 15648-2020 tillsynsbegäran.docx", "A 15648-2020")</f>
        <v/>
      </c>
      <c r="Y81">
        <f>HYPERLINK("https://klasma.github.io/Logging_2523/tillsynsmail/A 15648-2020 tillsynsbegäran mail.docx", "A 15648-2020")</f>
        <v/>
      </c>
    </row>
    <row r="82" ht="15" customHeight="1">
      <c r="A82" t="inlineStr">
        <is>
          <t>A 52060-2020</t>
        </is>
      </c>
      <c r="B82" s="1" t="n">
        <v>44116</v>
      </c>
      <c r="C82" s="1" t="n">
        <v>45700</v>
      </c>
      <c r="D82" t="inlineStr">
        <is>
          <t>NORRBOTTENS LÄN</t>
        </is>
      </c>
      <c r="E82" t="inlineStr">
        <is>
          <t>GÄLLIVARE</t>
        </is>
      </c>
      <c r="F82" t="inlineStr">
        <is>
          <t>SCA</t>
        </is>
      </c>
      <c r="G82" t="n">
        <v>8.5</v>
      </c>
      <c r="H82" t="n">
        <v>0</v>
      </c>
      <c r="I82" t="n">
        <v>0</v>
      </c>
      <c r="J82" t="n">
        <v>0</v>
      </c>
      <c r="K82" t="n">
        <v>1</v>
      </c>
      <c r="L82" t="n">
        <v>0</v>
      </c>
      <c r="M82" t="n">
        <v>0</v>
      </c>
      <c r="N82" t="n">
        <v>0</v>
      </c>
      <c r="O82" t="n">
        <v>1</v>
      </c>
      <c r="P82" t="n">
        <v>1</v>
      </c>
      <c r="Q82" t="n">
        <v>1</v>
      </c>
      <c r="R82" s="2" t="inlineStr">
        <is>
          <t>Gräddporing</t>
        </is>
      </c>
      <c r="S82">
        <f>HYPERLINK("https://klasma.github.io/Logging_2523/artfynd/A 52060-2020 artfynd.xlsx", "A 52060-2020")</f>
        <v/>
      </c>
      <c r="T82">
        <f>HYPERLINK("https://klasma.github.io/Logging_2523/kartor/A 52060-2020 karta.png", "A 52060-2020")</f>
        <v/>
      </c>
      <c r="V82">
        <f>HYPERLINK("https://klasma.github.io/Logging_2523/klagomål/A 52060-2020 FSC-klagomål.docx", "A 52060-2020")</f>
        <v/>
      </c>
      <c r="W82">
        <f>HYPERLINK("https://klasma.github.io/Logging_2523/klagomålsmail/A 52060-2020 FSC-klagomål mail.docx", "A 52060-2020")</f>
        <v/>
      </c>
      <c r="X82">
        <f>HYPERLINK("https://klasma.github.io/Logging_2523/tillsyn/A 52060-2020 tillsynsbegäran.docx", "A 52060-2020")</f>
        <v/>
      </c>
      <c r="Y82">
        <f>HYPERLINK("https://klasma.github.io/Logging_2523/tillsynsmail/A 52060-2020 tillsynsbegäran mail.docx", "A 52060-2020")</f>
        <v/>
      </c>
    </row>
    <row r="83" ht="15" customHeight="1">
      <c r="A83" t="inlineStr">
        <is>
          <t>A 43092-2021</t>
        </is>
      </c>
      <c r="B83" s="1" t="n">
        <v>44431</v>
      </c>
      <c r="C83" s="1" t="n">
        <v>45700</v>
      </c>
      <c r="D83" t="inlineStr">
        <is>
          <t>NORRBOTTENS LÄN</t>
        </is>
      </c>
      <c r="E83" t="inlineStr">
        <is>
          <t>GÄLLIVARE</t>
        </is>
      </c>
      <c r="G83" t="n">
        <v>0.9</v>
      </c>
      <c r="H83" t="n">
        <v>1</v>
      </c>
      <c r="I83" t="n">
        <v>0</v>
      </c>
      <c r="J83" t="n">
        <v>1</v>
      </c>
      <c r="K83" t="n">
        <v>0</v>
      </c>
      <c r="L83" t="n">
        <v>0</v>
      </c>
      <c r="M83" t="n">
        <v>0</v>
      </c>
      <c r="N83" t="n">
        <v>0</v>
      </c>
      <c r="O83" t="n">
        <v>1</v>
      </c>
      <c r="P83" t="n">
        <v>0</v>
      </c>
      <c r="Q83" t="n">
        <v>1</v>
      </c>
      <c r="R83" s="2" t="inlineStr">
        <is>
          <t>Utter</t>
        </is>
      </c>
      <c r="S83">
        <f>HYPERLINK("https://klasma.github.io/Logging_2523/artfynd/A 43092-2021 artfynd.xlsx", "A 43092-2021")</f>
        <v/>
      </c>
      <c r="T83">
        <f>HYPERLINK("https://klasma.github.io/Logging_2523/kartor/A 43092-2021 karta.png", "A 43092-2021")</f>
        <v/>
      </c>
      <c r="V83">
        <f>HYPERLINK("https://klasma.github.io/Logging_2523/klagomål/A 43092-2021 FSC-klagomål.docx", "A 43092-2021")</f>
        <v/>
      </c>
      <c r="W83">
        <f>HYPERLINK("https://klasma.github.io/Logging_2523/klagomålsmail/A 43092-2021 FSC-klagomål mail.docx", "A 43092-2021")</f>
        <v/>
      </c>
      <c r="X83">
        <f>HYPERLINK("https://klasma.github.io/Logging_2523/tillsyn/A 43092-2021 tillsynsbegäran.docx", "A 43092-2021")</f>
        <v/>
      </c>
      <c r="Y83">
        <f>HYPERLINK("https://klasma.github.io/Logging_2523/tillsynsmail/A 43092-2021 tillsynsbegäran mail.docx", "A 43092-2021")</f>
        <v/>
      </c>
    </row>
    <row r="84" ht="15" customHeight="1">
      <c r="A84" t="inlineStr">
        <is>
          <t>A 45017-2021</t>
        </is>
      </c>
      <c r="B84" s="1" t="n">
        <v>44438</v>
      </c>
      <c r="C84" s="1" t="n">
        <v>45700</v>
      </c>
      <c r="D84" t="inlineStr">
        <is>
          <t>NORRBOTTENS LÄN</t>
        </is>
      </c>
      <c r="E84" t="inlineStr">
        <is>
          <t>GÄLLIVARE</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HYPERLINK("https://klasma.github.io/Logging_2523/artfynd/A 45017-2021 artfynd.xlsx", "A 45017-2021")</f>
        <v/>
      </c>
      <c r="T84">
        <f>HYPERLINK("https://klasma.github.io/Logging_2523/kartor/A 45017-2021 karta.png", "A 45017-2021")</f>
        <v/>
      </c>
      <c r="V84">
        <f>HYPERLINK("https://klasma.github.io/Logging_2523/klagomål/A 45017-2021 FSC-klagomål.docx", "A 45017-2021")</f>
        <v/>
      </c>
      <c r="W84">
        <f>HYPERLINK("https://klasma.github.io/Logging_2523/klagomålsmail/A 45017-2021 FSC-klagomål mail.docx", "A 45017-2021")</f>
        <v/>
      </c>
      <c r="X84">
        <f>HYPERLINK("https://klasma.github.io/Logging_2523/tillsyn/A 45017-2021 tillsynsbegäran.docx", "A 45017-2021")</f>
        <v/>
      </c>
      <c r="Y84">
        <f>HYPERLINK("https://klasma.github.io/Logging_2523/tillsynsmail/A 45017-2021 tillsynsbegäran mail.docx", "A 45017-2021")</f>
        <v/>
      </c>
    </row>
    <row r="85" ht="15" customHeight="1">
      <c r="A85" t="inlineStr">
        <is>
          <t>A 57535-2021</t>
        </is>
      </c>
      <c r="B85" s="1" t="n">
        <v>44483</v>
      </c>
      <c r="C85" s="1" t="n">
        <v>45700</v>
      </c>
      <c r="D85" t="inlineStr">
        <is>
          <t>NORRBOTTENS LÄN</t>
        </is>
      </c>
      <c r="E85" t="inlineStr">
        <is>
          <t>GÄLLIVARE</t>
        </is>
      </c>
      <c r="G85" t="n">
        <v>20.6</v>
      </c>
      <c r="H85" t="n">
        <v>1</v>
      </c>
      <c r="I85" t="n">
        <v>0</v>
      </c>
      <c r="J85" t="n">
        <v>0</v>
      </c>
      <c r="K85" t="n">
        <v>0</v>
      </c>
      <c r="L85" t="n">
        <v>0</v>
      </c>
      <c r="M85" t="n">
        <v>0</v>
      </c>
      <c r="N85" t="n">
        <v>0</v>
      </c>
      <c r="O85" t="n">
        <v>0</v>
      </c>
      <c r="P85" t="n">
        <v>0</v>
      </c>
      <c r="Q85" t="n">
        <v>1</v>
      </c>
      <c r="R85" s="2" t="inlineStr">
        <is>
          <t>Revlummer</t>
        </is>
      </c>
      <c r="S85">
        <f>HYPERLINK("https://klasma.github.io/Logging_2523/artfynd/A 57535-2021 artfynd.xlsx", "A 57535-2021")</f>
        <v/>
      </c>
      <c r="T85">
        <f>HYPERLINK("https://klasma.github.io/Logging_2523/kartor/A 57535-2021 karta.png", "A 57535-2021")</f>
        <v/>
      </c>
      <c r="V85">
        <f>HYPERLINK("https://klasma.github.io/Logging_2523/klagomål/A 57535-2021 FSC-klagomål.docx", "A 57535-2021")</f>
        <v/>
      </c>
      <c r="W85">
        <f>HYPERLINK("https://klasma.github.io/Logging_2523/klagomålsmail/A 57535-2021 FSC-klagomål mail.docx", "A 57535-2021")</f>
        <v/>
      </c>
      <c r="X85">
        <f>HYPERLINK("https://klasma.github.io/Logging_2523/tillsyn/A 57535-2021 tillsynsbegäran.docx", "A 57535-2021")</f>
        <v/>
      </c>
      <c r="Y85">
        <f>HYPERLINK("https://klasma.github.io/Logging_2523/tillsynsmail/A 57535-2021 tillsynsbegäran mail.docx", "A 57535-2021")</f>
        <v/>
      </c>
    </row>
    <row r="86" ht="15" customHeight="1">
      <c r="A86" t="inlineStr">
        <is>
          <t>A 49188-2022</t>
        </is>
      </c>
      <c r="B86" s="1" t="n">
        <v>44860</v>
      </c>
      <c r="C86" s="1" t="n">
        <v>45700</v>
      </c>
      <c r="D86" t="inlineStr">
        <is>
          <t>NORRBOTTENS LÄN</t>
        </is>
      </c>
      <c r="E86" t="inlineStr">
        <is>
          <t>GÄLLIVARE</t>
        </is>
      </c>
      <c r="F86" t="inlineStr">
        <is>
          <t>SCA</t>
        </is>
      </c>
      <c r="G86" t="n">
        <v>5.4</v>
      </c>
      <c r="H86" t="n">
        <v>0</v>
      </c>
      <c r="I86" t="n">
        <v>1</v>
      </c>
      <c r="J86" t="n">
        <v>0</v>
      </c>
      <c r="K86" t="n">
        <v>0</v>
      </c>
      <c r="L86" t="n">
        <v>0</v>
      </c>
      <c r="M86" t="n">
        <v>0</v>
      </c>
      <c r="N86" t="n">
        <v>0</v>
      </c>
      <c r="O86" t="n">
        <v>0</v>
      </c>
      <c r="P86" t="n">
        <v>0</v>
      </c>
      <c r="Q86" t="n">
        <v>1</v>
      </c>
      <c r="R86" s="2" t="inlineStr">
        <is>
          <t>Dropptaggsvamp</t>
        </is>
      </c>
      <c r="S86">
        <f>HYPERLINK("https://klasma.github.io/Logging_2523/artfynd/A 49188-2022 artfynd.xlsx", "A 49188-2022")</f>
        <v/>
      </c>
      <c r="T86">
        <f>HYPERLINK("https://klasma.github.io/Logging_2523/kartor/A 49188-2022 karta.png", "A 49188-2022")</f>
        <v/>
      </c>
      <c r="V86">
        <f>HYPERLINK("https://klasma.github.io/Logging_2523/klagomål/A 49188-2022 FSC-klagomål.docx", "A 49188-2022")</f>
        <v/>
      </c>
      <c r="W86">
        <f>HYPERLINK("https://klasma.github.io/Logging_2523/klagomålsmail/A 49188-2022 FSC-klagomål mail.docx", "A 49188-2022")</f>
        <v/>
      </c>
      <c r="X86">
        <f>HYPERLINK("https://klasma.github.io/Logging_2523/tillsyn/A 49188-2022 tillsynsbegäran.docx", "A 49188-2022")</f>
        <v/>
      </c>
      <c r="Y86">
        <f>HYPERLINK("https://klasma.github.io/Logging_2523/tillsynsmail/A 49188-2022 tillsynsbegäran mail.docx", "A 49188-2022")</f>
        <v/>
      </c>
    </row>
    <row r="87" ht="15" customHeight="1">
      <c r="A87" t="inlineStr">
        <is>
          <t>A 27336-2023</t>
        </is>
      </c>
      <c r="B87" s="1" t="n">
        <v>45096</v>
      </c>
      <c r="C87" s="1" t="n">
        <v>45700</v>
      </c>
      <c r="D87" t="inlineStr">
        <is>
          <t>NORRBOTTENS LÄN</t>
        </is>
      </c>
      <c r="E87" t="inlineStr">
        <is>
          <t>GÄLLIVARE</t>
        </is>
      </c>
      <c r="G87" t="n">
        <v>1.8</v>
      </c>
      <c r="H87" t="n">
        <v>0</v>
      </c>
      <c r="I87" t="n">
        <v>1</v>
      </c>
      <c r="J87" t="n">
        <v>0</v>
      </c>
      <c r="K87" t="n">
        <v>0</v>
      </c>
      <c r="L87" t="n">
        <v>0</v>
      </c>
      <c r="M87" t="n">
        <v>0</v>
      </c>
      <c r="N87" t="n">
        <v>0</v>
      </c>
      <c r="O87" t="n">
        <v>0</v>
      </c>
      <c r="P87" t="n">
        <v>0</v>
      </c>
      <c r="Q87" t="n">
        <v>1</v>
      </c>
      <c r="R87" s="2" t="inlineStr">
        <is>
          <t>Dropptaggsvamp</t>
        </is>
      </c>
      <c r="S87">
        <f>HYPERLINK("https://klasma.github.io/Logging_2523/artfynd/A 27336-2023 artfynd.xlsx", "A 27336-2023")</f>
        <v/>
      </c>
      <c r="T87">
        <f>HYPERLINK("https://klasma.github.io/Logging_2523/kartor/A 27336-2023 karta.png", "A 27336-2023")</f>
        <v/>
      </c>
      <c r="V87">
        <f>HYPERLINK("https://klasma.github.io/Logging_2523/klagomål/A 27336-2023 FSC-klagomål.docx", "A 27336-2023")</f>
        <v/>
      </c>
      <c r="W87">
        <f>HYPERLINK("https://klasma.github.io/Logging_2523/klagomålsmail/A 27336-2023 FSC-klagomål mail.docx", "A 27336-2023")</f>
        <v/>
      </c>
      <c r="X87">
        <f>HYPERLINK("https://klasma.github.io/Logging_2523/tillsyn/A 27336-2023 tillsynsbegäran.docx", "A 27336-2023")</f>
        <v/>
      </c>
      <c r="Y87">
        <f>HYPERLINK("https://klasma.github.io/Logging_2523/tillsynsmail/A 27336-2023 tillsynsbegäran mail.docx", "A 27336-2023")</f>
        <v/>
      </c>
    </row>
    <row r="88" ht="15" customHeight="1">
      <c r="A88" t="inlineStr">
        <is>
          <t>A 30746-2023</t>
        </is>
      </c>
      <c r="B88" s="1" t="n">
        <v>45103</v>
      </c>
      <c r="C88" s="1" t="n">
        <v>45700</v>
      </c>
      <c r="D88" t="inlineStr">
        <is>
          <t>NORRBOTTENS LÄN</t>
        </is>
      </c>
      <c r="E88" t="inlineStr">
        <is>
          <t>GÄLLIVARE</t>
        </is>
      </c>
      <c r="F88" t="inlineStr">
        <is>
          <t>Allmännings- och besparingsskogar</t>
        </is>
      </c>
      <c r="G88" t="n">
        <v>13.9</v>
      </c>
      <c r="H88" t="n">
        <v>0</v>
      </c>
      <c r="I88" t="n">
        <v>0</v>
      </c>
      <c r="J88" t="n">
        <v>1</v>
      </c>
      <c r="K88" t="n">
        <v>0</v>
      </c>
      <c r="L88" t="n">
        <v>0</v>
      </c>
      <c r="M88" t="n">
        <v>0</v>
      </c>
      <c r="N88" t="n">
        <v>0</v>
      </c>
      <c r="O88" t="n">
        <v>1</v>
      </c>
      <c r="P88" t="n">
        <v>0</v>
      </c>
      <c r="Q88" t="n">
        <v>1</v>
      </c>
      <c r="R88" s="2" t="inlineStr">
        <is>
          <t>Mörk kolflarnlav</t>
        </is>
      </c>
      <c r="S88">
        <f>HYPERLINK("https://klasma.github.io/Logging_2523/artfynd/A 30746-2023 artfynd.xlsx", "A 30746-2023")</f>
        <v/>
      </c>
      <c r="T88">
        <f>HYPERLINK("https://klasma.github.io/Logging_2523/kartor/A 30746-2023 karta.png", "A 30746-2023")</f>
        <v/>
      </c>
      <c r="V88">
        <f>HYPERLINK("https://klasma.github.io/Logging_2523/klagomål/A 30746-2023 FSC-klagomål.docx", "A 30746-2023")</f>
        <v/>
      </c>
      <c r="W88">
        <f>HYPERLINK("https://klasma.github.io/Logging_2523/klagomålsmail/A 30746-2023 FSC-klagomål mail.docx", "A 30746-2023")</f>
        <v/>
      </c>
      <c r="X88">
        <f>HYPERLINK("https://klasma.github.io/Logging_2523/tillsyn/A 30746-2023 tillsynsbegäran.docx", "A 30746-2023")</f>
        <v/>
      </c>
      <c r="Y88">
        <f>HYPERLINK("https://klasma.github.io/Logging_2523/tillsynsmail/A 30746-2023 tillsynsbegäran mail.docx", "A 30746-2023")</f>
        <v/>
      </c>
    </row>
    <row r="89" ht="15" customHeight="1">
      <c r="A89" t="inlineStr">
        <is>
          <t>A 33388-2023</t>
        </is>
      </c>
      <c r="B89" s="1" t="n">
        <v>45117</v>
      </c>
      <c r="C89" s="1" t="n">
        <v>45700</v>
      </c>
      <c r="D89" t="inlineStr">
        <is>
          <t>NORRBOTTENS LÄN</t>
        </is>
      </c>
      <c r="E89" t="inlineStr">
        <is>
          <t>GÄLLIVARE</t>
        </is>
      </c>
      <c r="F89" t="inlineStr">
        <is>
          <t>Allmännings- och besparingsskogar</t>
        </is>
      </c>
      <c r="G89" t="n">
        <v>3.8</v>
      </c>
      <c r="H89" t="n">
        <v>0</v>
      </c>
      <c r="I89" t="n">
        <v>0</v>
      </c>
      <c r="J89" t="n">
        <v>1</v>
      </c>
      <c r="K89" t="n">
        <v>0</v>
      </c>
      <c r="L89" t="n">
        <v>0</v>
      </c>
      <c r="M89" t="n">
        <v>0</v>
      </c>
      <c r="N89" t="n">
        <v>0</v>
      </c>
      <c r="O89" t="n">
        <v>1</v>
      </c>
      <c r="P89" t="n">
        <v>0</v>
      </c>
      <c r="Q89" t="n">
        <v>1</v>
      </c>
      <c r="R89" s="2" t="inlineStr">
        <is>
          <t>Kolflarnlav</t>
        </is>
      </c>
      <c r="S89">
        <f>HYPERLINK("https://klasma.github.io/Logging_2523/artfynd/A 33388-2023 artfynd.xlsx", "A 33388-2023")</f>
        <v/>
      </c>
      <c r="T89">
        <f>HYPERLINK("https://klasma.github.io/Logging_2523/kartor/A 33388-2023 karta.png", "A 33388-2023")</f>
        <v/>
      </c>
      <c r="V89">
        <f>HYPERLINK("https://klasma.github.io/Logging_2523/klagomål/A 33388-2023 FSC-klagomål.docx", "A 33388-2023")</f>
        <v/>
      </c>
      <c r="W89">
        <f>HYPERLINK("https://klasma.github.io/Logging_2523/klagomålsmail/A 33388-2023 FSC-klagomål mail.docx", "A 33388-2023")</f>
        <v/>
      </c>
      <c r="X89">
        <f>HYPERLINK("https://klasma.github.io/Logging_2523/tillsyn/A 33388-2023 tillsynsbegäran.docx", "A 33388-2023")</f>
        <v/>
      </c>
      <c r="Y89">
        <f>HYPERLINK("https://klasma.github.io/Logging_2523/tillsynsmail/A 33388-2023 tillsynsbegäran mail.docx", "A 33388-2023")</f>
        <v/>
      </c>
    </row>
    <row r="90" ht="15" customHeight="1">
      <c r="A90" t="inlineStr">
        <is>
          <t>A 40815-2023</t>
        </is>
      </c>
      <c r="B90" s="1" t="n">
        <v>45171</v>
      </c>
      <c r="C90" s="1" t="n">
        <v>45700</v>
      </c>
      <c r="D90" t="inlineStr">
        <is>
          <t>NORRBOTTENS LÄN</t>
        </is>
      </c>
      <c r="E90" t="inlineStr">
        <is>
          <t>GÄLLIVARE</t>
        </is>
      </c>
      <c r="F90" t="inlineStr">
        <is>
          <t>Sveaskog</t>
        </is>
      </c>
      <c r="G90" t="n">
        <v>31.4</v>
      </c>
      <c r="H90" t="n">
        <v>0</v>
      </c>
      <c r="I90" t="n">
        <v>0</v>
      </c>
      <c r="J90" t="n">
        <v>1</v>
      </c>
      <c r="K90" t="n">
        <v>0</v>
      </c>
      <c r="L90" t="n">
        <v>0</v>
      </c>
      <c r="M90" t="n">
        <v>0</v>
      </c>
      <c r="N90" t="n">
        <v>0</v>
      </c>
      <c r="O90" t="n">
        <v>1</v>
      </c>
      <c r="P90" t="n">
        <v>0</v>
      </c>
      <c r="Q90" t="n">
        <v>1</v>
      </c>
      <c r="R90" s="2" t="inlineStr">
        <is>
          <t>Talltaggsvamp</t>
        </is>
      </c>
      <c r="S90">
        <f>HYPERLINK("https://klasma.github.io/Logging_2523/artfynd/A 40815-2023 artfynd.xlsx", "A 40815-2023")</f>
        <v/>
      </c>
      <c r="T90">
        <f>HYPERLINK("https://klasma.github.io/Logging_2523/kartor/A 40815-2023 karta.png", "A 40815-2023")</f>
        <v/>
      </c>
      <c r="V90">
        <f>HYPERLINK("https://klasma.github.io/Logging_2523/klagomål/A 40815-2023 FSC-klagomål.docx", "A 40815-2023")</f>
        <v/>
      </c>
      <c r="W90">
        <f>HYPERLINK("https://klasma.github.io/Logging_2523/klagomålsmail/A 40815-2023 FSC-klagomål mail.docx", "A 40815-2023")</f>
        <v/>
      </c>
      <c r="X90">
        <f>HYPERLINK("https://klasma.github.io/Logging_2523/tillsyn/A 40815-2023 tillsynsbegäran.docx", "A 40815-2023")</f>
        <v/>
      </c>
      <c r="Y90">
        <f>HYPERLINK("https://klasma.github.io/Logging_2523/tillsynsmail/A 40815-2023 tillsynsbegäran mail.docx", "A 40815-2023")</f>
        <v/>
      </c>
    </row>
    <row r="91" ht="15" customHeight="1">
      <c r="A91" t="inlineStr">
        <is>
          <t>A 43323-2023</t>
        </is>
      </c>
      <c r="B91" s="1" t="n">
        <v>45183</v>
      </c>
      <c r="C91" s="1" t="n">
        <v>45700</v>
      </c>
      <c r="D91" t="inlineStr">
        <is>
          <t>NORRBOTTENS LÄN</t>
        </is>
      </c>
      <c r="E91" t="inlineStr">
        <is>
          <t>GÄLLIVARE</t>
        </is>
      </c>
      <c r="F91" t="inlineStr">
        <is>
          <t>Sveaskog</t>
        </is>
      </c>
      <c r="G91" t="n">
        <v>30.4</v>
      </c>
      <c r="H91" t="n">
        <v>1</v>
      </c>
      <c r="I91" t="n">
        <v>1</v>
      </c>
      <c r="J91" t="n">
        <v>0</v>
      </c>
      <c r="K91" t="n">
        <v>0</v>
      </c>
      <c r="L91" t="n">
        <v>0</v>
      </c>
      <c r="M91" t="n">
        <v>0</v>
      </c>
      <c r="N91" t="n">
        <v>0</v>
      </c>
      <c r="O91" t="n">
        <v>0</v>
      </c>
      <c r="P91" t="n">
        <v>0</v>
      </c>
      <c r="Q91" t="n">
        <v>1</v>
      </c>
      <c r="R91" s="2" t="inlineStr">
        <is>
          <t>Plattlummer</t>
        </is>
      </c>
      <c r="S91">
        <f>HYPERLINK("https://klasma.github.io/Logging_2523/artfynd/A 43323-2023 artfynd.xlsx", "A 43323-2023")</f>
        <v/>
      </c>
      <c r="T91">
        <f>HYPERLINK("https://klasma.github.io/Logging_2523/kartor/A 43323-2023 karta.png", "A 43323-2023")</f>
        <v/>
      </c>
      <c r="V91">
        <f>HYPERLINK("https://klasma.github.io/Logging_2523/klagomål/A 43323-2023 FSC-klagomål.docx", "A 43323-2023")</f>
        <v/>
      </c>
      <c r="W91">
        <f>HYPERLINK("https://klasma.github.io/Logging_2523/klagomålsmail/A 43323-2023 FSC-klagomål mail.docx", "A 43323-2023")</f>
        <v/>
      </c>
      <c r="X91">
        <f>HYPERLINK("https://klasma.github.io/Logging_2523/tillsyn/A 43323-2023 tillsynsbegäran.docx", "A 43323-2023")</f>
        <v/>
      </c>
      <c r="Y91">
        <f>HYPERLINK("https://klasma.github.io/Logging_2523/tillsynsmail/A 43323-2023 tillsynsbegäran mail.docx", "A 43323-2023")</f>
        <v/>
      </c>
    </row>
    <row r="92" ht="15" customHeight="1">
      <c r="A92" t="inlineStr">
        <is>
          <t>A 46853-2023</t>
        </is>
      </c>
      <c r="B92" s="1" t="n">
        <v>45199</v>
      </c>
      <c r="C92" s="1" t="n">
        <v>45700</v>
      </c>
      <c r="D92" t="inlineStr">
        <is>
          <t>NORRBOTTENS LÄN</t>
        </is>
      </c>
      <c r="E92" t="inlineStr">
        <is>
          <t>GÄLLIVARE</t>
        </is>
      </c>
      <c r="F92" t="inlineStr">
        <is>
          <t>SCA</t>
        </is>
      </c>
      <c r="G92" t="n">
        <v>6.7</v>
      </c>
      <c r="H92" t="n">
        <v>1</v>
      </c>
      <c r="I92" t="n">
        <v>0</v>
      </c>
      <c r="J92" t="n">
        <v>1</v>
      </c>
      <c r="K92" t="n">
        <v>0</v>
      </c>
      <c r="L92" t="n">
        <v>0</v>
      </c>
      <c r="M92" t="n">
        <v>0</v>
      </c>
      <c r="N92" t="n">
        <v>0</v>
      </c>
      <c r="O92" t="n">
        <v>1</v>
      </c>
      <c r="P92" t="n">
        <v>0</v>
      </c>
      <c r="Q92" t="n">
        <v>1</v>
      </c>
      <c r="R92" s="2" t="inlineStr">
        <is>
          <t>Utter</t>
        </is>
      </c>
      <c r="S92">
        <f>HYPERLINK("https://klasma.github.io/Logging_2523/artfynd/A 46853-2023 artfynd.xlsx", "A 46853-2023")</f>
        <v/>
      </c>
      <c r="T92">
        <f>HYPERLINK("https://klasma.github.io/Logging_2523/kartor/A 46853-2023 karta.png", "A 46853-2023")</f>
        <v/>
      </c>
      <c r="V92">
        <f>HYPERLINK("https://klasma.github.io/Logging_2523/klagomål/A 46853-2023 FSC-klagomål.docx", "A 46853-2023")</f>
        <v/>
      </c>
      <c r="W92">
        <f>HYPERLINK("https://klasma.github.io/Logging_2523/klagomålsmail/A 46853-2023 FSC-klagomål mail.docx", "A 46853-2023")</f>
        <v/>
      </c>
      <c r="X92">
        <f>HYPERLINK("https://klasma.github.io/Logging_2523/tillsyn/A 46853-2023 tillsynsbegäran.docx", "A 46853-2023")</f>
        <v/>
      </c>
      <c r="Y92">
        <f>HYPERLINK("https://klasma.github.io/Logging_2523/tillsynsmail/A 46853-2023 tillsynsbegäran mail.docx", "A 46853-2023")</f>
        <v/>
      </c>
    </row>
    <row r="93" ht="15" customHeight="1">
      <c r="A93" t="inlineStr">
        <is>
          <t>A 51389-2023</t>
        </is>
      </c>
      <c r="B93" s="1" t="n">
        <v>45213</v>
      </c>
      <c r="C93" s="1" t="n">
        <v>45700</v>
      </c>
      <c r="D93" t="inlineStr">
        <is>
          <t>NORRBOTTENS LÄN</t>
        </is>
      </c>
      <c r="E93" t="inlineStr">
        <is>
          <t>GÄLLIVARE</t>
        </is>
      </c>
      <c r="G93" t="n">
        <v>4.5</v>
      </c>
      <c r="H93" t="n">
        <v>1</v>
      </c>
      <c r="I93" t="n">
        <v>0</v>
      </c>
      <c r="J93" t="n">
        <v>1</v>
      </c>
      <c r="K93" t="n">
        <v>0</v>
      </c>
      <c r="L93" t="n">
        <v>0</v>
      </c>
      <c r="M93" t="n">
        <v>0</v>
      </c>
      <c r="N93" t="n">
        <v>0</v>
      </c>
      <c r="O93" t="n">
        <v>1</v>
      </c>
      <c r="P93" t="n">
        <v>0</v>
      </c>
      <c r="Q93" t="n">
        <v>1</v>
      </c>
      <c r="R93" s="2" t="inlineStr">
        <is>
          <t>Spillkråka</t>
        </is>
      </c>
      <c r="S93">
        <f>HYPERLINK("https://klasma.github.io/Logging_2523/artfynd/A 51389-2023 artfynd.xlsx", "A 51389-2023")</f>
        <v/>
      </c>
      <c r="T93">
        <f>HYPERLINK("https://klasma.github.io/Logging_2523/kartor/A 51389-2023 karta.png", "A 51389-2023")</f>
        <v/>
      </c>
      <c r="V93">
        <f>HYPERLINK("https://klasma.github.io/Logging_2523/klagomål/A 51389-2023 FSC-klagomål.docx", "A 51389-2023")</f>
        <v/>
      </c>
      <c r="W93">
        <f>HYPERLINK("https://klasma.github.io/Logging_2523/klagomålsmail/A 51389-2023 FSC-klagomål mail.docx", "A 51389-2023")</f>
        <v/>
      </c>
      <c r="X93">
        <f>HYPERLINK("https://klasma.github.io/Logging_2523/tillsyn/A 51389-2023 tillsynsbegäran.docx", "A 51389-2023")</f>
        <v/>
      </c>
      <c r="Y93">
        <f>HYPERLINK("https://klasma.github.io/Logging_2523/tillsynsmail/A 51389-2023 tillsynsbegäran mail.docx", "A 51389-2023")</f>
        <v/>
      </c>
      <c r="Z93">
        <f>HYPERLINK("https://klasma.github.io/Logging_2523/fåglar/A 51389-2023 prioriterade fågelarter.docx", "A 51389-2023")</f>
        <v/>
      </c>
    </row>
    <row r="94" ht="15" customHeight="1">
      <c r="A94" t="inlineStr">
        <is>
          <t>A 1625-2024</t>
        </is>
      </c>
      <c r="B94" s="1" t="n">
        <v>45306</v>
      </c>
      <c r="C94" s="1" t="n">
        <v>45700</v>
      </c>
      <c r="D94" t="inlineStr">
        <is>
          <t>NORRBOTTENS LÄN</t>
        </is>
      </c>
      <c r="E94" t="inlineStr">
        <is>
          <t>GÄLLIVARE</t>
        </is>
      </c>
      <c r="F94" t="inlineStr">
        <is>
          <t>Sveaskog</t>
        </is>
      </c>
      <c r="G94" t="n">
        <v>6.6</v>
      </c>
      <c r="H94" t="n">
        <v>0</v>
      </c>
      <c r="I94" t="n">
        <v>0</v>
      </c>
      <c r="J94" t="n">
        <v>1</v>
      </c>
      <c r="K94" t="n">
        <v>0</v>
      </c>
      <c r="L94" t="n">
        <v>0</v>
      </c>
      <c r="M94" t="n">
        <v>0</v>
      </c>
      <c r="N94" t="n">
        <v>0</v>
      </c>
      <c r="O94" t="n">
        <v>1</v>
      </c>
      <c r="P94" t="n">
        <v>0</v>
      </c>
      <c r="Q94" t="n">
        <v>1</v>
      </c>
      <c r="R94" s="2" t="inlineStr">
        <is>
          <t>Orange taggsvamp</t>
        </is>
      </c>
      <c r="S94">
        <f>HYPERLINK("https://klasma.github.io/Logging_2523/artfynd/A 1625-2024 artfynd.xlsx", "A 1625-2024")</f>
        <v/>
      </c>
      <c r="T94">
        <f>HYPERLINK("https://klasma.github.io/Logging_2523/kartor/A 1625-2024 karta.png", "A 1625-2024")</f>
        <v/>
      </c>
      <c r="V94">
        <f>HYPERLINK("https://klasma.github.io/Logging_2523/klagomål/A 1625-2024 FSC-klagomål.docx", "A 1625-2024")</f>
        <v/>
      </c>
      <c r="W94">
        <f>HYPERLINK("https://klasma.github.io/Logging_2523/klagomålsmail/A 1625-2024 FSC-klagomål mail.docx", "A 1625-2024")</f>
        <v/>
      </c>
      <c r="X94">
        <f>HYPERLINK("https://klasma.github.io/Logging_2523/tillsyn/A 1625-2024 tillsynsbegäran.docx", "A 1625-2024")</f>
        <v/>
      </c>
      <c r="Y94">
        <f>HYPERLINK("https://klasma.github.io/Logging_2523/tillsynsmail/A 1625-2024 tillsynsbegäran mail.docx", "A 1625-2024")</f>
        <v/>
      </c>
    </row>
    <row r="95" ht="15" customHeight="1">
      <c r="A95" t="inlineStr">
        <is>
          <t>A 12224-2024</t>
        </is>
      </c>
      <c r="B95" s="1" t="n">
        <v>45378</v>
      </c>
      <c r="C95" s="1" t="n">
        <v>45700</v>
      </c>
      <c r="D95" t="inlineStr">
        <is>
          <t>NORRBOTTENS LÄN</t>
        </is>
      </c>
      <c r="E95" t="inlineStr">
        <is>
          <t>GÄLLIVARE</t>
        </is>
      </c>
      <c r="F95" t="inlineStr">
        <is>
          <t>Sveaskog</t>
        </is>
      </c>
      <c r="G95" t="n">
        <v>28.6</v>
      </c>
      <c r="H95" t="n">
        <v>0</v>
      </c>
      <c r="I95" t="n">
        <v>0</v>
      </c>
      <c r="J95" t="n">
        <v>1</v>
      </c>
      <c r="K95" t="n">
        <v>0</v>
      </c>
      <c r="L95" t="n">
        <v>0</v>
      </c>
      <c r="M95" t="n">
        <v>0</v>
      </c>
      <c r="N95" t="n">
        <v>0</v>
      </c>
      <c r="O95" t="n">
        <v>1</v>
      </c>
      <c r="P95" t="n">
        <v>0</v>
      </c>
      <c r="Q95" t="n">
        <v>1</v>
      </c>
      <c r="R95" s="2" t="inlineStr">
        <is>
          <t>Garnlav</t>
        </is>
      </c>
      <c r="S95">
        <f>HYPERLINK("https://klasma.github.io/Logging_2523/artfynd/A 12224-2024 artfynd.xlsx", "A 12224-2024")</f>
        <v/>
      </c>
      <c r="T95">
        <f>HYPERLINK("https://klasma.github.io/Logging_2523/kartor/A 12224-2024 karta.png", "A 12224-2024")</f>
        <v/>
      </c>
      <c r="V95">
        <f>HYPERLINK("https://klasma.github.io/Logging_2523/klagomål/A 12224-2024 FSC-klagomål.docx", "A 12224-2024")</f>
        <v/>
      </c>
      <c r="W95">
        <f>HYPERLINK("https://klasma.github.io/Logging_2523/klagomålsmail/A 12224-2024 FSC-klagomål mail.docx", "A 12224-2024")</f>
        <v/>
      </c>
      <c r="X95">
        <f>HYPERLINK("https://klasma.github.io/Logging_2523/tillsyn/A 12224-2024 tillsynsbegäran.docx", "A 12224-2024")</f>
        <v/>
      </c>
      <c r="Y95">
        <f>HYPERLINK("https://klasma.github.io/Logging_2523/tillsynsmail/A 12224-2024 tillsynsbegäran mail.docx", "A 12224-2024")</f>
        <v/>
      </c>
    </row>
    <row r="96" ht="15" customHeight="1">
      <c r="A96" t="inlineStr">
        <is>
          <t>A 12522-2024</t>
        </is>
      </c>
      <c r="B96" s="1" t="n">
        <v>45379</v>
      </c>
      <c r="C96" s="1" t="n">
        <v>45700</v>
      </c>
      <c r="D96" t="inlineStr">
        <is>
          <t>NORRBOTTENS LÄN</t>
        </is>
      </c>
      <c r="E96" t="inlineStr">
        <is>
          <t>GÄLLIVARE</t>
        </is>
      </c>
      <c r="F96" t="inlineStr">
        <is>
          <t>Sveaskog</t>
        </is>
      </c>
      <c r="G96" t="n">
        <v>27.8</v>
      </c>
      <c r="H96" t="n">
        <v>1</v>
      </c>
      <c r="I96" t="n">
        <v>0</v>
      </c>
      <c r="J96" t="n">
        <v>0</v>
      </c>
      <c r="K96" t="n">
        <v>1</v>
      </c>
      <c r="L96" t="n">
        <v>0</v>
      </c>
      <c r="M96" t="n">
        <v>0</v>
      </c>
      <c r="N96" t="n">
        <v>0</v>
      </c>
      <c r="O96" t="n">
        <v>1</v>
      </c>
      <c r="P96" t="n">
        <v>1</v>
      </c>
      <c r="Q96" t="n">
        <v>1</v>
      </c>
      <c r="R96" s="2" t="inlineStr">
        <is>
          <t>Doftticka</t>
        </is>
      </c>
      <c r="S96">
        <f>HYPERLINK("https://klasma.github.io/Logging_2523/artfynd/A 12522-2024 artfynd.xlsx", "A 12522-2024")</f>
        <v/>
      </c>
      <c r="T96">
        <f>HYPERLINK("https://klasma.github.io/Logging_2523/kartor/A 12522-2024 karta.png", "A 12522-2024")</f>
        <v/>
      </c>
      <c r="V96">
        <f>HYPERLINK("https://klasma.github.io/Logging_2523/klagomål/A 12522-2024 FSC-klagomål.docx", "A 12522-2024")</f>
        <v/>
      </c>
      <c r="W96">
        <f>HYPERLINK("https://klasma.github.io/Logging_2523/klagomålsmail/A 12522-2024 FSC-klagomål mail.docx", "A 12522-2024")</f>
        <v/>
      </c>
      <c r="X96">
        <f>HYPERLINK("https://klasma.github.io/Logging_2523/tillsyn/A 12522-2024 tillsynsbegäran.docx", "A 12522-2024")</f>
        <v/>
      </c>
      <c r="Y96">
        <f>HYPERLINK("https://klasma.github.io/Logging_2523/tillsynsmail/A 12522-2024 tillsynsbegäran mail.docx", "A 12522-2024")</f>
        <v/>
      </c>
    </row>
    <row r="97" ht="15" customHeight="1">
      <c r="A97" t="inlineStr">
        <is>
          <t>A 18043-2024</t>
        </is>
      </c>
      <c r="B97" s="1" t="n">
        <v>45420</v>
      </c>
      <c r="C97" s="1" t="n">
        <v>45700</v>
      </c>
      <c r="D97" t="inlineStr">
        <is>
          <t>NORRBOTTENS LÄN</t>
        </is>
      </c>
      <c r="E97" t="inlineStr">
        <is>
          <t>GÄLLIVARE</t>
        </is>
      </c>
      <c r="G97" t="n">
        <v>35.5</v>
      </c>
      <c r="H97" t="n">
        <v>0</v>
      </c>
      <c r="I97" t="n">
        <v>0</v>
      </c>
      <c r="J97" t="n">
        <v>1</v>
      </c>
      <c r="K97" t="n">
        <v>0</v>
      </c>
      <c r="L97" t="n">
        <v>0</v>
      </c>
      <c r="M97" t="n">
        <v>0</v>
      </c>
      <c r="N97" t="n">
        <v>0</v>
      </c>
      <c r="O97" t="n">
        <v>1</v>
      </c>
      <c r="P97" t="n">
        <v>0</v>
      </c>
      <c r="Q97" t="n">
        <v>1</v>
      </c>
      <c r="R97" s="2" t="inlineStr">
        <is>
          <t>Garnlav</t>
        </is>
      </c>
      <c r="S97">
        <f>HYPERLINK("https://klasma.github.io/Logging_2523/artfynd/A 18043-2024 artfynd.xlsx", "A 18043-2024")</f>
        <v/>
      </c>
      <c r="T97">
        <f>HYPERLINK("https://klasma.github.io/Logging_2523/kartor/A 18043-2024 karta.png", "A 18043-2024")</f>
        <v/>
      </c>
      <c r="V97">
        <f>HYPERLINK("https://klasma.github.io/Logging_2523/klagomål/A 18043-2024 FSC-klagomål.docx", "A 18043-2024")</f>
        <v/>
      </c>
      <c r="W97">
        <f>HYPERLINK("https://klasma.github.io/Logging_2523/klagomålsmail/A 18043-2024 FSC-klagomål mail.docx", "A 18043-2024")</f>
        <v/>
      </c>
      <c r="X97">
        <f>HYPERLINK("https://klasma.github.io/Logging_2523/tillsyn/A 18043-2024 tillsynsbegäran.docx", "A 18043-2024")</f>
        <v/>
      </c>
      <c r="Y97">
        <f>HYPERLINK("https://klasma.github.io/Logging_2523/tillsynsmail/A 18043-2024 tillsynsbegäran mail.docx", "A 18043-2024")</f>
        <v/>
      </c>
    </row>
    <row r="98" ht="15" customHeight="1">
      <c r="A98" t="inlineStr">
        <is>
          <t>A 26551-2024</t>
        </is>
      </c>
      <c r="B98" s="1" t="n">
        <v>45469</v>
      </c>
      <c r="C98" s="1" t="n">
        <v>45700</v>
      </c>
      <c r="D98" t="inlineStr">
        <is>
          <t>NORRBOTTENS LÄN</t>
        </is>
      </c>
      <c r="E98" t="inlineStr">
        <is>
          <t>GÄLLIVARE</t>
        </is>
      </c>
      <c r="F98" t="inlineStr">
        <is>
          <t>Sveaskog</t>
        </is>
      </c>
      <c r="G98" t="n">
        <v>8.699999999999999</v>
      </c>
      <c r="H98" t="n">
        <v>0</v>
      </c>
      <c r="I98" t="n">
        <v>0</v>
      </c>
      <c r="J98" t="n">
        <v>1</v>
      </c>
      <c r="K98" t="n">
        <v>0</v>
      </c>
      <c r="L98" t="n">
        <v>0</v>
      </c>
      <c r="M98" t="n">
        <v>0</v>
      </c>
      <c r="N98" t="n">
        <v>0</v>
      </c>
      <c r="O98" t="n">
        <v>1</v>
      </c>
      <c r="P98" t="n">
        <v>0</v>
      </c>
      <c r="Q98" t="n">
        <v>1</v>
      </c>
      <c r="R98" s="2" t="inlineStr">
        <is>
          <t>Lunglav</t>
        </is>
      </c>
      <c r="S98">
        <f>HYPERLINK("https://klasma.github.io/Logging_2523/artfynd/A 26551-2024 artfynd.xlsx", "A 26551-2024")</f>
        <v/>
      </c>
      <c r="T98">
        <f>HYPERLINK("https://klasma.github.io/Logging_2523/kartor/A 26551-2024 karta.png", "A 26551-2024")</f>
        <v/>
      </c>
      <c r="V98">
        <f>HYPERLINK("https://klasma.github.io/Logging_2523/klagomål/A 26551-2024 FSC-klagomål.docx", "A 26551-2024")</f>
        <v/>
      </c>
      <c r="W98">
        <f>HYPERLINK("https://klasma.github.io/Logging_2523/klagomålsmail/A 26551-2024 FSC-klagomål mail.docx", "A 26551-2024")</f>
        <v/>
      </c>
      <c r="X98">
        <f>HYPERLINK("https://klasma.github.io/Logging_2523/tillsyn/A 26551-2024 tillsynsbegäran.docx", "A 26551-2024")</f>
        <v/>
      </c>
      <c r="Y98">
        <f>HYPERLINK("https://klasma.github.io/Logging_2523/tillsynsmail/A 26551-2024 tillsynsbegäran mail.docx", "A 26551-2024")</f>
        <v/>
      </c>
    </row>
    <row r="99" ht="15" customHeight="1">
      <c r="A99" t="inlineStr">
        <is>
          <t>A 26552-2024</t>
        </is>
      </c>
      <c r="B99" s="1" t="n">
        <v>45469</v>
      </c>
      <c r="C99" s="1" t="n">
        <v>45700</v>
      </c>
      <c r="D99" t="inlineStr">
        <is>
          <t>NORRBOTTENS LÄN</t>
        </is>
      </c>
      <c r="E99" t="inlineStr">
        <is>
          <t>GÄLLIVARE</t>
        </is>
      </c>
      <c r="F99" t="inlineStr">
        <is>
          <t>Sveaskog</t>
        </is>
      </c>
      <c r="G99" t="n">
        <v>5.1</v>
      </c>
      <c r="H99" t="n">
        <v>0</v>
      </c>
      <c r="I99" t="n">
        <v>0</v>
      </c>
      <c r="J99" t="n">
        <v>1</v>
      </c>
      <c r="K99" t="n">
        <v>0</v>
      </c>
      <c r="L99" t="n">
        <v>0</v>
      </c>
      <c r="M99" t="n">
        <v>0</v>
      </c>
      <c r="N99" t="n">
        <v>0</v>
      </c>
      <c r="O99" t="n">
        <v>1</v>
      </c>
      <c r="P99" t="n">
        <v>0</v>
      </c>
      <c r="Q99" t="n">
        <v>1</v>
      </c>
      <c r="R99" s="2" t="inlineStr">
        <is>
          <t>Garnlav</t>
        </is>
      </c>
      <c r="S99">
        <f>HYPERLINK("https://klasma.github.io/Logging_2523/artfynd/A 26552-2024 artfynd.xlsx", "A 26552-2024")</f>
        <v/>
      </c>
      <c r="T99">
        <f>HYPERLINK("https://klasma.github.io/Logging_2523/kartor/A 26552-2024 karta.png", "A 26552-2024")</f>
        <v/>
      </c>
      <c r="V99">
        <f>HYPERLINK("https://klasma.github.io/Logging_2523/klagomål/A 26552-2024 FSC-klagomål.docx", "A 26552-2024")</f>
        <v/>
      </c>
      <c r="W99">
        <f>HYPERLINK("https://klasma.github.io/Logging_2523/klagomålsmail/A 26552-2024 FSC-klagomål mail.docx", "A 26552-2024")</f>
        <v/>
      </c>
      <c r="X99">
        <f>HYPERLINK("https://klasma.github.io/Logging_2523/tillsyn/A 26552-2024 tillsynsbegäran.docx", "A 26552-2024")</f>
        <v/>
      </c>
      <c r="Y99">
        <f>HYPERLINK("https://klasma.github.io/Logging_2523/tillsynsmail/A 26552-2024 tillsynsbegäran mail.docx", "A 26552-2024")</f>
        <v/>
      </c>
    </row>
    <row r="100" ht="15" customHeight="1">
      <c r="A100" t="inlineStr">
        <is>
          <t>A 28106-2024</t>
        </is>
      </c>
      <c r="B100" s="1" t="n">
        <v>45476</v>
      </c>
      <c r="C100" s="1" t="n">
        <v>45700</v>
      </c>
      <c r="D100" t="inlineStr">
        <is>
          <t>NORRBOTTENS LÄN</t>
        </is>
      </c>
      <c r="E100" t="inlineStr">
        <is>
          <t>GÄLLIVARE</t>
        </is>
      </c>
      <c r="F100" t="inlineStr">
        <is>
          <t>Sveaskog</t>
        </is>
      </c>
      <c r="G100" t="n">
        <v>1.1</v>
      </c>
      <c r="H100" t="n">
        <v>1</v>
      </c>
      <c r="I100" t="n">
        <v>0</v>
      </c>
      <c r="J100" t="n">
        <v>0</v>
      </c>
      <c r="K100" t="n">
        <v>1</v>
      </c>
      <c r="L100" t="n">
        <v>0</v>
      </c>
      <c r="M100" t="n">
        <v>0</v>
      </c>
      <c r="N100" t="n">
        <v>0</v>
      </c>
      <c r="O100" t="n">
        <v>1</v>
      </c>
      <c r="P100" t="n">
        <v>1</v>
      </c>
      <c r="Q100" t="n">
        <v>1</v>
      </c>
      <c r="R100" s="2" t="inlineStr">
        <is>
          <t>Doftticka</t>
        </is>
      </c>
      <c r="S100">
        <f>HYPERLINK("https://klasma.github.io/Logging_2523/artfynd/A 28106-2024 artfynd.xlsx", "A 28106-2024")</f>
        <v/>
      </c>
      <c r="T100">
        <f>HYPERLINK("https://klasma.github.io/Logging_2523/kartor/A 28106-2024 karta.png", "A 28106-2024")</f>
        <v/>
      </c>
      <c r="V100">
        <f>HYPERLINK("https://klasma.github.io/Logging_2523/klagomål/A 28106-2024 FSC-klagomål.docx", "A 28106-2024")</f>
        <v/>
      </c>
      <c r="W100">
        <f>HYPERLINK("https://klasma.github.io/Logging_2523/klagomålsmail/A 28106-2024 FSC-klagomål mail.docx", "A 28106-2024")</f>
        <v/>
      </c>
      <c r="X100">
        <f>HYPERLINK("https://klasma.github.io/Logging_2523/tillsyn/A 28106-2024 tillsynsbegäran.docx", "A 28106-2024")</f>
        <v/>
      </c>
      <c r="Y100">
        <f>HYPERLINK("https://klasma.github.io/Logging_2523/tillsynsmail/A 28106-2024 tillsynsbegäran mail.docx", "A 28106-2024")</f>
        <v/>
      </c>
    </row>
    <row r="101" ht="15" customHeight="1">
      <c r="A101" t="inlineStr">
        <is>
          <t>A 32828-2024</t>
        </is>
      </c>
      <c r="B101" s="1" t="n">
        <v>45516</v>
      </c>
      <c r="C101" s="1" t="n">
        <v>45700</v>
      </c>
      <c r="D101" t="inlineStr">
        <is>
          <t>NORRBOTTENS LÄN</t>
        </is>
      </c>
      <c r="E101" t="inlineStr">
        <is>
          <t>GÄLLIVARE</t>
        </is>
      </c>
      <c r="F101" t="inlineStr">
        <is>
          <t>Sveaskog</t>
        </is>
      </c>
      <c r="G101" t="n">
        <v>27.1</v>
      </c>
      <c r="H101" t="n">
        <v>1</v>
      </c>
      <c r="I101" t="n">
        <v>0</v>
      </c>
      <c r="J101" t="n">
        <v>0</v>
      </c>
      <c r="K101" t="n">
        <v>1</v>
      </c>
      <c r="L101" t="n">
        <v>0</v>
      </c>
      <c r="M101" t="n">
        <v>0</v>
      </c>
      <c r="N101" t="n">
        <v>0</v>
      </c>
      <c r="O101" t="n">
        <v>1</v>
      </c>
      <c r="P101" t="n">
        <v>1</v>
      </c>
      <c r="Q101" t="n">
        <v>1</v>
      </c>
      <c r="R101" s="2" t="inlineStr">
        <is>
          <t>Doftticka</t>
        </is>
      </c>
      <c r="S101">
        <f>HYPERLINK("https://klasma.github.io/Logging_2523/artfynd/A 32828-2024 artfynd.xlsx", "A 32828-2024")</f>
        <v/>
      </c>
      <c r="T101">
        <f>HYPERLINK("https://klasma.github.io/Logging_2523/kartor/A 32828-2024 karta.png", "A 32828-2024")</f>
        <v/>
      </c>
      <c r="V101">
        <f>HYPERLINK("https://klasma.github.io/Logging_2523/klagomål/A 32828-2024 FSC-klagomål.docx", "A 32828-2024")</f>
        <v/>
      </c>
      <c r="W101">
        <f>HYPERLINK("https://klasma.github.io/Logging_2523/klagomålsmail/A 32828-2024 FSC-klagomål mail.docx", "A 32828-2024")</f>
        <v/>
      </c>
      <c r="X101">
        <f>HYPERLINK("https://klasma.github.io/Logging_2523/tillsyn/A 32828-2024 tillsynsbegäran.docx", "A 32828-2024")</f>
        <v/>
      </c>
      <c r="Y101">
        <f>HYPERLINK("https://klasma.github.io/Logging_2523/tillsynsmail/A 32828-2024 tillsynsbegäran mail.docx", "A 32828-2024")</f>
        <v/>
      </c>
    </row>
    <row r="102" ht="15" customHeight="1">
      <c r="A102" t="inlineStr">
        <is>
          <t>A 34618-2024</t>
        </is>
      </c>
      <c r="B102" s="1" t="n">
        <v>45526</v>
      </c>
      <c r="C102" s="1" t="n">
        <v>45700</v>
      </c>
      <c r="D102" t="inlineStr">
        <is>
          <t>NORRBOTTENS LÄN</t>
        </is>
      </c>
      <c r="E102" t="inlineStr">
        <is>
          <t>GÄLLIVARE</t>
        </is>
      </c>
      <c r="F102" t="inlineStr">
        <is>
          <t>Sveaskog</t>
        </is>
      </c>
      <c r="G102" t="n">
        <v>11.2</v>
      </c>
      <c r="H102" t="n">
        <v>1</v>
      </c>
      <c r="I102" t="n">
        <v>0</v>
      </c>
      <c r="J102" t="n">
        <v>0</v>
      </c>
      <c r="K102" t="n">
        <v>1</v>
      </c>
      <c r="L102" t="n">
        <v>0</v>
      </c>
      <c r="M102" t="n">
        <v>0</v>
      </c>
      <c r="N102" t="n">
        <v>0</v>
      </c>
      <c r="O102" t="n">
        <v>1</v>
      </c>
      <c r="P102" t="n">
        <v>1</v>
      </c>
      <c r="Q102" t="n">
        <v>1</v>
      </c>
      <c r="R102" s="2" t="inlineStr">
        <is>
          <t>Doftticka</t>
        </is>
      </c>
      <c r="S102">
        <f>HYPERLINK("https://klasma.github.io/Logging_2523/artfynd/A 34618-2024 artfynd.xlsx", "A 34618-2024")</f>
        <v/>
      </c>
      <c r="T102">
        <f>HYPERLINK("https://klasma.github.io/Logging_2523/kartor/A 34618-2024 karta.png", "A 34618-2024")</f>
        <v/>
      </c>
      <c r="V102">
        <f>HYPERLINK("https://klasma.github.io/Logging_2523/klagomål/A 34618-2024 FSC-klagomål.docx", "A 34618-2024")</f>
        <v/>
      </c>
      <c r="W102">
        <f>HYPERLINK("https://klasma.github.io/Logging_2523/klagomålsmail/A 34618-2024 FSC-klagomål mail.docx", "A 34618-2024")</f>
        <v/>
      </c>
      <c r="X102">
        <f>HYPERLINK("https://klasma.github.io/Logging_2523/tillsyn/A 34618-2024 tillsynsbegäran.docx", "A 34618-2024")</f>
        <v/>
      </c>
      <c r="Y102">
        <f>HYPERLINK("https://klasma.github.io/Logging_2523/tillsynsmail/A 34618-2024 tillsynsbegäran mail.docx", "A 34618-2024")</f>
        <v/>
      </c>
    </row>
    <row r="103" ht="15" customHeight="1">
      <c r="A103" t="inlineStr">
        <is>
          <t>A 34591-2024</t>
        </is>
      </c>
      <c r="B103" s="1" t="n">
        <v>45526</v>
      </c>
      <c r="C103" s="1" t="n">
        <v>45700</v>
      </c>
      <c r="D103" t="inlineStr">
        <is>
          <t>NORRBOTTENS LÄN</t>
        </is>
      </c>
      <c r="E103" t="inlineStr">
        <is>
          <t>GÄLLIVARE</t>
        </is>
      </c>
      <c r="F103" t="inlineStr">
        <is>
          <t>Sveaskog</t>
        </is>
      </c>
      <c r="G103" t="n">
        <v>1.1</v>
      </c>
      <c r="H103" t="n">
        <v>0</v>
      </c>
      <c r="I103" t="n">
        <v>1</v>
      </c>
      <c r="J103" t="n">
        <v>0</v>
      </c>
      <c r="K103" t="n">
        <v>0</v>
      </c>
      <c r="L103" t="n">
        <v>0</v>
      </c>
      <c r="M103" t="n">
        <v>0</v>
      </c>
      <c r="N103" t="n">
        <v>0</v>
      </c>
      <c r="O103" t="n">
        <v>0</v>
      </c>
      <c r="P103" t="n">
        <v>0</v>
      </c>
      <c r="Q103" t="n">
        <v>1</v>
      </c>
      <c r="R103" s="2" t="inlineStr">
        <is>
          <t>Dropptaggsvamp</t>
        </is>
      </c>
      <c r="S103">
        <f>HYPERLINK("https://klasma.github.io/Logging_2523/artfynd/A 34591-2024 artfynd.xlsx", "A 34591-2024")</f>
        <v/>
      </c>
      <c r="T103">
        <f>HYPERLINK("https://klasma.github.io/Logging_2523/kartor/A 34591-2024 karta.png", "A 34591-2024")</f>
        <v/>
      </c>
      <c r="V103">
        <f>HYPERLINK("https://klasma.github.io/Logging_2523/klagomål/A 34591-2024 FSC-klagomål.docx", "A 34591-2024")</f>
        <v/>
      </c>
      <c r="W103">
        <f>HYPERLINK("https://klasma.github.io/Logging_2523/klagomålsmail/A 34591-2024 FSC-klagomål mail.docx", "A 34591-2024")</f>
        <v/>
      </c>
      <c r="X103">
        <f>HYPERLINK("https://klasma.github.io/Logging_2523/tillsyn/A 34591-2024 tillsynsbegäran.docx", "A 34591-2024")</f>
        <v/>
      </c>
      <c r="Y103">
        <f>HYPERLINK("https://klasma.github.io/Logging_2523/tillsynsmail/A 34591-2024 tillsynsbegäran mail.docx", "A 34591-2024")</f>
        <v/>
      </c>
    </row>
    <row r="104" ht="15" customHeight="1">
      <c r="A104" t="inlineStr">
        <is>
          <t>A 34879-2024</t>
        </is>
      </c>
      <c r="B104" s="1" t="n">
        <v>45527</v>
      </c>
      <c r="C104" s="1" t="n">
        <v>45700</v>
      </c>
      <c r="D104" t="inlineStr">
        <is>
          <t>NORRBOTTENS LÄN</t>
        </is>
      </c>
      <c r="E104" t="inlineStr">
        <is>
          <t>GÄLLIVARE</t>
        </is>
      </c>
      <c r="F104" t="inlineStr">
        <is>
          <t>SCA</t>
        </is>
      </c>
      <c r="G104" t="n">
        <v>4.3</v>
      </c>
      <c r="H104" t="n">
        <v>1</v>
      </c>
      <c r="I104" t="n">
        <v>0</v>
      </c>
      <c r="J104" t="n">
        <v>0</v>
      </c>
      <c r="K104" t="n">
        <v>0</v>
      </c>
      <c r="L104" t="n">
        <v>0</v>
      </c>
      <c r="M104" t="n">
        <v>0</v>
      </c>
      <c r="N104" t="n">
        <v>0</v>
      </c>
      <c r="O104" t="n">
        <v>0</v>
      </c>
      <c r="P104" t="n">
        <v>0</v>
      </c>
      <c r="Q104" t="n">
        <v>1</v>
      </c>
      <c r="R104" s="2" t="inlineStr">
        <is>
          <t>Huggorm</t>
        </is>
      </c>
      <c r="S104">
        <f>HYPERLINK("https://klasma.github.io/Logging_2523/artfynd/A 34879-2024 artfynd.xlsx", "A 34879-2024")</f>
        <v/>
      </c>
      <c r="T104">
        <f>HYPERLINK("https://klasma.github.io/Logging_2523/kartor/A 34879-2024 karta.png", "A 34879-2024")</f>
        <v/>
      </c>
      <c r="V104">
        <f>HYPERLINK("https://klasma.github.io/Logging_2523/klagomål/A 34879-2024 FSC-klagomål.docx", "A 34879-2024")</f>
        <v/>
      </c>
      <c r="W104">
        <f>HYPERLINK("https://klasma.github.io/Logging_2523/klagomålsmail/A 34879-2024 FSC-klagomål mail.docx", "A 34879-2024")</f>
        <v/>
      </c>
      <c r="X104">
        <f>HYPERLINK("https://klasma.github.io/Logging_2523/tillsyn/A 34879-2024 tillsynsbegäran.docx", "A 34879-2024")</f>
        <v/>
      </c>
      <c r="Y104">
        <f>HYPERLINK("https://klasma.github.io/Logging_2523/tillsynsmail/A 34879-2024 tillsynsbegäran mail.docx", "A 34879-2024")</f>
        <v/>
      </c>
    </row>
    <row r="105" ht="15" customHeight="1">
      <c r="A105" t="inlineStr">
        <is>
          <t>A 40019-2024</t>
        </is>
      </c>
      <c r="B105" s="1" t="n">
        <v>45553</v>
      </c>
      <c r="C105" s="1" t="n">
        <v>45700</v>
      </c>
      <c r="D105" t="inlineStr">
        <is>
          <t>NORRBOTTENS LÄN</t>
        </is>
      </c>
      <c r="E105" t="inlineStr">
        <is>
          <t>GÄLLIVARE</t>
        </is>
      </c>
      <c r="F105" t="inlineStr">
        <is>
          <t>Sveaskog</t>
        </is>
      </c>
      <c r="G105" t="n">
        <v>7.7</v>
      </c>
      <c r="H105" t="n">
        <v>0</v>
      </c>
      <c r="I105" t="n">
        <v>0</v>
      </c>
      <c r="J105" t="n">
        <v>1</v>
      </c>
      <c r="K105" t="n">
        <v>0</v>
      </c>
      <c r="L105" t="n">
        <v>0</v>
      </c>
      <c r="M105" t="n">
        <v>0</v>
      </c>
      <c r="N105" t="n">
        <v>0</v>
      </c>
      <c r="O105" t="n">
        <v>1</v>
      </c>
      <c r="P105" t="n">
        <v>0</v>
      </c>
      <c r="Q105" t="n">
        <v>1</v>
      </c>
      <c r="R105" s="2" t="inlineStr">
        <is>
          <t>Blå taggsvamp</t>
        </is>
      </c>
      <c r="S105">
        <f>HYPERLINK("https://klasma.github.io/Logging_2523/artfynd/A 40019-2024 artfynd.xlsx", "A 40019-2024")</f>
        <v/>
      </c>
      <c r="T105">
        <f>HYPERLINK("https://klasma.github.io/Logging_2523/kartor/A 40019-2024 karta.png", "A 40019-2024")</f>
        <v/>
      </c>
      <c r="V105">
        <f>HYPERLINK("https://klasma.github.io/Logging_2523/klagomål/A 40019-2024 FSC-klagomål.docx", "A 40019-2024")</f>
        <v/>
      </c>
      <c r="W105">
        <f>HYPERLINK("https://klasma.github.io/Logging_2523/klagomålsmail/A 40019-2024 FSC-klagomål mail.docx", "A 40019-2024")</f>
        <v/>
      </c>
      <c r="X105">
        <f>HYPERLINK("https://klasma.github.io/Logging_2523/tillsyn/A 40019-2024 tillsynsbegäran.docx", "A 40019-2024")</f>
        <v/>
      </c>
      <c r="Y105">
        <f>HYPERLINK("https://klasma.github.io/Logging_2523/tillsynsmail/A 40019-2024 tillsynsbegäran mail.docx", "A 40019-2024")</f>
        <v/>
      </c>
    </row>
    <row r="106" ht="15" customHeight="1">
      <c r="A106" t="inlineStr">
        <is>
          <t>A 40197-2024</t>
        </is>
      </c>
      <c r="B106" s="1" t="n">
        <v>45554</v>
      </c>
      <c r="C106" s="1" t="n">
        <v>45700</v>
      </c>
      <c r="D106" t="inlineStr">
        <is>
          <t>NORRBOTTENS LÄN</t>
        </is>
      </c>
      <c r="E106" t="inlineStr">
        <is>
          <t>GÄLLIVARE</t>
        </is>
      </c>
      <c r="F106" t="inlineStr">
        <is>
          <t>Sveaskog</t>
        </is>
      </c>
      <c r="G106" t="n">
        <v>16.3</v>
      </c>
      <c r="H106" t="n">
        <v>0</v>
      </c>
      <c r="I106" t="n">
        <v>1</v>
      </c>
      <c r="J106" t="n">
        <v>0</v>
      </c>
      <c r="K106" t="n">
        <v>0</v>
      </c>
      <c r="L106" t="n">
        <v>0</v>
      </c>
      <c r="M106" t="n">
        <v>0</v>
      </c>
      <c r="N106" t="n">
        <v>0</v>
      </c>
      <c r="O106" t="n">
        <v>0</v>
      </c>
      <c r="P106" t="n">
        <v>0</v>
      </c>
      <c r="Q106" t="n">
        <v>1</v>
      </c>
      <c r="R106" s="2" t="inlineStr">
        <is>
          <t>Dropptaggsvamp</t>
        </is>
      </c>
      <c r="S106">
        <f>HYPERLINK("https://klasma.github.io/Logging_2523/artfynd/A 40197-2024 artfynd.xlsx", "A 40197-2024")</f>
        <v/>
      </c>
      <c r="T106">
        <f>HYPERLINK("https://klasma.github.io/Logging_2523/kartor/A 40197-2024 karta.png", "A 40197-2024")</f>
        <v/>
      </c>
      <c r="V106">
        <f>HYPERLINK("https://klasma.github.io/Logging_2523/klagomål/A 40197-2024 FSC-klagomål.docx", "A 40197-2024")</f>
        <v/>
      </c>
      <c r="W106">
        <f>HYPERLINK("https://klasma.github.io/Logging_2523/klagomålsmail/A 40197-2024 FSC-klagomål mail.docx", "A 40197-2024")</f>
        <v/>
      </c>
      <c r="X106">
        <f>HYPERLINK("https://klasma.github.io/Logging_2523/tillsyn/A 40197-2024 tillsynsbegäran.docx", "A 40197-2024")</f>
        <v/>
      </c>
      <c r="Y106">
        <f>HYPERLINK("https://klasma.github.io/Logging_2523/tillsynsmail/A 40197-2024 tillsynsbegäran mail.docx", "A 40197-2024")</f>
        <v/>
      </c>
    </row>
    <row r="107" ht="15" customHeight="1">
      <c r="A107" t="inlineStr">
        <is>
          <t>A 41151-2024</t>
        </is>
      </c>
      <c r="B107" s="1" t="n">
        <v>45559</v>
      </c>
      <c r="C107" s="1" t="n">
        <v>45700</v>
      </c>
      <c r="D107" t="inlineStr">
        <is>
          <t>NORRBOTTENS LÄN</t>
        </is>
      </c>
      <c r="E107" t="inlineStr">
        <is>
          <t>GÄLLIVARE</t>
        </is>
      </c>
      <c r="F107" t="inlineStr">
        <is>
          <t>Sveaskog</t>
        </is>
      </c>
      <c r="G107" t="n">
        <v>12.5</v>
      </c>
      <c r="H107" t="n">
        <v>0</v>
      </c>
      <c r="I107" t="n">
        <v>0</v>
      </c>
      <c r="J107" t="n">
        <v>1</v>
      </c>
      <c r="K107" t="n">
        <v>0</v>
      </c>
      <c r="L107" t="n">
        <v>0</v>
      </c>
      <c r="M107" t="n">
        <v>0</v>
      </c>
      <c r="N107" t="n">
        <v>0</v>
      </c>
      <c r="O107" t="n">
        <v>1</v>
      </c>
      <c r="P107" t="n">
        <v>0</v>
      </c>
      <c r="Q107" t="n">
        <v>1</v>
      </c>
      <c r="R107" s="2" t="inlineStr">
        <is>
          <t>Tallticka</t>
        </is>
      </c>
      <c r="S107">
        <f>HYPERLINK("https://klasma.github.io/Logging_2523/artfynd/A 41151-2024 artfynd.xlsx", "A 41151-2024")</f>
        <v/>
      </c>
      <c r="T107">
        <f>HYPERLINK("https://klasma.github.io/Logging_2523/kartor/A 41151-2024 karta.png", "A 41151-2024")</f>
        <v/>
      </c>
      <c r="V107">
        <f>HYPERLINK("https://klasma.github.io/Logging_2523/klagomål/A 41151-2024 FSC-klagomål.docx", "A 41151-2024")</f>
        <v/>
      </c>
      <c r="W107">
        <f>HYPERLINK("https://klasma.github.io/Logging_2523/klagomålsmail/A 41151-2024 FSC-klagomål mail.docx", "A 41151-2024")</f>
        <v/>
      </c>
      <c r="X107">
        <f>HYPERLINK("https://klasma.github.io/Logging_2523/tillsyn/A 41151-2024 tillsynsbegäran.docx", "A 41151-2024")</f>
        <v/>
      </c>
      <c r="Y107">
        <f>HYPERLINK("https://klasma.github.io/Logging_2523/tillsynsmail/A 41151-2024 tillsynsbegäran mail.docx", "A 41151-2024")</f>
        <v/>
      </c>
    </row>
    <row r="108" ht="15" customHeight="1">
      <c r="A108" t="inlineStr">
        <is>
          <t>A 44481-2024</t>
        </is>
      </c>
      <c r="B108" s="1" t="n">
        <v>45574</v>
      </c>
      <c r="C108" s="1" t="n">
        <v>45700</v>
      </c>
      <c r="D108" t="inlineStr">
        <is>
          <t>NORRBOTTENS LÄN</t>
        </is>
      </c>
      <c r="E108" t="inlineStr">
        <is>
          <t>GÄLLIVARE</t>
        </is>
      </c>
      <c r="F108" t="inlineStr">
        <is>
          <t>Sveaskog</t>
        </is>
      </c>
      <c r="G108" t="n">
        <v>10.8</v>
      </c>
      <c r="H108" t="n">
        <v>0</v>
      </c>
      <c r="I108" t="n">
        <v>0</v>
      </c>
      <c r="J108" t="n">
        <v>1</v>
      </c>
      <c r="K108" t="n">
        <v>0</v>
      </c>
      <c r="L108" t="n">
        <v>0</v>
      </c>
      <c r="M108" t="n">
        <v>0</v>
      </c>
      <c r="N108" t="n">
        <v>0</v>
      </c>
      <c r="O108" t="n">
        <v>1</v>
      </c>
      <c r="P108" t="n">
        <v>0</v>
      </c>
      <c r="Q108" t="n">
        <v>1</v>
      </c>
      <c r="R108" s="2" t="inlineStr">
        <is>
          <t>Motaggsvamp</t>
        </is>
      </c>
      <c r="S108">
        <f>HYPERLINK("https://klasma.github.io/Logging_2523/artfynd/A 44481-2024 artfynd.xlsx", "A 44481-2024")</f>
        <v/>
      </c>
      <c r="T108">
        <f>HYPERLINK("https://klasma.github.io/Logging_2523/kartor/A 44481-2024 karta.png", "A 44481-2024")</f>
        <v/>
      </c>
      <c r="V108">
        <f>HYPERLINK("https://klasma.github.io/Logging_2523/klagomål/A 44481-2024 FSC-klagomål.docx", "A 44481-2024")</f>
        <v/>
      </c>
      <c r="W108">
        <f>HYPERLINK("https://klasma.github.io/Logging_2523/klagomålsmail/A 44481-2024 FSC-klagomål mail.docx", "A 44481-2024")</f>
        <v/>
      </c>
      <c r="X108">
        <f>HYPERLINK("https://klasma.github.io/Logging_2523/tillsyn/A 44481-2024 tillsynsbegäran.docx", "A 44481-2024")</f>
        <v/>
      </c>
      <c r="Y108">
        <f>HYPERLINK("https://klasma.github.io/Logging_2523/tillsynsmail/A 44481-2024 tillsynsbegäran mail.docx", "A 44481-2024")</f>
        <v/>
      </c>
    </row>
    <row r="109" ht="15" customHeight="1">
      <c r="A109" t="inlineStr">
        <is>
          <t>A 44648-2024</t>
        </is>
      </c>
      <c r="B109" s="1" t="n">
        <v>45574</v>
      </c>
      <c r="C109" s="1" t="n">
        <v>45700</v>
      </c>
      <c r="D109" t="inlineStr">
        <is>
          <t>NORRBOTTENS LÄN</t>
        </is>
      </c>
      <c r="E109" t="inlineStr">
        <is>
          <t>GÄLLIVARE</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HYPERLINK("https://klasma.github.io/Logging_2523/artfynd/A 44648-2024 artfynd.xlsx", "A 44648-2024")</f>
        <v/>
      </c>
      <c r="T109">
        <f>HYPERLINK("https://klasma.github.io/Logging_2523/kartor/A 44648-2024 karta.png", "A 44648-2024")</f>
        <v/>
      </c>
      <c r="V109">
        <f>HYPERLINK("https://klasma.github.io/Logging_2523/klagomål/A 44648-2024 FSC-klagomål.docx", "A 44648-2024")</f>
        <v/>
      </c>
      <c r="W109">
        <f>HYPERLINK("https://klasma.github.io/Logging_2523/klagomålsmail/A 44648-2024 FSC-klagomål mail.docx", "A 44648-2024")</f>
        <v/>
      </c>
      <c r="X109">
        <f>HYPERLINK("https://klasma.github.io/Logging_2523/tillsyn/A 44648-2024 tillsynsbegäran.docx", "A 44648-2024")</f>
        <v/>
      </c>
      <c r="Y109">
        <f>HYPERLINK("https://klasma.github.io/Logging_2523/tillsynsmail/A 44648-2024 tillsynsbegäran mail.docx", "A 44648-2024")</f>
        <v/>
      </c>
    </row>
    <row r="110" ht="15" customHeight="1">
      <c r="A110" t="inlineStr">
        <is>
          <t>A 46652-2024</t>
        </is>
      </c>
      <c r="B110" s="1" t="n">
        <v>45583</v>
      </c>
      <c r="C110" s="1" t="n">
        <v>45700</v>
      </c>
      <c r="D110" t="inlineStr">
        <is>
          <t>NORRBOTTENS LÄN</t>
        </is>
      </c>
      <c r="E110" t="inlineStr">
        <is>
          <t>GÄLLIVARE</t>
        </is>
      </c>
      <c r="F110" t="inlineStr">
        <is>
          <t>Sveaskog</t>
        </is>
      </c>
      <c r="G110" t="n">
        <v>10.2</v>
      </c>
      <c r="H110" t="n">
        <v>0</v>
      </c>
      <c r="I110" t="n">
        <v>0</v>
      </c>
      <c r="J110" t="n">
        <v>1</v>
      </c>
      <c r="K110" t="n">
        <v>0</v>
      </c>
      <c r="L110" t="n">
        <v>0</v>
      </c>
      <c r="M110" t="n">
        <v>0</v>
      </c>
      <c r="N110" t="n">
        <v>0</v>
      </c>
      <c r="O110" t="n">
        <v>1</v>
      </c>
      <c r="P110" t="n">
        <v>0</v>
      </c>
      <c r="Q110" t="n">
        <v>1</v>
      </c>
      <c r="R110" s="2" t="inlineStr">
        <is>
          <t>Motaggsvamp</t>
        </is>
      </c>
      <c r="S110">
        <f>HYPERLINK("https://klasma.github.io/Logging_2523/artfynd/A 46652-2024 artfynd.xlsx", "A 46652-2024")</f>
        <v/>
      </c>
      <c r="T110">
        <f>HYPERLINK("https://klasma.github.io/Logging_2523/kartor/A 46652-2024 karta.png", "A 46652-2024")</f>
        <v/>
      </c>
      <c r="V110">
        <f>HYPERLINK("https://klasma.github.io/Logging_2523/klagomål/A 46652-2024 FSC-klagomål.docx", "A 46652-2024")</f>
        <v/>
      </c>
      <c r="W110">
        <f>HYPERLINK("https://klasma.github.io/Logging_2523/klagomålsmail/A 46652-2024 FSC-klagomål mail.docx", "A 46652-2024")</f>
        <v/>
      </c>
      <c r="X110">
        <f>HYPERLINK("https://klasma.github.io/Logging_2523/tillsyn/A 46652-2024 tillsynsbegäran.docx", "A 46652-2024")</f>
        <v/>
      </c>
      <c r="Y110">
        <f>HYPERLINK("https://klasma.github.io/Logging_2523/tillsynsmail/A 46652-2024 tillsynsbegäran mail.docx", "A 46652-2024")</f>
        <v/>
      </c>
    </row>
    <row r="111" ht="15" customHeight="1">
      <c r="A111" t="inlineStr">
        <is>
          <t>A 4908-2025</t>
        </is>
      </c>
      <c r="B111" s="1" t="n">
        <v>45688</v>
      </c>
      <c r="C111" s="1" t="n">
        <v>45700</v>
      </c>
      <c r="D111" t="inlineStr">
        <is>
          <t>NORRBOTTENS LÄN</t>
        </is>
      </c>
      <c r="E111" t="inlineStr">
        <is>
          <t>GÄLLIVARE</t>
        </is>
      </c>
      <c r="F111" t="inlineStr">
        <is>
          <t>SCA</t>
        </is>
      </c>
      <c r="G111" t="n">
        <v>6.4</v>
      </c>
      <c r="H111" t="n">
        <v>1</v>
      </c>
      <c r="I111" t="n">
        <v>0</v>
      </c>
      <c r="J111" t="n">
        <v>1</v>
      </c>
      <c r="K111" t="n">
        <v>0</v>
      </c>
      <c r="L111" t="n">
        <v>0</v>
      </c>
      <c r="M111" t="n">
        <v>0</v>
      </c>
      <c r="N111" t="n">
        <v>0</v>
      </c>
      <c r="O111" t="n">
        <v>1</v>
      </c>
      <c r="P111" t="n">
        <v>0</v>
      </c>
      <c r="Q111" t="n">
        <v>1</v>
      </c>
      <c r="R111" s="2" t="inlineStr">
        <is>
          <t>Utter</t>
        </is>
      </c>
      <c r="S111">
        <f>HYPERLINK("https://klasma.github.io/Logging_2523/artfynd/A 4908-2025 artfynd.xlsx", "A 4908-2025")</f>
        <v/>
      </c>
      <c r="T111">
        <f>HYPERLINK("https://klasma.github.io/Logging_2523/kartor/A 4908-2025 karta.png", "A 4908-2025")</f>
        <v/>
      </c>
      <c r="V111">
        <f>HYPERLINK("https://klasma.github.io/Logging_2523/klagomål/A 4908-2025 FSC-klagomål.docx", "A 4908-2025")</f>
        <v/>
      </c>
      <c r="W111">
        <f>HYPERLINK("https://klasma.github.io/Logging_2523/klagomålsmail/A 4908-2025 FSC-klagomål mail.docx", "A 4908-2025")</f>
        <v/>
      </c>
      <c r="X111">
        <f>HYPERLINK("https://klasma.github.io/Logging_2523/tillsyn/A 4908-2025 tillsynsbegäran.docx", "A 4908-2025")</f>
        <v/>
      </c>
      <c r="Y111">
        <f>HYPERLINK("https://klasma.github.io/Logging_2523/tillsynsmail/A 4908-2025 tillsynsbegäran mail.docx", "A 4908-2025")</f>
        <v/>
      </c>
    </row>
    <row r="112" ht="15" customHeight="1">
      <c r="A112" t="inlineStr">
        <is>
          <t>A 19954-2019</t>
        </is>
      </c>
      <c r="B112" s="1" t="n">
        <v>43569</v>
      </c>
      <c r="C112" s="1" t="n">
        <v>45700</v>
      </c>
      <c r="D112" t="inlineStr">
        <is>
          <t>NORRBOTTENS LÄN</t>
        </is>
      </c>
      <c r="E112" t="inlineStr">
        <is>
          <t>GÄLLIVARE</t>
        </is>
      </c>
      <c r="G112" t="n">
        <v>1.9</v>
      </c>
      <c r="H112" t="n">
        <v>0</v>
      </c>
      <c r="I112" t="n">
        <v>0</v>
      </c>
      <c r="J112" t="n">
        <v>0</v>
      </c>
      <c r="K112" t="n">
        <v>0</v>
      </c>
      <c r="L112" t="n">
        <v>0</v>
      </c>
      <c r="M112" t="n">
        <v>0</v>
      </c>
      <c r="N112" t="n">
        <v>0</v>
      </c>
      <c r="O112" t="n">
        <v>0</v>
      </c>
      <c r="P112" t="n">
        <v>0</v>
      </c>
      <c r="Q112" t="n">
        <v>0</v>
      </c>
      <c r="R112" s="2" t="inlineStr"/>
    </row>
    <row r="113" ht="15" customHeight="1">
      <c r="A113" t="inlineStr">
        <is>
          <t>A 21118-2019</t>
        </is>
      </c>
      <c r="B113" s="1" t="n">
        <v>43578</v>
      </c>
      <c r="C113" s="1" t="n">
        <v>45700</v>
      </c>
      <c r="D113" t="inlineStr">
        <is>
          <t>NORRBOTTENS LÄN</t>
        </is>
      </c>
      <c r="E113" t="inlineStr">
        <is>
          <t>GÄLLIVARE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21556-2019</t>
        </is>
      </c>
      <c r="B114" s="1" t="n">
        <v>43579</v>
      </c>
      <c r="C114" s="1" t="n">
        <v>45700</v>
      </c>
      <c r="D114" t="inlineStr">
        <is>
          <t>NORRBOTTENS LÄN</t>
        </is>
      </c>
      <c r="E114" t="inlineStr">
        <is>
          <t>GÄLLIVARE</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22481-2019</t>
        </is>
      </c>
      <c r="B115" s="1" t="n">
        <v>43587</v>
      </c>
      <c r="C115" s="1" t="n">
        <v>45700</v>
      </c>
      <c r="D115" t="inlineStr">
        <is>
          <t>NORRBOTTENS LÄN</t>
        </is>
      </c>
      <c r="E115" t="inlineStr">
        <is>
          <t>GÄLLIVARE</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23806-2019</t>
        </is>
      </c>
      <c r="B116" s="1" t="n">
        <v>43595</v>
      </c>
      <c r="C116" s="1" t="n">
        <v>45700</v>
      </c>
      <c r="D116" t="inlineStr">
        <is>
          <t>NORRBOTTENS LÄN</t>
        </is>
      </c>
      <c r="E116" t="inlineStr">
        <is>
          <t>GÄLLIVARE</t>
        </is>
      </c>
      <c r="G116" t="n">
        <v>10.4</v>
      </c>
      <c r="H116" t="n">
        <v>0</v>
      </c>
      <c r="I116" t="n">
        <v>0</v>
      </c>
      <c r="J116" t="n">
        <v>0</v>
      </c>
      <c r="K116" t="n">
        <v>0</v>
      </c>
      <c r="L116" t="n">
        <v>0</v>
      </c>
      <c r="M116" t="n">
        <v>0</v>
      </c>
      <c r="N116" t="n">
        <v>0</v>
      </c>
      <c r="O116" t="n">
        <v>0</v>
      </c>
      <c r="P116" t="n">
        <v>0</v>
      </c>
      <c r="Q116" t="n">
        <v>0</v>
      </c>
      <c r="R116" s="2" t="inlineStr"/>
    </row>
    <row r="117" ht="15" customHeight="1">
      <c r="A117" t="inlineStr">
        <is>
          <t>A 23812-2019</t>
        </is>
      </c>
      <c r="B117" s="1" t="n">
        <v>43595</v>
      </c>
      <c r="C117" s="1" t="n">
        <v>45700</v>
      </c>
      <c r="D117" t="inlineStr">
        <is>
          <t>NORRBOTTENS LÄN</t>
        </is>
      </c>
      <c r="E117" t="inlineStr">
        <is>
          <t>GÄLLIVARE</t>
        </is>
      </c>
      <c r="G117" t="n">
        <v>5.1</v>
      </c>
      <c r="H117" t="n">
        <v>0</v>
      </c>
      <c r="I117" t="n">
        <v>0</v>
      </c>
      <c r="J117" t="n">
        <v>0</v>
      </c>
      <c r="K117" t="n">
        <v>0</v>
      </c>
      <c r="L117" t="n">
        <v>0</v>
      </c>
      <c r="M117" t="n">
        <v>0</v>
      </c>
      <c r="N117" t="n">
        <v>0</v>
      </c>
      <c r="O117" t="n">
        <v>0</v>
      </c>
      <c r="P117" t="n">
        <v>0</v>
      </c>
      <c r="Q117" t="n">
        <v>0</v>
      </c>
      <c r="R117" s="2" t="inlineStr"/>
    </row>
    <row r="118" ht="15" customHeight="1">
      <c r="A118" t="inlineStr">
        <is>
          <t>A 23880-2019</t>
        </is>
      </c>
      <c r="B118" s="1" t="n">
        <v>43595</v>
      </c>
      <c r="C118" s="1" t="n">
        <v>45700</v>
      </c>
      <c r="D118" t="inlineStr">
        <is>
          <t>NORRBOTTENS LÄN</t>
        </is>
      </c>
      <c r="E118" t="inlineStr">
        <is>
          <t>GÄLLIVARE</t>
        </is>
      </c>
      <c r="G118" t="n">
        <v>2.3</v>
      </c>
      <c r="H118" t="n">
        <v>0</v>
      </c>
      <c r="I118" t="n">
        <v>0</v>
      </c>
      <c r="J118" t="n">
        <v>0</v>
      </c>
      <c r="K118" t="n">
        <v>0</v>
      </c>
      <c r="L118" t="n">
        <v>0</v>
      </c>
      <c r="M118" t="n">
        <v>0</v>
      </c>
      <c r="N118" t="n">
        <v>0</v>
      </c>
      <c r="O118" t="n">
        <v>0</v>
      </c>
      <c r="P118" t="n">
        <v>0</v>
      </c>
      <c r="Q118" t="n">
        <v>0</v>
      </c>
      <c r="R118" s="2" t="inlineStr"/>
    </row>
    <row r="119" ht="15" customHeight="1">
      <c r="A119" t="inlineStr">
        <is>
          <t>A 24996-2019</t>
        </is>
      </c>
      <c r="B119" s="1" t="n">
        <v>43600</v>
      </c>
      <c r="C119" s="1" t="n">
        <v>45700</v>
      </c>
      <c r="D119" t="inlineStr">
        <is>
          <t>NORRBOTTENS LÄN</t>
        </is>
      </c>
      <c r="E119" t="inlineStr">
        <is>
          <t>GÄLLIVARE</t>
        </is>
      </c>
      <c r="G119" t="n">
        <v>5.5</v>
      </c>
      <c r="H119" t="n">
        <v>0</v>
      </c>
      <c r="I119" t="n">
        <v>0</v>
      </c>
      <c r="J119" t="n">
        <v>0</v>
      </c>
      <c r="K119" t="n">
        <v>0</v>
      </c>
      <c r="L119" t="n">
        <v>0</v>
      </c>
      <c r="M119" t="n">
        <v>0</v>
      </c>
      <c r="N119" t="n">
        <v>0</v>
      </c>
      <c r="O119" t="n">
        <v>0</v>
      </c>
      <c r="P119" t="n">
        <v>0</v>
      </c>
      <c r="Q119" t="n">
        <v>0</v>
      </c>
      <c r="R119" s="2" t="inlineStr"/>
    </row>
    <row r="120" ht="15" customHeight="1">
      <c r="A120" t="inlineStr">
        <is>
          <t>A 27498-2019</t>
        </is>
      </c>
      <c r="B120" s="1" t="n">
        <v>43612</v>
      </c>
      <c r="C120" s="1" t="n">
        <v>45700</v>
      </c>
      <c r="D120" t="inlineStr">
        <is>
          <t>NORRBOTTENS LÄN</t>
        </is>
      </c>
      <c r="E120" t="inlineStr">
        <is>
          <t>GÄLLIVARE</t>
        </is>
      </c>
      <c r="F120" t="inlineStr">
        <is>
          <t>Allmännings- och besparingsskogar</t>
        </is>
      </c>
      <c r="G120" t="n">
        <v>24</v>
      </c>
      <c r="H120" t="n">
        <v>0</v>
      </c>
      <c r="I120" t="n">
        <v>0</v>
      </c>
      <c r="J120" t="n">
        <v>0</v>
      </c>
      <c r="K120" t="n">
        <v>0</v>
      </c>
      <c r="L120" t="n">
        <v>0</v>
      </c>
      <c r="M120" t="n">
        <v>0</v>
      </c>
      <c r="N120" t="n">
        <v>0</v>
      </c>
      <c r="O120" t="n">
        <v>0</v>
      </c>
      <c r="P120" t="n">
        <v>0</v>
      </c>
      <c r="Q120" t="n">
        <v>0</v>
      </c>
      <c r="R120" s="2" t="inlineStr"/>
    </row>
    <row r="121" ht="15" customHeight="1">
      <c r="A121" t="inlineStr">
        <is>
          <t>A 26948-2019</t>
        </is>
      </c>
      <c r="B121" s="1" t="n">
        <v>43613</v>
      </c>
      <c r="C121" s="1" t="n">
        <v>45700</v>
      </c>
      <c r="D121" t="inlineStr">
        <is>
          <t>NORRBOTTENS LÄN</t>
        </is>
      </c>
      <c r="E121" t="inlineStr">
        <is>
          <t>GÄLLIVARE</t>
        </is>
      </c>
      <c r="F121" t="inlineStr">
        <is>
          <t>SCA</t>
        </is>
      </c>
      <c r="G121" t="n">
        <v>32.6</v>
      </c>
      <c r="H121" t="n">
        <v>0</v>
      </c>
      <c r="I121" t="n">
        <v>0</v>
      </c>
      <c r="J121" t="n">
        <v>0</v>
      </c>
      <c r="K121" t="n">
        <v>0</v>
      </c>
      <c r="L121" t="n">
        <v>0</v>
      </c>
      <c r="M121" t="n">
        <v>0</v>
      </c>
      <c r="N121" t="n">
        <v>0</v>
      </c>
      <c r="O121" t="n">
        <v>0</v>
      </c>
      <c r="P121" t="n">
        <v>0</v>
      </c>
      <c r="Q121" t="n">
        <v>0</v>
      </c>
      <c r="R121" s="2" t="inlineStr"/>
    </row>
    <row r="122" ht="15" customHeight="1">
      <c r="A122" t="inlineStr">
        <is>
          <t>A 26743-2019</t>
        </is>
      </c>
      <c r="B122" s="1" t="n">
        <v>43613</v>
      </c>
      <c r="C122" s="1" t="n">
        <v>45700</v>
      </c>
      <c r="D122" t="inlineStr">
        <is>
          <t>NORRBOTTENS LÄN</t>
        </is>
      </c>
      <c r="E122" t="inlineStr">
        <is>
          <t>GÄLLIVARE</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27043-2019</t>
        </is>
      </c>
      <c r="B123" s="1" t="n">
        <v>43614</v>
      </c>
      <c r="C123" s="1" t="n">
        <v>45700</v>
      </c>
      <c r="D123" t="inlineStr">
        <is>
          <t>NORRBOTTENS LÄN</t>
        </is>
      </c>
      <c r="E123" t="inlineStr">
        <is>
          <t>GÄLLIVARE</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27245-2019</t>
        </is>
      </c>
      <c r="B124" s="1" t="n">
        <v>43614</v>
      </c>
      <c r="C124" s="1" t="n">
        <v>45700</v>
      </c>
      <c r="D124" t="inlineStr">
        <is>
          <t>NORRBOTTENS LÄN</t>
        </is>
      </c>
      <c r="E124" t="inlineStr">
        <is>
          <t>GÄLLIVARE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27243-2019</t>
        </is>
      </c>
      <c r="B125" s="1" t="n">
        <v>43614</v>
      </c>
      <c r="C125" s="1" t="n">
        <v>45700</v>
      </c>
      <c r="D125" t="inlineStr">
        <is>
          <t>NORRBOTTENS LÄN</t>
        </is>
      </c>
      <c r="E125" t="inlineStr">
        <is>
          <t>GÄLLIVARE</t>
        </is>
      </c>
      <c r="F125" t="inlineStr">
        <is>
          <t>SCA</t>
        </is>
      </c>
      <c r="G125" t="n">
        <v>7.4</v>
      </c>
      <c r="H125" t="n">
        <v>0</v>
      </c>
      <c r="I125" t="n">
        <v>0</v>
      </c>
      <c r="J125" t="n">
        <v>0</v>
      </c>
      <c r="K125" t="n">
        <v>0</v>
      </c>
      <c r="L125" t="n">
        <v>0</v>
      </c>
      <c r="M125" t="n">
        <v>0</v>
      </c>
      <c r="N125" t="n">
        <v>0</v>
      </c>
      <c r="O125" t="n">
        <v>0</v>
      </c>
      <c r="P125" t="n">
        <v>0</v>
      </c>
      <c r="Q125" t="n">
        <v>0</v>
      </c>
      <c r="R125" s="2" t="inlineStr"/>
    </row>
    <row r="126" ht="15" customHeight="1">
      <c r="A126" t="inlineStr">
        <is>
          <t>A 27247-2019</t>
        </is>
      </c>
      <c r="B126" s="1" t="n">
        <v>43614</v>
      </c>
      <c r="C126" s="1" t="n">
        <v>45700</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28635-2019</t>
        </is>
      </c>
      <c r="B127" s="1" t="n">
        <v>43621</v>
      </c>
      <c r="C127" s="1" t="n">
        <v>45700</v>
      </c>
      <c r="D127" t="inlineStr">
        <is>
          <t>NORRBOTTENS LÄN</t>
        </is>
      </c>
      <c r="E127" t="inlineStr">
        <is>
          <t>GÄLLIVARE</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28634-2019</t>
        </is>
      </c>
      <c r="B128" s="1" t="n">
        <v>43621</v>
      </c>
      <c r="C128" s="1" t="n">
        <v>45700</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28633-2019</t>
        </is>
      </c>
      <c r="B129" s="1" t="n">
        <v>43621</v>
      </c>
      <c r="C129" s="1" t="n">
        <v>45700</v>
      </c>
      <c r="D129" t="inlineStr">
        <is>
          <t>NORRBOTTENS LÄN</t>
        </is>
      </c>
      <c r="E129" t="inlineStr">
        <is>
          <t>GÄLLIVARE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28476-2019</t>
        </is>
      </c>
      <c r="B130" s="1" t="n">
        <v>43626</v>
      </c>
      <c r="C130" s="1" t="n">
        <v>45700</v>
      </c>
      <c r="D130" t="inlineStr">
        <is>
          <t>NORRBOTTENS LÄN</t>
        </is>
      </c>
      <c r="E130" t="inlineStr">
        <is>
          <t>GÄLLIVARE</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29148-2019</t>
        </is>
      </c>
      <c r="B131" s="1" t="n">
        <v>43628</v>
      </c>
      <c r="C131" s="1" t="n">
        <v>45700</v>
      </c>
      <c r="D131" t="inlineStr">
        <is>
          <t>NORRBOTTENS LÄN</t>
        </is>
      </c>
      <c r="E131" t="inlineStr">
        <is>
          <t>GÄLLIVARE</t>
        </is>
      </c>
      <c r="F131" t="inlineStr">
        <is>
          <t>SCA</t>
        </is>
      </c>
      <c r="G131" t="n">
        <v>11.3</v>
      </c>
      <c r="H131" t="n">
        <v>0</v>
      </c>
      <c r="I131" t="n">
        <v>0</v>
      </c>
      <c r="J131" t="n">
        <v>0</v>
      </c>
      <c r="K131" t="n">
        <v>0</v>
      </c>
      <c r="L131" t="n">
        <v>0</v>
      </c>
      <c r="M131" t="n">
        <v>0</v>
      </c>
      <c r="N131" t="n">
        <v>0</v>
      </c>
      <c r="O131" t="n">
        <v>0</v>
      </c>
      <c r="P131" t="n">
        <v>0</v>
      </c>
      <c r="Q131" t="n">
        <v>0</v>
      </c>
      <c r="R131" s="2" t="inlineStr"/>
    </row>
    <row r="132" ht="15" customHeight="1">
      <c r="A132" t="inlineStr">
        <is>
          <t>A 29149-2019</t>
        </is>
      </c>
      <c r="B132" s="1" t="n">
        <v>43628</v>
      </c>
      <c r="C132" s="1" t="n">
        <v>45700</v>
      </c>
      <c r="D132" t="inlineStr">
        <is>
          <t>NORRBOTTENS LÄN</t>
        </is>
      </c>
      <c r="E132" t="inlineStr">
        <is>
          <t>GÄLLIVARE</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29552-2019</t>
        </is>
      </c>
      <c r="B133" s="1" t="n">
        <v>43630</v>
      </c>
      <c r="C133" s="1" t="n">
        <v>45700</v>
      </c>
      <c r="D133" t="inlineStr">
        <is>
          <t>NORRBOTTENS LÄN</t>
        </is>
      </c>
      <c r="E133" t="inlineStr">
        <is>
          <t>GÄLLIVARE</t>
        </is>
      </c>
      <c r="F133" t="inlineStr">
        <is>
          <t>Sveaskog</t>
        </is>
      </c>
      <c r="G133" t="n">
        <v>73.09999999999999</v>
      </c>
      <c r="H133" t="n">
        <v>0</v>
      </c>
      <c r="I133" t="n">
        <v>0</v>
      </c>
      <c r="J133" t="n">
        <v>0</v>
      </c>
      <c r="K133" t="n">
        <v>0</v>
      </c>
      <c r="L133" t="n">
        <v>0</v>
      </c>
      <c r="M133" t="n">
        <v>0</v>
      </c>
      <c r="N133" t="n">
        <v>0</v>
      </c>
      <c r="O133" t="n">
        <v>0</v>
      </c>
      <c r="P133" t="n">
        <v>0</v>
      </c>
      <c r="Q133" t="n">
        <v>0</v>
      </c>
      <c r="R133" s="2" t="inlineStr"/>
    </row>
    <row r="134" ht="15" customHeight="1">
      <c r="A134" t="inlineStr">
        <is>
          <t>A 30501-2019</t>
        </is>
      </c>
      <c r="B134" s="1" t="n">
        <v>43634</v>
      </c>
      <c r="C134" s="1" t="n">
        <v>45700</v>
      </c>
      <c r="D134" t="inlineStr">
        <is>
          <t>NORRBOTTENS LÄN</t>
        </is>
      </c>
      <c r="E134" t="inlineStr">
        <is>
          <t>GÄLLIVARE</t>
        </is>
      </c>
      <c r="G134" t="n">
        <v>4.5</v>
      </c>
      <c r="H134" t="n">
        <v>0</v>
      </c>
      <c r="I134" t="n">
        <v>0</v>
      </c>
      <c r="J134" t="n">
        <v>0</v>
      </c>
      <c r="K134" t="n">
        <v>0</v>
      </c>
      <c r="L134" t="n">
        <v>0</v>
      </c>
      <c r="M134" t="n">
        <v>0</v>
      </c>
      <c r="N134" t="n">
        <v>0</v>
      </c>
      <c r="O134" t="n">
        <v>0</v>
      </c>
      <c r="P134" t="n">
        <v>0</v>
      </c>
      <c r="Q134" t="n">
        <v>0</v>
      </c>
      <c r="R134" s="2" t="inlineStr"/>
    </row>
    <row r="135" ht="15" customHeight="1">
      <c r="A135" t="inlineStr">
        <is>
          <t>A 30652-2019</t>
        </is>
      </c>
      <c r="B135" s="1" t="n">
        <v>43636</v>
      </c>
      <c r="C135" s="1" t="n">
        <v>45700</v>
      </c>
      <c r="D135" t="inlineStr">
        <is>
          <t>NORRBOTTENS LÄN</t>
        </is>
      </c>
      <c r="E135" t="inlineStr">
        <is>
          <t>GÄLLIVARE</t>
        </is>
      </c>
      <c r="F135" t="inlineStr">
        <is>
          <t>Sveaskog</t>
        </is>
      </c>
      <c r="G135" t="n">
        <v>7.9</v>
      </c>
      <c r="H135" t="n">
        <v>0</v>
      </c>
      <c r="I135" t="n">
        <v>0</v>
      </c>
      <c r="J135" t="n">
        <v>0</v>
      </c>
      <c r="K135" t="n">
        <v>0</v>
      </c>
      <c r="L135" t="n">
        <v>0</v>
      </c>
      <c r="M135" t="n">
        <v>0</v>
      </c>
      <c r="N135" t="n">
        <v>0</v>
      </c>
      <c r="O135" t="n">
        <v>0</v>
      </c>
      <c r="P135" t="n">
        <v>0</v>
      </c>
      <c r="Q135" t="n">
        <v>0</v>
      </c>
      <c r="R135" s="2" t="inlineStr"/>
    </row>
    <row r="136" ht="15" customHeight="1">
      <c r="A136" t="inlineStr">
        <is>
          <t>A 31453-2019</t>
        </is>
      </c>
      <c r="B136" s="1" t="n">
        <v>43640</v>
      </c>
      <c r="C136" s="1" t="n">
        <v>45700</v>
      </c>
      <c r="D136" t="inlineStr">
        <is>
          <t>NORRBOTTENS LÄN</t>
        </is>
      </c>
      <c r="E136" t="inlineStr">
        <is>
          <t>GÄLLIVARE</t>
        </is>
      </c>
      <c r="G136" t="n">
        <v>5.9</v>
      </c>
      <c r="H136" t="n">
        <v>0</v>
      </c>
      <c r="I136" t="n">
        <v>0</v>
      </c>
      <c r="J136" t="n">
        <v>0</v>
      </c>
      <c r="K136" t="n">
        <v>0</v>
      </c>
      <c r="L136" t="n">
        <v>0</v>
      </c>
      <c r="M136" t="n">
        <v>0</v>
      </c>
      <c r="N136" t="n">
        <v>0</v>
      </c>
      <c r="O136" t="n">
        <v>0</v>
      </c>
      <c r="P136" t="n">
        <v>0</v>
      </c>
      <c r="Q136" t="n">
        <v>0</v>
      </c>
      <c r="R136" s="2" t="inlineStr"/>
    </row>
    <row r="137" ht="15" customHeight="1">
      <c r="A137" t="inlineStr">
        <is>
          <t>A 31525-2019</t>
        </is>
      </c>
      <c r="B137" s="1" t="n">
        <v>43641</v>
      </c>
      <c r="C137" s="1" t="n">
        <v>45700</v>
      </c>
      <c r="D137" t="inlineStr">
        <is>
          <t>NORRBOTTENS LÄN</t>
        </is>
      </c>
      <c r="E137" t="inlineStr">
        <is>
          <t>GÄLLIVARE</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31515-2019</t>
        </is>
      </c>
      <c r="B138" s="1" t="n">
        <v>43641</v>
      </c>
      <c r="C138" s="1" t="n">
        <v>45700</v>
      </c>
      <c r="D138" t="inlineStr">
        <is>
          <t>NORRBOTTENS LÄN</t>
        </is>
      </c>
      <c r="E138" t="inlineStr">
        <is>
          <t>GÄLLIVARE</t>
        </is>
      </c>
      <c r="F138" t="inlineStr">
        <is>
          <t>Sveaskog</t>
        </is>
      </c>
      <c r="G138" t="n">
        <v>13.6</v>
      </c>
      <c r="H138" t="n">
        <v>0</v>
      </c>
      <c r="I138" t="n">
        <v>0</v>
      </c>
      <c r="J138" t="n">
        <v>0</v>
      </c>
      <c r="K138" t="n">
        <v>0</v>
      </c>
      <c r="L138" t="n">
        <v>0</v>
      </c>
      <c r="M138" t="n">
        <v>0</v>
      </c>
      <c r="N138" t="n">
        <v>0</v>
      </c>
      <c r="O138" t="n">
        <v>0</v>
      </c>
      <c r="P138" t="n">
        <v>0</v>
      </c>
      <c r="Q138" t="n">
        <v>0</v>
      </c>
      <c r="R138" s="2" t="inlineStr"/>
    </row>
    <row r="139" ht="15" customHeight="1">
      <c r="A139" t="inlineStr">
        <is>
          <t>A 32671-2019</t>
        </is>
      </c>
      <c r="B139" s="1" t="n">
        <v>43647</v>
      </c>
      <c r="C139" s="1" t="n">
        <v>45700</v>
      </c>
      <c r="D139" t="inlineStr">
        <is>
          <t>NORRBOTTENS LÄN</t>
        </is>
      </c>
      <c r="E139" t="inlineStr">
        <is>
          <t>GÄLLIVARE</t>
        </is>
      </c>
      <c r="G139" t="n">
        <v>10</v>
      </c>
      <c r="H139" t="n">
        <v>0</v>
      </c>
      <c r="I139" t="n">
        <v>0</v>
      </c>
      <c r="J139" t="n">
        <v>0</v>
      </c>
      <c r="K139" t="n">
        <v>0</v>
      </c>
      <c r="L139" t="n">
        <v>0</v>
      </c>
      <c r="M139" t="n">
        <v>0</v>
      </c>
      <c r="N139" t="n">
        <v>0</v>
      </c>
      <c r="O139" t="n">
        <v>0</v>
      </c>
      <c r="P139" t="n">
        <v>0</v>
      </c>
      <c r="Q139" t="n">
        <v>0</v>
      </c>
      <c r="R139" s="2" t="inlineStr"/>
    </row>
    <row r="140" ht="15" customHeight="1">
      <c r="A140" t="inlineStr">
        <is>
          <t>A 32549-2019</t>
        </is>
      </c>
      <c r="B140" s="1" t="n">
        <v>43647</v>
      </c>
      <c r="C140" s="1" t="n">
        <v>45700</v>
      </c>
      <c r="D140" t="inlineStr">
        <is>
          <t>NORRBOTTENS LÄN</t>
        </is>
      </c>
      <c r="E140" t="inlineStr">
        <is>
          <t>GÄLLIVARE</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32869-2019</t>
        </is>
      </c>
      <c r="B141" s="1" t="n">
        <v>43648</v>
      </c>
      <c r="C141" s="1" t="n">
        <v>45700</v>
      </c>
      <c r="D141" t="inlineStr">
        <is>
          <t>NORRBOTTENS LÄN</t>
        </is>
      </c>
      <c r="E141" t="inlineStr">
        <is>
          <t>GÄLLIVARE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34053-2019</t>
        </is>
      </c>
      <c r="B142" s="1" t="n">
        <v>43654</v>
      </c>
      <c r="C142" s="1" t="n">
        <v>45700</v>
      </c>
      <c r="D142" t="inlineStr">
        <is>
          <t>NORRBOTTENS LÄN</t>
        </is>
      </c>
      <c r="E142" t="inlineStr">
        <is>
          <t>GÄLLIVARE</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34049-2019</t>
        </is>
      </c>
      <c r="B143" s="1" t="n">
        <v>43654</v>
      </c>
      <c r="C143" s="1" t="n">
        <v>45700</v>
      </c>
      <c r="D143" t="inlineStr">
        <is>
          <t>NORRBOTTENS LÄN</t>
        </is>
      </c>
      <c r="E143" t="inlineStr">
        <is>
          <t>GÄLLIVARE</t>
        </is>
      </c>
      <c r="F143" t="inlineStr">
        <is>
          <t>Sveaskog</t>
        </is>
      </c>
      <c r="G143" t="n">
        <v>10.2</v>
      </c>
      <c r="H143" t="n">
        <v>0</v>
      </c>
      <c r="I143" t="n">
        <v>0</v>
      </c>
      <c r="J143" t="n">
        <v>0</v>
      </c>
      <c r="K143" t="n">
        <v>0</v>
      </c>
      <c r="L143" t="n">
        <v>0</v>
      </c>
      <c r="M143" t="n">
        <v>0</v>
      </c>
      <c r="N143" t="n">
        <v>0</v>
      </c>
      <c r="O143" t="n">
        <v>0</v>
      </c>
      <c r="P143" t="n">
        <v>0</v>
      </c>
      <c r="Q143" t="n">
        <v>0</v>
      </c>
      <c r="R143" s="2" t="inlineStr"/>
    </row>
    <row r="144" ht="15" customHeight="1">
      <c r="A144" t="inlineStr">
        <is>
          <t>A 34255-2019</t>
        </is>
      </c>
      <c r="B144" s="1" t="n">
        <v>43655</v>
      </c>
      <c r="C144" s="1" t="n">
        <v>45700</v>
      </c>
      <c r="D144" t="inlineStr">
        <is>
          <t>NORRBOTTENS LÄN</t>
        </is>
      </c>
      <c r="E144" t="inlineStr">
        <is>
          <t>GÄLLIVARE</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36046-2019</t>
        </is>
      </c>
      <c r="B145" s="1" t="n">
        <v>43668</v>
      </c>
      <c r="C145" s="1" t="n">
        <v>45700</v>
      </c>
      <c r="D145" t="inlineStr">
        <is>
          <t>NORRBOTTENS LÄN</t>
        </is>
      </c>
      <c r="E145" t="inlineStr">
        <is>
          <t>GÄLLIVARE</t>
        </is>
      </c>
      <c r="F145" t="inlineStr">
        <is>
          <t>Sveaskog</t>
        </is>
      </c>
      <c r="G145" t="n">
        <v>14.9</v>
      </c>
      <c r="H145" t="n">
        <v>0</v>
      </c>
      <c r="I145" t="n">
        <v>0</v>
      </c>
      <c r="J145" t="n">
        <v>0</v>
      </c>
      <c r="K145" t="n">
        <v>0</v>
      </c>
      <c r="L145" t="n">
        <v>0</v>
      </c>
      <c r="M145" t="n">
        <v>0</v>
      </c>
      <c r="N145" t="n">
        <v>0</v>
      </c>
      <c r="O145" t="n">
        <v>0</v>
      </c>
      <c r="P145" t="n">
        <v>0</v>
      </c>
      <c r="Q145" t="n">
        <v>0</v>
      </c>
      <c r="R145" s="2" t="inlineStr"/>
    </row>
    <row r="146" ht="15" customHeight="1">
      <c r="A146" t="inlineStr">
        <is>
          <t>A 37123-2019</t>
        </is>
      </c>
      <c r="B146" s="1" t="n">
        <v>43676</v>
      </c>
      <c r="C146" s="1" t="n">
        <v>45700</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37122-2019</t>
        </is>
      </c>
      <c r="B147" s="1" t="n">
        <v>43676</v>
      </c>
      <c r="C147" s="1" t="n">
        <v>45700</v>
      </c>
      <c r="D147" t="inlineStr">
        <is>
          <t>NORRBOTTENS LÄN</t>
        </is>
      </c>
      <c r="E147" t="inlineStr">
        <is>
          <t>GÄLLIVARE</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38322-2019</t>
        </is>
      </c>
      <c r="B148" s="1" t="n">
        <v>43684</v>
      </c>
      <c r="C148" s="1" t="n">
        <v>45700</v>
      </c>
      <c r="D148" t="inlineStr">
        <is>
          <t>NORRBOTTENS LÄN</t>
        </is>
      </c>
      <c r="E148" t="inlineStr">
        <is>
          <t>GÄLLIVARE</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39604-2019</t>
        </is>
      </c>
      <c r="B149" s="1" t="n">
        <v>43686</v>
      </c>
      <c r="C149" s="1" t="n">
        <v>45700</v>
      </c>
      <c r="D149" t="inlineStr">
        <is>
          <t>NORRBOTTENS LÄN</t>
        </is>
      </c>
      <c r="E149" t="inlineStr">
        <is>
          <t>GÄLLIVARE</t>
        </is>
      </c>
      <c r="G149" t="n">
        <v>2</v>
      </c>
      <c r="H149" t="n">
        <v>0</v>
      </c>
      <c r="I149" t="n">
        <v>0</v>
      </c>
      <c r="J149" t="n">
        <v>0</v>
      </c>
      <c r="K149" t="n">
        <v>0</v>
      </c>
      <c r="L149" t="n">
        <v>0</v>
      </c>
      <c r="M149" t="n">
        <v>0</v>
      </c>
      <c r="N149" t="n">
        <v>0</v>
      </c>
      <c r="O149" t="n">
        <v>0</v>
      </c>
      <c r="P149" t="n">
        <v>0</v>
      </c>
      <c r="Q149" t="n">
        <v>0</v>
      </c>
      <c r="R149" s="2" t="inlineStr"/>
    </row>
    <row r="150" ht="15" customHeight="1">
      <c r="A150" t="inlineStr">
        <is>
          <t>A 39893-2019</t>
        </is>
      </c>
      <c r="B150" s="1" t="n">
        <v>43689</v>
      </c>
      <c r="C150" s="1" t="n">
        <v>45700</v>
      </c>
      <c r="D150" t="inlineStr">
        <is>
          <t>NORRBOTTENS LÄN</t>
        </is>
      </c>
      <c r="E150" t="inlineStr">
        <is>
          <t>GÄLLIVARE</t>
        </is>
      </c>
      <c r="G150" t="n">
        <v>7</v>
      </c>
      <c r="H150" t="n">
        <v>0</v>
      </c>
      <c r="I150" t="n">
        <v>0</v>
      </c>
      <c r="J150" t="n">
        <v>0</v>
      </c>
      <c r="K150" t="n">
        <v>0</v>
      </c>
      <c r="L150" t="n">
        <v>0</v>
      </c>
      <c r="M150" t="n">
        <v>0</v>
      </c>
      <c r="N150" t="n">
        <v>0</v>
      </c>
      <c r="O150" t="n">
        <v>0</v>
      </c>
      <c r="P150" t="n">
        <v>0</v>
      </c>
      <c r="Q150" t="n">
        <v>0</v>
      </c>
      <c r="R150" s="2" t="inlineStr"/>
    </row>
    <row r="151" ht="15" customHeight="1">
      <c r="A151" t="inlineStr">
        <is>
          <t>A 39907-2019</t>
        </is>
      </c>
      <c r="B151" s="1" t="n">
        <v>43689</v>
      </c>
      <c r="C151" s="1" t="n">
        <v>45700</v>
      </c>
      <c r="D151" t="inlineStr">
        <is>
          <t>NORRBOTTENS LÄN</t>
        </is>
      </c>
      <c r="E151" t="inlineStr">
        <is>
          <t>GÄLLIVARE</t>
        </is>
      </c>
      <c r="G151" t="n">
        <v>5.8</v>
      </c>
      <c r="H151" t="n">
        <v>0</v>
      </c>
      <c r="I151" t="n">
        <v>0</v>
      </c>
      <c r="J151" t="n">
        <v>0</v>
      </c>
      <c r="K151" t="n">
        <v>0</v>
      </c>
      <c r="L151" t="n">
        <v>0</v>
      </c>
      <c r="M151" t="n">
        <v>0</v>
      </c>
      <c r="N151" t="n">
        <v>0</v>
      </c>
      <c r="O151" t="n">
        <v>0</v>
      </c>
      <c r="P151" t="n">
        <v>0</v>
      </c>
      <c r="Q151" t="n">
        <v>0</v>
      </c>
      <c r="R151" s="2" t="inlineStr"/>
    </row>
    <row r="152" ht="15" customHeight="1">
      <c r="A152" t="inlineStr">
        <is>
          <t>A 40435-2019</t>
        </is>
      </c>
      <c r="B152" s="1" t="n">
        <v>43690</v>
      </c>
      <c r="C152" s="1" t="n">
        <v>45700</v>
      </c>
      <c r="D152" t="inlineStr">
        <is>
          <t>NORRBOTTENS LÄN</t>
        </is>
      </c>
      <c r="E152" t="inlineStr">
        <is>
          <t>GÄLLIVARE</t>
        </is>
      </c>
      <c r="G152" t="n">
        <v>3.2</v>
      </c>
      <c r="H152" t="n">
        <v>0</v>
      </c>
      <c r="I152" t="n">
        <v>0</v>
      </c>
      <c r="J152" t="n">
        <v>0</v>
      </c>
      <c r="K152" t="n">
        <v>0</v>
      </c>
      <c r="L152" t="n">
        <v>0</v>
      </c>
      <c r="M152" t="n">
        <v>0</v>
      </c>
      <c r="N152" t="n">
        <v>0</v>
      </c>
      <c r="O152" t="n">
        <v>0</v>
      </c>
      <c r="P152" t="n">
        <v>0</v>
      </c>
      <c r="Q152" t="n">
        <v>0</v>
      </c>
      <c r="R152" s="2" t="inlineStr"/>
    </row>
    <row r="153" ht="15" customHeight="1">
      <c r="A153" t="inlineStr">
        <is>
          <t>A 39733-2019</t>
        </is>
      </c>
      <c r="B153" s="1" t="n">
        <v>43691</v>
      </c>
      <c r="C153" s="1" t="n">
        <v>45700</v>
      </c>
      <c r="D153" t="inlineStr">
        <is>
          <t>NORRBOTTENS LÄN</t>
        </is>
      </c>
      <c r="E153" t="inlineStr">
        <is>
          <t>GÄLLIVARE</t>
        </is>
      </c>
      <c r="G153" t="n">
        <v>10.2</v>
      </c>
      <c r="H153" t="n">
        <v>0</v>
      </c>
      <c r="I153" t="n">
        <v>0</v>
      </c>
      <c r="J153" t="n">
        <v>0</v>
      </c>
      <c r="K153" t="n">
        <v>0</v>
      </c>
      <c r="L153" t="n">
        <v>0</v>
      </c>
      <c r="M153" t="n">
        <v>0</v>
      </c>
      <c r="N153" t="n">
        <v>0</v>
      </c>
      <c r="O153" t="n">
        <v>0</v>
      </c>
      <c r="P153" t="n">
        <v>0</v>
      </c>
      <c r="Q153" t="n">
        <v>0</v>
      </c>
      <c r="R153" s="2" t="inlineStr"/>
    </row>
    <row r="154" ht="15" customHeight="1">
      <c r="A154" t="inlineStr">
        <is>
          <t>A 40147-2019</t>
        </is>
      </c>
      <c r="B154" s="1" t="n">
        <v>43693</v>
      </c>
      <c r="C154" s="1" t="n">
        <v>45700</v>
      </c>
      <c r="D154" t="inlineStr">
        <is>
          <t>NORRBOTTENS LÄN</t>
        </is>
      </c>
      <c r="E154" t="inlineStr">
        <is>
          <t>GÄLLIVARE</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42081-2019</t>
        </is>
      </c>
      <c r="B155" s="1" t="n">
        <v>43700</v>
      </c>
      <c r="C155" s="1" t="n">
        <v>45700</v>
      </c>
      <c r="D155" t="inlineStr">
        <is>
          <t>NORRBOTTENS LÄN</t>
        </is>
      </c>
      <c r="E155" t="inlineStr">
        <is>
          <t>GÄLLIVARE</t>
        </is>
      </c>
      <c r="F155" t="inlineStr">
        <is>
          <t>SCA</t>
        </is>
      </c>
      <c r="G155" t="n">
        <v>15.2</v>
      </c>
      <c r="H155" t="n">
        <v>0</v>
      </c>
      <c r="I155" t="n">
        <v>0</v>
      </c>
      <c r="J155" t="n">
        <v>0</v>
      </c>
      <c r="K155" t="n">
        <v>0</v>
      </c>
      <c r="L155" t="n">
        <v>0</v>
      </c>
      <c r="M155" t="n">
        <v>0</v>
      </c>
      <c r="N155" t="n">
        <v>0</v>
      </c>
      <c r="O155" t="n">
        <v>0</v>
      </c>
      <c r="P155" t="n">
        <v>0</v>
      </c>
      <c r="Q155" t="n">
        <v>0</v>
      </c>
      <c r="R155" s="2" t="inlineStr"/>
    </row>
    <row r="156" ht="15" customHeight="1">
      <c r="A156" t="inlineStr">
        <is>
          <t>A 43256-2019</t>
        </is>
      </c>
      <c r="B156" s="1" t="n">
        <v>43703</v>
      </c>
      <c r="C156" s="1" t="n">
        <v>45700</v>
      </c>
      <c r="D156" t="inlineStr">
        <is>
          <t>NORRBOTTENS LÄN</t>
        </is>
      </c>
      <c r="E156" t="inlineStr">
        <is>
          <t>GÄLLIVARE</t>
        </is>
      </c>
      <c r="F156" t="inlineStr">
        <is>
          <t>Allmännings- och besparingsskogar</t>
        </is>
      </c>
      <c r="G156" t="n">
        <v>26.8</v>
      </c>
      <c r="H156" t="n">
        <v>0</v>
      </c>
      <c r="I156" t="n">
        <v>0</v>
      </c>
      <c r="J156" t="n">
        <v>0</v>
      </c>
      <c r="K156" t="n">
        <v>0</v>
      </c>
      <c r="L156" t="n">
        <v>0</v>
      </c>
      <c r="M156" t="n">
        <v>0</v>
      </c>
      <c r="N156" t="n">
        <v>0</v>
      </c>
      <c r="O156" t="n">
        <v>0</v>
      </c>
      <c r="P156" t="n">
        <v>0</v>
      </c>
      <c r="Q156" t="n">
        <v>0</v>
      </c>
      <c r="R156" s="2" t="inlineStr"/>
    </row>
    <row r="157" ht="15" customHeight="1">
      <c r="A157" t="inlineStr">
        <is>
          <t>A 42505-2019</t>
        </is>
      </c>
      <c r="B157" s="1" t="n">
        <v>43704</v>
      </c>
      <c r="C157" s="1" t="n">
        <v>45700</v>
      </c>
      <c r="D157" t="inlineStr">
        <is>
          <t>NORRBOTTENS LÄN</t>
        </is>
      </c>
      <c r="E157" t="inlineStr">
        <is>
          <t>GÄLLIVARE</t>
        </is>
      </c>
      <c r="F157" t="inlineStr">
        <is>
          <t>Sveaskog</t>
        </is>
      </c>
      <c r="G157" t="n">
        <v>11.2</v>
      </c>
      <c r="H157" t="n">
        <v>0</v>
      </c>
      <c r="I157" t="n">
        <v>0</v>
      </c>
      <c r="J157" t="n">
        <v>0</v>
      </c>
      <c r="K157" t="n">
        <v>0</v>
      </c>
      <c r="L157" t="n">
        <v>0</v>
      </c>
      <c r="M157" t="n">
        <v>0</v>
      </c>
      <c r="N157" t="n">
        <v>0</v>
      </c>
      <c r="O157" t="n">
        <v>0</v>
      </c>
      <c r="P157" t="n">
        <v>0</v>
      </c>
      <c r="Q157" t="n">
        <v>0</v>
      </c>
      <c r="R157" s="2" t="inlineStr"/>
    </row>
    <row r="158" ht="15" customHeight="1">
      <c r="A158" t="inlineStr">
        <is>
          <t>A 42513-2019</t>
        </is>
      </c>
      <c r="B158" s="1" t="n">
        <v>43704</v>
      </c>
      <c r="C158" s="1" t="n">
        <v>45700</v>
      </c>
      <c r="D158" t="inlineStr">
        <is>
          <t>NORRBOTTENS LÄN</t>
        </is>
      </c>
      <c r="E158" t="inlineStr">
        <is>
          <t>GÄLLIVARE</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44239-2019</t>
        </is>
      </c>
      <c r="B159" s="1" t="n">
        <v>43704</v>
      </c>
      <c r="C159" s="1" t="n">
        <v>45700</v>
      </c>
      <c r="D159" t="inlineStr">
        <is>
          <t>NORRBOTTENS LÄN</t>
        </is>
      </c>
      <c r="E159" t="inlineStr">
        <is>
          <t>GÄLLIVARE</t>
        </is>
      </c>
      <c r="G159" t="n">
        <v>0.4</v>
      </c>
      <c r="H159" t="n">
        <v>0</v>
      </c>
      <c r="I159" t="n">
        <v>0</v>
      </c>
      <c r="J159" t="n">
        <v>0</v>
      </c>
      <c r="K159" t="n">
        <v>0</v>
      </c>
      <c r="L159" t="n">
        <v>0</v>
      </c>
      <c r="M159" t="n">
        <v>0</v>
      </c>
      <c r="N159" t="n">
        <v>0</v>
      </c>
      <c r="O159" t="n">
        <v>0</v>
      </c>
      <c r="P159" t="n">
        <v>0</v>
      </c>
      <c r="Q159" t="n">
        <v>0</v>
      </c>
      <c r="R159" s="2" t="inlineStr"/>
    </row>
    <row r="160" ht="15" customHeight="1">
      <c r="A160" t="inlineStr">
        <is>
          <t>A 45655-2019</t>
        </is>
      </c>
      <c r="B160" s="1" t="n">
        <v>43704</v>
      </c>
      <c r="C160" s="1" t="n">
        <v>45700</v>
      </c>
      <c r="D160" t="inlineStr">
        <is>
          <t>NORRBOTTENS LÄN</t>
        </is>
      </c>
      <c r="E160" t="inlineStr">
        <is>
          <t>GÄLLIVARE</t>
        </is>
      </c>
      <c r="G160" t="n">
        <v>0.9</v>
      </c>
      <c r="H160" t="n">
        <v>0</v>
      </c>
      <c r="I160" t="n">
        <v>0</v>
      </c>
      <c r="J160" t="n">
        <v>0</v>
      </c>
      <c r="K160" t="n">
        <v>0</v>
      </c>
      <c r="L160" t="n">
        <v>0</v>
      </c>
      <c r="M160" t="n">
        <v>0</v>
      </c>
      <c r="N160" t="n">
        <v>0</v>
      </c>
      <c r="O160" t="n">
        <v>0</v>
      </c>
      <c r="P160" t="n">
        <v>0</v>
      </c>
      <c r="Q160" t="n">
        <v>0</v>
      </c>
      <c r="R160" s="2" t="inlineStr"/>
    </row>
    <row r="161" ht="15" customHeight="1">
      <c r="A161" t="inlineStr">
        <is>
          <t>A 45652-2019</t>
        </is>
      </c>
      <c r="B161" s="1" t="n">
        <v>43704</v>
      </c>
      <c r="C161" s="1" t="n">
        <v>45700</v>
      </c>
      <c r="D161" t="inlineStr">
        <is>
          <t>NORRBOTTENS LÄN</t>
        </is>
      </c>
      <c r="E161" t="inlineStr">
        <is>
          <t>GÄLLIVARE</t>
        </is>
      </c>
      <c r="G161" t="n">
        <v>1</v>
      </c>
      <c r="H161" t="n">
        <v>0</v>
      </c>
      <c r="I161" t="n">
        <v>0</v>
      </c>
      <c r="J161" t="n">
        <v>0</v>
      </c>
      <c r="K161" t="n">
        <v>0</v>
      </c>
      <c r="L161" t="n">
        <v>0</v>
      </c>
      <c r="M161" t="n">
        <v>0</v>
      </c>
      <c r="N161" t="n">
        <v>0</v>
      </c>
      <c r="O161" t="n">
        <v>0</v>
      </c>
      <c r="P161" t="n">
        <v>0</v>
      </c>
      <c r="Q161" t="n">
        <v>0</v>
      </c>
      <c r="R161" s="2" t="inlineStr"/>
    </row>
    <row r="162" ht="15" customHeight="1">
      <c r="A162" t="inlineStr">
        <is>
          <t>A 45656-2019</t>
        </is>
      </c>
      <c r="B162" s="1" t="n">
        <v>43704</v>
      </c>
      <c r="C162" s="1" t="n">
        <v>45700</v>
      </c>
      <c r="D162" t="inlineStr">
        <is>
          <t>NORRBOTTENS LÄN</t>
        </is>
      </c>
      <c r="E162" t="inlineStr">
        <is>
          <t>GÄLLIVARE</t>
        </is>
      </c>
      <c r="G162" t="n">
        <v>1.5</v>
      </c>
      <c r="H162" t="n">
        <v>0</v>
      </c>
      <c r="I162" t="n">
        <v>0</v>
      </c>
      <c r="J162" t="n">
        <v>0</v>
      </c>
      <c r="K162" t="n">
        <v>0</v>
      </c>
      <c r="L162" t="n">
        <v>0</v>
      </c>
      <c r="M162" t="n">
        <v>0</v>
      </c>
      <c r="N162" t="n">
        <v>0</v>
      </c>
      <c r="O162" t="n">
        <v>0</v>
      </c>
      <c r="P162" t="n">
        <v>0</v>
      </c>
      <c r="Q162" t="n">
        <v>0</v>
      </c>
      <c r="R162" s="2" t="inlineStr"/>
    </row>
    <row r="163" ht="15" customHeight="1">
      <c r="A163" t="inlineStr">
        <is>
          <t>A 43505-2019</t>
        </is>
      </c>
      <c r="B163" s="1" t="n">
        <v>43706</v>
      </c>
      <c r="C163" s="1" t="n">
        <v>45700</v>
      </c>
      <c r="D163" t="inlineStr">
        <is>
          <t>NORRBOTTENS LÄN</t>
        </is>
      </c>
      <c r="E163" t="inlineStr">
        <is>
          <t>GÄLLIVARE</t>
        </is>
      </c>
      <c r="G163" t="n">
        <v>60.2</v>
      </c>
      <c r="H163" t="n">
        <v>0</v>
      </c>
      <c r="I163" t="n">
        <v>0</v>
      </c>
      <c r="J163" t="n">
        <v>0</v>
      </c>
      <c r="K163" t="n">
        <v>0</v>
      </c>
      <c r="L163" t="n">
        <v>0</v>
      </c>
      <c r="M163" t="n">
        <v>0</v>
      </c>
      <c r="N163" t="n">
        <v>0</v>
      </c>
      <c r="O163" t="n">
        <v>0</v>
      </c>
      <c r="P163" t="n">
        <v>0</v>
      </c>
      <c r="Q163" t="n">
        <v>0</v>
      </c>
      <c r="R163" s="2" t="inlineStr"/>
    </row>
    <row r="164" ht="15" customHeight="1">
      <c r="A164" t="inlineStr">
        <is>
          <t>A 43597-2019</t>
        </is>
      </c>
      <c r="B164" s="1" t="n">
        <v>43706</v>
      </c>
      <c r="C164" s="1" t="n">
        <v>45700</v>
      </c>
      <c r="D164" t="inlineStr">
        <is>
          <t>NORRBOTTENS LÄN</t>
        </is>
      </c>
      <c r="E164" t="inlineStr">
        <is>
          <t>GÄLLIVARE</t>
        </is>
      </c>
      <c r="F164" t="inlineStr">
        <is>
          <t>SCA</t>
        </is>
      </c>
      <c r="G164" t="n">
        <v>17.7</v>
      </c>
      <c r="H164" t="n">
        <v>0</v>
      </c>
      <c r="I164" t="n">
        <v>0</v>
      </c>
      <c r="J164" t="n">
        <v>0</v>
      </c>
      <c r="K164" t="n">
        <v>0</v>
      </c>
      <c r="L164" t="n">
        <v>0</v>
      </c>
      <c r="M164" t="n">
        <v>0</v>
      </c>
      <c r="N164" t="n">
        <v>0</v>
      </c>
      <c r="O164" t="n">
        <v>0</v>
      </c>
      <c r="P164" t="n">
        <v>0</v>
      </c>
      <c r="Q164" t="n">
        <v>0</v>
      </c>
      <c r="R164" s="2" t="inlineStr"/>
    </row>
    <row r="165" ht="15" customHeight="1">
      <c r="A165" t="inlineStr">
        <is>
          <t>A 43596-2019</t>
        </is>
      </c>
      <c r="B165" s="1" t="n">
        <v>43706</v>
      </c>
      <c r="C165" s="1" t="n">
        <v>45700</v>
      </c>
      <c r="D165" t="inlineStr">
        <is>
          <t>NORRBOTTENS LÄN</t>
        </is>
      </c>
      <c r="E165" t="inlineStr">
        <is>
          <t>GÄLLIVARE</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46662-2019</t>
        </is>
      </c>
      <c r="B166" s="1" t="n">
        <v>43718</v>
      </c>
      <c r="C166" s="1" t="n">
        <v>45700</v>
      </c>
      <c r="D166" t="inlineStr">
        <is>
          <t>NORRBOTTENS LÄN</t>
        </is>
      </c>
      <c r="E166" t="inlineStr">
        <is>
          <t>GÄLLIVARE</t>
        </is>
      </c>
      <c r="G166" t="n">
        <v>2.1</v>
      </c>
      <c r="H166" t="n">
        <v>0</v>
      </c>
      <c r="I166" t="n">
        <v>0</v>
      </c>
      <c r="J166" t="n">
        <v>0</v>
      </c>
      <c r="K166" t="n">
        <v>0</v>
      </c>
      <c r="L166" t="n">
        <v>0</v>
      </c>
      <c r="M166" t="n">
        <v>0</v>
      </c>
      <c r="N166" t="n">
        <v>0</v>
      </c>
      <c r="O166" t="n">
        <v>0</v>
      </c>
      <c r="P166" t="n">
        <v>0</v>
      </c>
      <c r="Q166" t="n">
        <v>0</v>
      </c>
      <c r="R166" s="2" t="inlineStr"/>
    </row>
    <row r="167" ht="15" customHeight="1">
      <c r="A167" t="inlineStr">
        <is>
          <t>A 47093-2019</t>
        </is>
      </c>
      <c r="B167" s="1" t="n">
        <v>43720</v>
      </c>
      <c r="C167" s="1" t="n">
        <v>45700</v>
      </c>
      <c r="D167" t="inlineStr">
        <is>
          <t>NORRBOTTENS LÄN</t>
        </is>
      </c>
      <c r="E167" t="inlineStr">
        <is>
          <t>GÄLLIVARE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47637-2019</t>
        </is>
      </c>
      <c r="B168" s="1" t="n">
        <v>43724</v>
      </c>
      <c r="C168" s="1" t="n">
        <v>45700</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47761-2019</t>
        </is>
      </c>
      <c r="B169" s="1" t="n">
        <v>43724</v>
      </c>
      <c r="C169" s="1" t="n">
        <v>45700</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47625-2019</t>
        </is>
      </c>
      <c r="B170" s="1" t="n">
        <v>43724</v>
      </c>
      <c r="C170" s="1" t="n">
        <v>45700</v>
      </c>
      <c r="D170" t="inlineStr">
        <is>
          <t>NORRBOTTENS LÄN</t>
        </is>
      </c>
      <c r="E170" t="inlineStr">
        <is>
          <t>GÄLLIVARE</t>
        </is>
      </c>
      <c r="G170" t="n">
        <v>6.4</v>
      </c>
      <c r="H170" t="n">
        <v>0</v>
      </c>
      <c r="I170" t="n">
        <v>0</v>
      </c>
      <c r="J170" t="n">
        <v>0</v>
      </c>
      <c r="K170" t="n">
        <v>0</v>
      </c>
      <c r="L170" t="n">
        <v>0</v>
      </c>
      <c r="M170" t="n">
        <v>0</v>
      </c>
      <c r="N170" t="n">
        <v>0</v>
      </c>
      <c r="O170" t="n">
        <v>0</v>
      </c>
      <c r="P170" t="n">
        <v>0</v>
      </c>
      <c r="Q170" t="n">
        <v>0</v>
      </c>
      <c r="R170" s="2" t="inlineStr"/>
    </row>
    <row r="171" ht="15" customHeight="1">
      <c r="A171" t="inlineStr">
        <is>
          <t>A 47635-2019</t>
        </is>
      </c>
      <c r="B171" s="1" t="n">
        <v>43724</v>
      </c>
      <c r="C171" s="1" t="n">
        <v>45700</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48094-2019</t>
        </is>
      </c>
      <c r="B172" s="1" t="n">
        <v>43725</v>
      </c>
      <c r="C172" s="1" t="n">
        <v>45700</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50126-2019</t>
        </is>
      </c>
      <c r="B173" s="1" t="n">
        <v>43734</v>
      </c>
      <c r="C173" s="1" t="n">
        <v>45700</v>
      </c>
      <c r="D173" t="inlineStr">
        <is>
          <t>NORRBOTTENS LÄN</t>
        </is>
      </c>
      <c r="E173" t="inlineStr">
        <is>
          <t>GÄLLIVARE</t>
        </is>
      </c>
      <c r="F173" t="inlineStr">
        <is>
          <t>Sveaskog</t>
        </is>
      </c>
      <c r="G173" t="n">
        <v>9</v>
      </c>
      <c r="H173" t="n">
        <v>0</v>
      </c>
      <c r="I173" t="n">
        <v>0</v>
      </c>
      <c r="J173" t="n">
        <v>0</v>
      </c>
      <c r="K173" t="n">
        <v>0</v>
      </c>
      <c r="L173" t="n">
        <v>0</v>
      </c>
      <c r="M173" t="n">
        <v>0</v>
      </c>
      <c r="N173" t="n">
        <v>0</v>
      </c>
      <c r="O173" t="n">
        <v>0</v>
      </c>
      <c r="P173" t="n">
        <v>0</v>
      </c>
      <c r="Q173" t="n">
        <v>0</v>
      </c>
      <c r="R173" s="2" t="inlineStr"/>
    </row>
    <row r="174" ht="15" customHeight="1">
      <c r="A174" t="inlineStr">
        <is>
          <t>A 50123-2019</t>
        </is>
      </c>
      <c r="B174" s="1" t="n">
        <v>43734</v>
      </c>
      <c r="C174" s="1" t="n">
        <v>45700</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52026-2019</t>
        </is>
      </c>
      <c r="B175" s="1" t="n">
        <v>43734</v>
      </c>
      <c r="C175" s="1" t="n">
        <v>45700</v>
      </c>
      <c r="D175" t="inlineStr">
        <is>
          <t>NORRBOTTENS LÄN</t>
        </is>
      </c>
      <c r="E175" t="inlineStr">
        <is>
          <t>GÄLLIVARE</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50120-2019</t>
        </is>
      </c>
      <c r="B176" s="1" t="n">
        <v>43734</v>
      </c>
      <c r="C176" s="1" t="n">
        <v>45700</v>
      </c>
      <c r="D176" t="inlineStr">
        <is>
          <t>NORRBOTTENS LÄN</t>
        </is>
      </c>
      <c r="E176" t="inlineStr">
        <is>
          <t>GÄLLIVARE</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52748-2019</t>
        </is>
      </c>
      <c r="B177" s="1" t="n">
        <v>43739</v>
      </c>
      <c r="C177" s="1" t="n">
        <v>45700</v>
      </c>
      <c r="D177" t="inlineStr">
        <is>
          <t>NORRBOTTENS LÄN</t>
        </is>
      </c>
      <c r="E177" t="inlineStr">
        <is>
          <t>GÄLLIVARE</t>
        </is>
      </c>
      <c r="G177" t="n">
        <v>6.2</v>
      </c>
      <c r="H177" t="n">
        <v>0</v>
      </c>
      <c r="I177" t="n">
        <v>0</v>
      </c>
      <c r="J177" t="n">
        <v>0</v>
      </c>
      <c r="K177" t="n">
        <v>0</v>
      </c>
      <c r="L177" t="n">
        <v>0</v>
      </c>
      <c r="M177" t="n">
        <v>0</v>
      </c>
      <c r="N177" t="n">
        <v>0</v>
      </c>
      <c r="O177" t="n">
        <v>0</v>
      </c>
      <c r="P177" t="n">
        <v>0</v>
      </c>
      <c r="Q177" t="n">
        <v>0</v>
      </c>
      <c r="R177" s="2" t="inlineStr"/>
    </row>
    <row r="178" ht="15" customHeight="1">
      <c r="A178" t="inlineStr">
        <is>
          <t>A 51514-2019</t>
        </is>
      </c>
      <c r="B178" s="1" t="n">
        <v>43740</v>
      </c>
      <c r="C178" s="1" t="n">
        <v>45700</v>
      </c>
      <c r="D178" t="inlineStr">
        <is>
          <t>NORRBOTTENS LÄN</t>
        </is>
      </c>
      <c r="E178" t="inlineStr">
        <is>
          <t>GÄLLIVARE</t>
        </is>
      </c>
      <c r="F178" t="inlineStr">
        <is>
          <t>Sveaskog</t>
        </is>
      </c>
      <c r="G178" t="n">
        <v>11.8</v>
      </c>
      <c r="H178" t="n">
        <v>0</v>
      </c>
      <c r="I178" t="n">
        <v>0</v>
      </c>
      <c r="J178" t="n">
        <v>0</v>
      </c>
      <c r="K178" t="n">
        <v>0</v>
      </c>
      <c r="L178" t="n">
        <v>0</v>
      </c>
      <c r="M178" t="n">
        <v>0</v>
      </c>
      <c r="N178" t="n">
        <v>0</v>
      </c>
      <c r="O178" t="n">
        <v>0</v>
      </c>
      <c r="P178" t="n">
        <v>0</v>
      </c>
      <c r="Q178" t="n">
        <v>0</v>
      </c>
      <c r="R178" s="2" t="inlineStr"/>
    </row>
    <row r="179" ht="15" customHeight="1">
      <c r="A179" t="inlineStr">
        <is>
          <t>A 53201-2019</t>
        </is>
      </c>
      <c r="B179" s="1" t="n">
        <v>43748</v>
      </c>
      <c r="C179" s="1" t="n">
        <v>45700</v>
      </c>
      <c r="D179" t="inlineStr">
        <is>
          <t>NORRBOTTENS LÄN</t>
        </is>
      </c>
      <c r="E179" t="inlineStr">
        <is>
          <t>GÄLLIVARE</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53922-2019</t>
        </is>
      </c>
      <c r="B180" s="1" t="n">
        <v>43752</v>
      </c>
      <c r="C180" s="1" t="n">
        <v>45700</v>
      </c>
      <c r="D180" t="inlineStr">
        <is>
          <t>NORRBOTTENS LÄN</t>
        </is>
      </c>
      <c r="E180" t="inlineStr">
        <is>
          <t>GÄLLIVARE</t>
        </is>
      </c>
      <c r="F180" t="inlineStr">
        <is>
          <t>Sveaskog</t>
        </is>
      </c>
      <c r="G180" t="n">
        <v>15.9</v>
      </c>
      <c r="H180" t="n">
        <v>0</v>
      </c>
      <c r="I180" t="n">
        <v>0</v>
      </c>
      <c r="J180" t="n">
        <v>0</v>
      </c>
      <c r="K180" t="n">
        <v>0</v>
      </c>
      <c r="L180" t="n">
        <v>0</v>
      </c>
      <c r="M180" t="n">
        <v>0</v>
      </c>
      <c r="N180" t="n">
        <v>0</v>
      </c>
      <c r="O180" t="n">
        <v>0</v>
      </c>
      <c r="P180" t="n">
        <v>0</v>
      </c>
      <c r="Q180" t="n">
        <v>0</v>
      </c>
      <c r="R180" s="2" t="inlineStr"/>
    </row>
    <row r="181" ht="15" customHeight="1">
      <c r="A181" t="inlineStr">
        <is>
          <t>A 58826-2019</t>
        </is>
      </c>
      <c r="B181" s="1" t="n">
        <v>43752</v>
      </c>
      <c r="C181" s="1" t="n">
        <v>45700</v>
      </c>
      <c r="D181" t="inlineStr">
        <is>
          <t>NORRBOTTENS LÄN</t>
        </is>
      </c>
      <c r="E181" t="inlineStr">
        <is>
          <t>GÄLLIVARE</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54373-2019</t>
        </is>
      </c>
      <c r="B182" s="1" t="n">
        <v>43753</v>
      </c>
      <c r="C182" s="1" t="n">
        <v>45700</v>
      </c>
      <c r="D182" t="inlineStr">
        <is>
          <t>NORRBOTTENS LÄN</t>
        </is>
      </c>
      <c r="E182" t="inlineStr">
        <is>
          <t>GÄLLIVARE</t>
        </is>
      </c>
      <c r="F182" t="inlineStr">
        <is>
          <t>SCA</t>
        </is>
      </c>
      <c r="G182" t="n">
        <v>6.8</v>
      </c>
      <c r="H182" t="n">
        <v>0</v>
      </c>
      <c r="I182" t="n">
        <v>0</v>
      </c>
      <c r="J182" t="n">
        <v>0</v>
      </c>
      <c r="K182" t="n">
        <v>0</v>
      </c>
      <c r="L182" t="n">
        <v>0</v>
      </c>
      <c r="M182" t="n">
        <v>0</v>
      </c>
      <c r="N182" t="n">
        <v>0</v>
      </c>
      <c r="O182" t="n">
        <v>0</v>
      </c>
      <c r="P182" t="n">
        <v>0</v>
      </c>
      <c r="Q182" t="n">
        <v>0</v>
      </c>
      <c r="R182" s="2" t="inlineStr"/>
    </row>
    <row r="183" ht="15" customHeight="1">
      <c r="A183" t="inlineStr">
        <is>
          <t>A 54457-2019</t>
        </is>
      </c>
      <c r="B183" s="1" t="n">
        <v>43754</v>
      </c>
      <c r="C183" s="1" t="n">
        <v>45700</v>
      </c>
      <c r="D183" t="inlineStr">
        <is>
          <t>NORRBOTTENS LÄN</t>
        </is>
      </c>
      <c r="E183" t="inlineStr">
        <is>
          <t>GÄLLIVARE</t>
        </is>
      </c>
      <c r="F183" t="inlineStr">
        <is>
          <t>Sveaskog</t>
        </is>
      </c>
      <c r="G183" t="n">
        <v>39.5</v>
      </c>
      <c r="H183" t="n">
        <v>0</v>
      </c>
      <c r="I183" t="n">
        <v>0</v>
      </c>
      <c r="J183" t="n">
        <v>0</v>
      </c>
      <c r="K183" t="n">
        <v>0</v>
      </c>
      <c r="L183" t="n">
        <v>0</v>
      </c>
      <c r="M183" t="n">
        <v>0</v>
      </c>
      <c r="N183" t="n">
        <v>0</v>
      </c>
      <c r="O183" t="n">
        <v>0</v>
      </c>
      <c r="P183" t="n">
        <v>0</v>
      </c>
      <c r="Q183" t="n">
        <v>0</v>
      </c>
      <c r="R183" s="2" t="inlineStr"/>
    </row>
    <row r="184" ht="15" customHeight="1">
      <c r="A184" t="inlineStr">
        <is>
          <t>A 54476-2019</t>
        </is>
      </c>
      <c r="B184" s="1" t="n">
        <v>43754</v>
      </c>
      <c r="C184" s="1" t="n">
        <v>45700</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54525-2019</t>
        </is>
      </c>
      <c r="B185" s="1" t="n">
        <v>43754</v>
      </c>
      <c r="C185" s="1" t="n">
        <v>45700</v>
      </c>
      <c r="D185" t="inlineStr">
        <is>
          <t>NORRBOTTENS LÄN</t>
        </is>
      </c>
      <c r="E185" t="inlineStr">
        <is>
          <t>GÄLLIVARE</t>
        </is>
      </c>
      <c r="F185" t="inlineStr">
        <is>
          <t>Sveaskog</t>
        </is>
      </c>
      <c r="G185" t="n">
        <v>5.7</v>
      </c>
      <c r="H185" t="n">
        <v>0</v>
      </c>
      <c r="I185" t="n">
        <v>0</v>
      </c>
      <c r="J185" t="n">
        <v>0</v>
      </c>
      <c r="K185" t="n">
        <v>0</v>
      </c>
      <c r="L185" t="n">
        <v>0</v>
      </c>
      <c r="M185" t="n">
        <v>0</v>
      </c>
      <c r="N185" t="n">
        <v>0</v>
      </c>
      <c r="O185" t="n">
        <v>0</v>
      </c>
      <c r="P185" t="n">
        <v>0</v>
      </c>
      <c r="Q185" t="n">
        <v>0</v>
      </c>
      <c r="R185" s="2" t="inlineStr"/>
    </row>
    <row r="186" ht="15" customHeight="1">
      <c r="A186" t="inlineStr">
        <is>
          <t>A 55027-2019</t>
        </is>
      </c>
      <c r="B186" s="1" t="n">
        <v>43755</v>
      </c>
      <c r="C186" s="1" t="n">
        <v>45700</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57322-2019</t>
        </is>
      </c>
      <c r="B187" s="1" t="n">
        <v>43759</v>
      </c>
      <c r="C187" s="1" t="n">
        <v>45700</v>
      </c>
      <c r="D187" t="inlineStr">
        <is>
          <t>NORRBOTTENS LÄN</t>
        </is>
      </c>
      <c r="E187" t="inlineStr">
        <is>
          <t>GÄLLIVARE</t>
        </is>
      </c>
      <c r="G187" t="n">
        <v>14.1</v>
      </c>
      <c r="H187" t="n">
        <v>0</v>
      </c>
      <c r="I187" t="n">
        <v>0</v>
      </c>
      <c r="J187" t="n">
        <v>0</v>
      </c>
      <c r="K187" t="n">
        <v>0</v>
      </c>
      <c r="L187" t="n">
        <v>0</v>
      </c>
      <c r="M187" t="n">
        <v>0</v>
      </c>
      <c r="N187" t="n">
        <v>0</v>
      </c>
      <c r="O187" t="n">
        <v>0</v>
      </c>
      <c r="P187" t="n">
        <v>0</v>
      </c>
      <c r="Q187" t="n">
        <v>0</v>
      </c>
      <c r="R187" s="2" t="inlineStr"/>
    </row>
    <row r="188" ht="15" customHeight="1">
      <c r="A188" t="inlineStr">
        <is>
          <t>A 57315-2019</t>
        </is>
      </c>
      <c r="B188" s="1" t="n">
        <v>43759</v>
      </c>
      <c r="C188" s="1" t="n">
        <v>45700</v>
      </c>
      <c r="D188" t="inlineStr">
        <is>
          <t>NORRBOTTENS LÄN</t>
        </is>
      </c>
      <c r="E188" t="inlineStr">
        <is>
          <t>GÄLLIVARE</t>
        </is>
      </c>
      <c r="G188" t="n">
        <v>15.2</v>
      </c>
      <c r="H188" t="n">
        <v>0</v>
      </c>
      <c r="I188" t="n">
        <v>0</v>
      </c>
      <c r="J188" t="n">
        <v>0</v>
      </c>
      <c r="K188" t="n">
        <v>0</v>
      </c>
      <c r="L188" t="n">
        <v>0</v>
      </c>
      <c r="M188" t="n">
        <v>0</v>
      </c>
      <c r="N188" t="n">
        <v>0</v>
      </c>
      <c r="O188" t="n">
        <v>0</v>
      </c>
      <c r="P188" t="n">
        <v>0</v>
      </c>
      <c r="Q188" t="n">
        <v>0</v>
      </c>
      <c r="R188" s="2" t="inlineStr"/>
    </row>
    <row r="189" ht="15" customHeight="1">
      <c r="A189" t="inlineStr">
        <is>
          <t>A 57069-2019</t>
        </is>
      </c>
      <c r="B189" s="1" t="n">
        <v>43766</v>
      </c>
      <c r="C189" s="1" t="n">
        <v>45700</v>
      </c>
      <c r="D189" t="inlineStr">
        <is>
          <t>NORRBOTTENS LÄN</t>
        </is>
      </c>
      <c r="E189" t="inlineStr">
        <is>
          <t>GÄLLIVARE</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57056-2019</t>
        </is>
      </c>
      <c r="B190" s="1" t="n">
        <v>43766</v>
      </c>
      <c r="C190" s="1" t="n">
        <v>45700</v>
      </c>
      <c r="D190" t="inlineStr">
        <is>
          <t>NORRBOTTENS LÄN</t>
        </is>
      </c>
      <c r="E190" t="inlineStr">
        <is>
          <t>GÄLLIVARE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57060-2019</t>
        </is>
      </c>
      <c r="B191" s="1" t="n">
        <v>43766</v>
      </c>
      <c r="C191" s="1" t="n">
        <v>45700</v>
      </c>
      <c r="D191" t="inlineStr">
        <is>
          <t>NORRBOTTENS LÄN</t>
        </is>
      </c>
      <c r="E191" t="inlineStr">
        <is>
          <t>GÄLLIVARE</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57081-2019</t>
        </is>
      </c>
      <c r="B192" s="1" t="n">
        <v>43766</v>
      </c>
      <c r="C192" s="1" t="n">
        <v>45700</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57072-2019</t>
        </is>
      </c>
      <c r="B193" s="1" t="n">
        <v>43766</v>
      </c>
      <c r="C193" s="1" t="n">
        <v>45700</v>
      </c>
      <c r="D193" t="inlineStr">
        <is>
          <t>NORRBOTTENS LÄN</t>
        </is>
      </c>
      <c r="E193" t="inlineStr">
        <is>
          <t>GÄLLIVARE</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57087-2019</t>
        </is>
      </c>
      <c r="B194" s="1" t="n">
        <v>43766</v>
      </c>
      <c r="C194" s="1" t="n">
        <v>45700</v>
      </c>
      <c r="D194" t="inlineStr">
        <is>
          <t>NORRBOTTENS LÄN</t>
        </is>
      </c>
      <c r="E194" t="inlineStr">
        <is>
          <t>GÄLLIVARE</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58609-2019</t>
        </is>
      </c>
      <c r="B195" s="1" t="n">
        <v>43768</v>
      </c>
      <c r="C195" s="1" t="n">
        <v>45700</v>
      </c>
      <c r="D195" t="inlineStr">
        <is>
          <t>NORRBOTTENS LÄN</t>
        </is>
      </c>
      <c r="E195" t="inlineStr">
        <is>
          <t>GÄLLIVARE</t>
        </is>
      </c>
      <c r="G195" t="n">
        <v>7.8</v>
      </c>
      <c r="H195" t="n">
        <v>0</v>
      </c>
      <c r="I195" t="n">
        <v>0</v>
      </c>
      <c r="J195" t="n">
        <v>0</v>
      </c>
      <c r="K195" t="n">
        <v>0</v>
      </c>
      <c r="L195" t="n">
        <v>0</v>
      </c>
      <c r="M195" t="n">
        <v>0</v>
      </c>
      <c r="N195" t="n">
        <v>0</v>
      </c>
      <c r="O195" t="n">
        <v>0</v>
      </c>
      <c r="P195" t="n">
        <v>0</v>
      </c>
      <c r="Q195" t="n">
        <v>0</v>
      </c>
      <c r="R195" s="2" t="inlineStr"/>
    </row>
    <row r="196" ht="15" customHeight="1">
      <c r="A196" t="inlineStr">
        <is>
          <t>A 60542-2019</t>
        </is>
      </c>
      <c r="B196" s="1" t="n">
        <v>43776</v>
      </c>
      <c r="C196" s="1" t="n">
        <v>45700</v>
      </c>
      <c r="D196" t="inlineStr">
        <is>
          <t>NORRBOTTENS LÄN</t>
        </is>
      </c>
      <c r="E196" t="inlineStr">
        <is>
          <t>GÄLLIVARE</t>
        </is>
      </c>
      <c r="G196" t="n">
        <v>24.1</v>
      </c>
      <c r="H196" t="n">
        <v>0</v>
      </c>
      <c r="I196" t="n">
        <v>0</v>
      </c>
      <c r="J196" t="n">
        <v>0</v>
      </c>
      <c r="K196" t="n">
        <v>0</v>
      </c>
      <c r="L196" t="n">
        <v>0</v>
      </c>
      <c r="M196" t="n">
        <v>0</v>
      </c>
      <c r="N196" t="n">
        <v>0</v>
      </c>
      <c r="O196" t="n">
        <v>0</v>
      </c>
      <c r="P196" t="n">
        <v>0</v>
      </c>
      <c r="Q196" t="n">
        <v>0</v>
      </c>
      <c r="R196" s="2" t="inlineStr"/>
    </row>
    <row r="197" ht="15" customHeight="1">
      <c r="A197" t="inlineStr">
        <is>
          <t>A 61206-2019</t>
        </is>
      </c>
      <c r="B197" s="1" t="n">
        <v>43782</v>
      </c>
      <c r="C197" s="1" t="n">
        <v>45700</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61207-2019</t>
        </is>
      </c>
      <c r="B198" s="1" t="n">
        <v>43782</v>
      </c>
      <c r="C198" s="1" t="n">
        <v>45700</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63843-2019</t>
        </is>
      </c>
      <c r="B199" s="1" t="n">
        <v>43795</v>
      </c>
      <c r="C199" s="1" t="n">
        <v>45700</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65725-2019</t>
        </is>
      </c>
      <c r="B200" s="1" t="n">
        <v>43804</v>
      </c>
      <c r="C200" s="1" t="n">
        <v>45700</v>
      </c>
      <c r="D200" t="inlineStr">
        <is>
          <t>NORRBOTTENS LÄN</t>
        </is>
      </c>
      <c r="E200" t="inlineStr">
        <is>
          <t>GÄLLIVARE</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66409-2019</t>
        </is>
      </c>
      <c r="B201" s="1" t="n">
        <v>43809</v>
      </c>
      <c r="C201" s="1" t="n">
        <v>45700</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68502-2019</t>
        </is>
      </c>
      <c r="B202" s="1" t="n">
        <v>43811</v>
      </c>
      <c r="C202" s="1" t="n">
        <v>45700</v>
      </c>
      <c r="D202" t="inlineStr">
        <is>
          <t>NORRBOTTENS LÄN</t>
        </is>
      </c>
      <c r="E202" t="inlineStr">
        <is>
          <t>GÄLLIVARE</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68576-2019</t>
        </is>
      </c>
      <c r="B203" s="1" t="n">
        <v>43812</v>
      </c>
      <c r="C203" s="1" t="n">
        <v>45700</v>
      </c>
      <c r="D203" t="inlineStr">
        <is>
          <t>NORRBOTTENS LÄN</t>
        </is>
      </c>
      <c r="E203" t="inlineStr">
        <is>
          <t>GÄLLIVARE</t>
        </is>
      </c>
      <c r="G203" t="n">
        <v>1.4</v>
      </c>
      <c r="H203" t="n">
        <v>0</v>
      </c>
      <c r="I203" t="n">
        <v>0</v>
      </c>
      <c r="J203" t="n">
        <v>0</v>
      </c>
      <c r="K203" t="n">
        <v>0</v>
      </c>
      <c r="L203" t="n">
        <v>0</v>
      </c>
      <c r="M203" t="n">
        <v>0</v>
      </c>
      <c r="N203" t="n">
        <v>0</v>
      </c>
      <c r="O203" t="n">
        <v>0</v>
      </c>
      <c r="P203" t="n">
        <v>0</v>
      </c>
      <c r="Q203" t="n">
        <v>0</v>
      </c>
      <c r="R203" s="2" t="inlineStr"/>
    </row>
    <row r="204" ht="15" customHeight="1">
      <c r="A204" t="inlineStr">
        <is>
          <t>A 68297-2019</t>
        </is>
      </c>
      <c r="B204" s="1" t="n">
        <v>43817</v>
      </c>
      <c r="C204" s="1" t="n">
        <v>45700</v>
      </c>
      <c r="D204" t="inlineStr">
        <is>
          <t>NORRBOTTENS LÄN</t>
        </is>
      </c>
      <c r="E204" t="inlineStr">
        <is>
          <t>GÄLLIVARE</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68569-2019</t>
        </is>
      </c>
      <c r="B205" s="1" t="n">
        <v>43818</v>
      </c>
      <c r="C205" s="1" t="n">
        <v>45700</v>
      </c>
      <c r="D205" t="inlineStr">
        <is>
          <t>NORRBOTTENS LÄN</t>
        </is>
      </c>
      <c r="E205" t="inlineStr">
        <is>
          <t>GÄLLIVARE</t>
        </is>
      </c>
      <c r="F205" t="inlineStr">
        <is>
          <t>Sveaskog</t>
        </is>
      </c>
      <c r="G205" t="n">
        <v>41.5</v>
      </c>
      <c r="H205" t="n">
        <v>0</v>
      </c>
      <c r="I205" t="n">
        <v>0</v>
      </c>
      <c r="J205" t="n">
        <v>0</v>
      </c>
      <c r="K205" t="n">
        <v>0</v>
      </c>
      <c r="L205" t="n">
        <v>0</v>
      </c>
      <c r="M205" t="n">
        <v>0</v>
      </c>
      <c r="N205" t="n">
        <v>0</v>
      </c>
      <c r="O205" t="n">
        <v>0</v>
      </c>
      <c r="P205" t="n">
        <v>0</v>
      </c>
      <c r="Q205" t="n">
        <v>0</v>
      </c>
      <c r="R205" s="2" t="inlineStr"/>
    </row>
    <row r="206" ht="15" customHeight="1">
      <c r="A206" t="inlineStr">
        <is>
          <t>A 2837-2020</t>
        </is>
      </c>
      <c r="B206" s="1" t="n">
        <v>43843</v>
      </c>
      <c r="C206" s="1" t="n">
        <v>45700</v>
      </c>
      <c r="D206" t="inlineStr">
        <is>
          <t>NORRBOTTENS LÄN</t>
        </is>
      </c>
      <c r="E206" t="inlineStr">
        <is>
          <t>GÄLLIVARE</t>
        </is>
      </c>
      <c r="F206" t="inlineStr">
        <is>
          <t>Sveaskog</t>
        </is>
      </c>
      <c r="G206" t="n">
        <v>21.7</v>
      </c>
      <c r="H206" t="n">
        <v>0</v>
      </c>
      <c r="I206" t="n">
        <v>0</v>
      </c>
      <c r="J206" t="n">
        <v>0</v>
      </c>
      <c r="K206" t="n">
        <v>0</v>
      </c>
      <c r="L206" t="n">
        <v>0</v>
      </c>
      <c r="M206" t="n">
        <v>0</v>
      </c>
      <c r="N206" t="n">
        <v>0</v>
      </c>
      <c r="O206" t="n">
        <v>0</v>
      </c>
      <c r="P206" t="n">
        <v>0</v>
      </c>
      <c r="Q206" t="n">
        <v>0</v>
      </c>
      <c r="R206" s="2" t="inlineStr"/>
    </row>
    <row r="207" ht="15" customHeight="1">
      <c r="A207" t="inlineStr">
        <is>
          <t>A 2761-2020</t>
        </is>
      </c>
      <c r="B207" s="1" t="n">
        <v>43843</v>
      </c>
      <c r="C207" s="1" t="n">
        <v>45700</v>
      </c>
      <c r="D207" t="inlineStr">
        <is>
          <t>NORRBOTTENS LÄN</t>
        </is>
      </c>
      <c r="E207" t="inlineStr">
        <is>
          <t>GÄLLIVARE</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2804-2020</t>
        </is>
      </c>
      <c r="B208" s="1" t="n">
        <v>43843</v>
      </c>
      <c r="C208" s="1" t="n">
        <v>45700</v>
      </c>
      <c r="D208" t="inlineStr">
        <is>
          <t>NORRBOTTENS LÄN</t>
        </is>
      </c>
      <c r="E208" t="inlineStr">
        <is>
          <t>GÄLLIVARE</t>
        </is>
      </c>
      <c r="F208" t="inlineStr">
        <is>
          <t>Sveaskog</t>
        </is>
      </c>
      <c r="G208" t="n">
        <v>58.1</v>
      </c>
      <c r="H208" t="n">
        <v>0</v>
      </c>
      <c r="I208" t="n">
        <v>0</v>
      </c>
      <c r="J208" t="n">
        <v>0</v>
      </c>
      <c r="K208" t="n">
        <v>0</v>
      </c>
      <c r="L208" t="n">
        <v>0</v>
      </c>
      <c r="M208" t="n">
        <v>0</v>
      </c>
      <c r="N208" t="n">
        <v>0</v>
      </c>
      <c r="O208" t="n">
        <v>0</v>
      </c>
      <c r="P208" t="n">
        <v>0</v>
      </c>
      <c r="Q208" t="n">
        <v>0</v>
      </c>
      <c r="R208" s="2" t="inlineStr"/>
    </row>
    <row r="209" ht="15" customHeight="1">
      <c r="A209" t="inlineStr">
        <is>
          <t>A 2768-2020</t>
        </is>
      </c>
      <c r="B209" s="1" t="n">
        <v>43843</v>
      </c>
      <c r="C209" s="1" t="n">
        <v>45700</v>
      </c>
      <c r="D209" t="inlineStr">
        <is>
          <t>NORRBOTTENS LÄN</t>
        </is>
      </c>
      <c r="E209" t="inlineStr">
        <is>
          <t>GÄLLIVARE</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2816-2020</t>
        </is>
      </c>
      <c r="B210" s="1" t="n">
        <v>43843</v>
      </c>
      <c r="C210" s="1" t="n">
        <v>45700</v>
      </c>
      <c r="D210" t="inlineStr">
        <is>
          <t>NORRBOTTENS LÄN</t>
        </is>
      </c>
      <c r="E210" t="inlineStr">
        <is>
          <t>GÄLLIVARE</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1723-2020</t>
        </is>
      </c>
      <c r="B211" s="1" t="n">
        <v>43844</v>
      </c>
      <c r="C211" s="1" t="n">
        <v>45700</v>
      </c>
      <c r="D211" t="inlineStr">
        <is>
          <t>NORRBOTTENS LÄN</t>
        </is>
      </c>
      <c r="E211" t="inlineStr">
        <is>
          <t>GÄLLIVARE</t>
        </is>
      </c>
      <c r="F211" t="inlineStr">
        <is>
          <t>Sveaskog</t>
        </is>
      </c>
      <c r="G211" t="n">
        <v>16.9</v>
      </c>
      <c r="H211" t="n">
        <v>0</v>
      </c>
      <c r="I211" t="n">
        <v>0</v>
      </c>
      <c r="J211" t="n">
        <v>0</v>
      </c>
      <c r="K211" t="n">
        <v>0</v>
      </c>
      <c r="L211" t="n">
        <v>0</v>
      </c>
      <c r="M211" t="n">
        <v>0</v>
      </c>
      <c r="N211" t="n">
        <v>0</v>
      </c>
      <c r="O211" t="n">
        <v>0</v>
      </c>
      <c r="P211" t="n">
        <v>0</v>
      </c>
      <c r="Q211" t="n">
        <v>0</v>
      </c>
      <c r="R211" s="2" t="inlineStr"/>
    </row>
    <row r="212" ht="15" customHeight="1">
      <c r="A212" t="inlineStr">
        <is>
          <t>A 8575-2020</t>
        </is>
      </c>
      <c r="B212" s="1" t="n">
        <v>43875</v>
      </c>
      <c r="C212" s="1" t="n">
        <v>45700</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8572-2020</t>
        </is>
      </c>
      <c r="B213" s="1" t="n">
        <v>43875</v>
      </c>
      <c r="C213" s="1" t="n">
        <v>45700</v>
      </c>
      <c r="D213" t="inlineStr">
        <is>
          <t>NORRBOTTENS LÄN</t>
        </is>
      </c>
      <c r="E213" t="inlineStr">
        <is>
          <t>GÄLLIVARE</t>
        </is>
      </c>
      <c r="G213" t="n">
        <v>7.5</v>
      </c>
      <c r="H213" t="n">
        <v>0</v>
      </c>
      <c r="I213" t="n">
        <v>0</v>
      </c>
      <c r="J213" t="n">
        <v>0</v>
      </c>
      <c r="K213" t="n">
        <v>0</v>
      </c>
      <c r="L213" t="n">
        <v>0</v>
      </c>
      <c r="M213" t="n">
        <v>0</v>
      </c>
      <c r="N213" t="n">
        <v>0</v>
      </c>
      <c r="O213" t="n">
        <v>0</v>
      </c>
      <c r="P213" t="n">
        <v>0</v>
      </c>
      <c r="Q213" t="n">
        <v>0</v>
      </c>
      <c r="R213" s="2" t="inlineStr"/>
    </row>
    <row r="214" ht="15" customHeight="1">
      <c r="A214" t="inlineStr">
        <is>
          <t>A 11758-2020</t>
        </is>
      </c>
      <c r="B214" s="1" t="n">
        <v>43887</v>
      </c>
      <c r="C214" s="1" t="n">
        <v>45700</v>
      </c>
      <c r="D214" t="inlineStr">
        <is>
          <t>NORRBOTTENS LÄN</t>
        </is>
      </c>
      <c r="E214" t="inlineStr">
        <is>
          <t>GÄLLIVARE</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11136-2020</t>
        </is>
      </c>
      <c r="B215" s="1" t="n">
        <v>43890</v>
      </c>
      <c r="C215" s="1" t="n">
        <v>45700</v>
      </c>
      <c r="D215" t="inlineStr">
        <is>
          <t>NORRBOTTENS LÄN</t>
        </is>
      </c>
      <c r="E215" t="inlineStr">
        <is>
          <t>GÄLLIVARE</t>
        </is>
      </c>
      <c r="G215" t="n">
        <v>13.4</v>
      </c>
      <c r="H215" t="n">
        <v>0</v>
      </c>
      <c r="I215" t="n">
        <v>0</v>
      </c>
      <c r="J215" t="n">
        <v>0</v>
      </c>
      <c r="K215" t="n">
        <v>0</v>
      </c>
      <c r="L215" t="n">
        <v>0</v>
      </c>
      <c r="M215" t="n">
        <v>0</v>
      </c>
      <c r="N215" t="n">
        <v>0</v>
      </c>
      <c r="O215" t="n">
        <v>0</v>
      </c>
      <c r="P215" t="n">
        <v>0</v>
      </c>
      <c r="Q215" t="n">
        <v>0</v>
      </c>
      <c r="R215" s="2" t="inlineStr"/>
    </row>
    <row r="216" ht="15" customHeight="1">
      <c r="A216" t="inlineStr">
        <is>
          <t>A 16621-2020</t>
        </is>
      </c>
      <c r="B216" s="1" t="n">
        <v>43910</v>
      </c>
      <c r="C216" s="1" t="n">
        <v>45700</v>
      </c>
      <c r="D216" t="inlineStr">
        <is>
          <t>NORRBOTTENS LÄN</t>
        </is>
      </c>
      <c r="E216" t="inlineStr">
        <is>
          <t>GÄLLIVARE</t>
        </is>
      </c>
      <c r="G216" t="n">
        <v>13.2</v>
      </c>
      <c r="H216" t="n">
        <v>0</v>
      </c>
      <c r="I216" t="n">
        <v>0</v>
      </c>
      <c r="J216" t="n">
        <v>0</v>
      </c>
      <c r="K216" t="n">
        <v>0</v>
      </c>
      <c r="L216" t="n">
        <v>0</v>
      </c>
      <c r="M216" t="n">
        <v>0</v>
      </c>
      <c r="N216" t="n">
        <v>0</v>
      </c>
      <c r="O216" t="n">
        <v>0</v>
      </c>
      <c r="P216" t="n">
        <v>0</v>
      </c>
      <c r="Q216" t="n">
        <v>0</v>
      </c>
      <c r="R216" s="2" t="inlineStr"/>
    </row>
    <row r="217" ht="15" customHeight="1">
      <c r="A217" t="inlineStr">
        <is>
          <t>A 15644-2020</t>
        </is>
      </c>
      <c r="B217" s="1" t="n">
        <v>43914</v>
      </c>
      <c r="C217" s="1" t="n">
        <v>45700</v>
      </c>
      <c r="D217" t="inlineStr">
        <is>
          <t>NORRBOTTENS LÄN</t>
        </is>
      </c>
      <c r="E217" t="inlineStr">
        <is>
          <t>GÄLLIVARE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15636-2020</t>
        </is>
      </c>
      <c r="B218" s="1" t="n">
        <v>43914</v>
      </c>
      <c r="C218" s="1" t="n">
        <v>45700</v>
      </c>
      <c r="D218" t="inlineStr">
        <is>
          <t>NORRBOTTENS LÄN</t>
        </is>
      </c>
      <c r="E218" t="inlineStr">
        <is>
          <t>GÄLLIVARE</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15642-2020</t>
        </is>
      </c>
      <c r="B219" s="1" t="n">
        <v>43914</v>
      </c>
      <c r="C219" s="1" t="n">
        <v>45700</v>
      </c>
      <c r="D219" t="inlineStr">
        <is>
          <t>NORRBOTTENS LÄN</t>
        </is>
      </c>
      <c r="E219" t="inlineStr">
        <is>
          <t>GÄLLIVARE</t>
        </is>
      </c>
      <c r="F219" t="inlineStr">
        <is>
          <t>SCA</t>
        </is>
      </c>
      <c r="G219" t="n">
        <v>6</v>
      </c>
      <c r="H219" t="n">
        <v>0</v>
      </c>
      <c r="I219" t="n">
        <v>0</v>
      </c>
      <c r="J219" t="n">
        <v>0</v>
      </c>
      <c r="K219" t="n">
        <v>0</v>
      </c>
      <c r="L219" t="n">
        <v>0</v>
      </c>
      <c r="M219" t="n">
        <v>0</v>
      </c>
      <c r="N219" t="n">
        <v>0</v>
      </c>
      <c r="O219" t="n">
        <v>0</v>
      </c>
      <c r="P219" t="n">
        <v>0</v>
      </c>
      <c r="Q219" t="n">
        <v>0</v>
      </c>
      <c r="R219" s="2" t="inlineStr"/>
    </row>
    <row r="220" ht="15" customHeight="1">
      <c r="A220" t="inlineStr">
        <is>
          <t>A 15637-2020</t>
        </is>
      </c>
      <c r="B220" s="1" t="n">
        <v>43914</v>
      </c>
      <c r="C220" s="1" t="n">
        <v>45700</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15643-2020</t>
        </is>
      </c>
      <c r="B221" s="1" t="n">
        <v>43914</v>
      </c>
      <c r="C221" s="1" t="n">
        <v>45700</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16162-2020</t>
        </is>
      </c>
      <c r="B222" s="1" t="n">
        <v>43916</v>
      </c>
      <c r="C222" s="1" t="n">
        <v>45700</v>
      </c>
      <c r="D222" t="inlineStr">
        <is>
          <t>NORRBOTTENS LÄN</t>
        </is>
      </c>
      <c r="E222" t="inlineStr">
        <is>
          <t>GÄLLIVARE</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16161-2020</t>
        </is>
      </c>
      <c r="B223" s="1" t="n">
        <v>43916</v>
      </c>
      <c r="C223" s="1" t="n">
        <v>45700</v>
      </c>
      <c r="D223" t="inlineStr">
        <is>
          <t>NORRBOTTENS LÄN</t>
        </is>
      </c>
      <c r="E223" t="inlineStr">
        <is>
          <t>GÄLLIVARE</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16164-2020</t>
        </is>
      </c>
      <c r="B224" s="1" t="n">
        <v>43916</v>
      </c>
      <c r="C224" s="1" t="n">
        <v>45700</v>
      </c>
      <c r="D224" t="inlineStr">
        <is>
          <t>NORRBOTTENS LÄN</t>
        </is>
      </c>
      <c r="E224" t="inlineStr">
        <is>
          <t>GÄLLIVARE</t>
        </is>
      </c>
      <c r="F224" t="inlineStr">
        <is>
          <t>SCA</t>
        </is>
      </c>
      <c r="G224" t="n">
        <v>11.8</v>
      </c>
      <c r="H224" t="n">
        <v>0</v>
      </c>
      <c r="I224" t="n">
        <v>0</v>
      </c>
      <c r="J224" t="n">
        <v>0</v>
      </c>
      <c r="K224" t="n">
        <v>0</v>
      </c>
      <c r="L224" t="n">
        <v>0</v>
      </c>
      <c r="M224" t="n">
        <v>0</v>
      </c>
      <c r="N224" t="n">
        <v>0</v>
      </c>
      <c r="O224" t="n">
        <v>0</v>
      </c>
      <c r="P224" t="n">
        <v>0</v>
      </c>
      <c r="Q224" t="n">
        <v>0</v>
      </c>
      <c r="R224" s="2" t="inlineStr"/>
    </row>
    <row r="225" ht="15" customHeight="1">
      <c r="A225" t="inlineStr">
        <is>
          <t>A 16163-2020</t>
        </is>
      </c>
      <c r="B225" s="1" t="n">
        <v>43916</v>
      </c>
      <c r="C225" s="1" t="n">
        <v>45700</v>
      </c>
      <c r="D225" t="inlineStr">
        <is>
          <t>NORRBOTTENS LÄN</t>
        </is>
      </c>
      <c r="E225" t="inlineStr">
        <is>
          <t>GÄLLIVARE</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16424-2020</t>
        </is>
      </c>
      <c r="B226" s="1" t="n">
        <v>43919</v>
      </c>
      <c r="C226" s="1" t="n">
        <v>45700</v>
      </c>
      <c r="D226" t="inlineStr">
        <is>
          <t>NORRBOTTENS LÄN</t>
        </is>
      </c>
      <c r="E226" t="inlineStr">
        <is>
          <t>GÄLLIVARE</t>
        </is>
      </c>
      <c r="G226" t="n">
        <v>3.8</v>
      </c>
      <c r="H226" t="n">
        <v>0</v>
      </c>
      <c r="I226" t="n">
        <v>0</v>
      </c>
      <c r="J226" t="n">
        <v>0</v>
      </c>
      <c r="K226" t="n">
        <v>0</v>
      </c>
      <c r="L226" t="n">
        <v>0</v>
      </c>
      <c r="M226" t="n">
        <v>0</v>
      </c>
      <c r="N226" t="n">
        <v>0</v>
      </c>
      <c r="O226" t="n">
        <v>0</v>
      </c>
      <c r="P226" t="n">
        <v>0</v>
      </c>
      <c r="Q226" t="n">
        <v>0</v>
      </c>
      <c r="R226" s="2" t="inlineStr"/>
    </row>
    <row r="227" ht="15" customHeight="1">
      <c r="A227" t="inlineStr">
        <is>
          <t>A 18213-2020</t>
        </is>
      </c>
      <c r="B227" s="1" t="n">
        <v>43927</v>
      </c>
      <c r="C227" s="1" t="n">
        <v>45700</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18203-2020</t>
        </is>
      </c>
      <c r="B228" s="1" t="n">
        <v>43927</v>
      </c>
      <c r="C228" s="1" t="n">
        <v>45700</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18214-2020</t>
        </is>
      </c>
      <c r="B229" s="1" t="n">
        <v>43927</v>
      </c>
      <c r="C229" s="1" t="n">
        <v>45700</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22779-2020</t>
        </is>
      </c>
      <c r="B230" s="1" t="n">
        <v>43958</v>
      </c>
      <c r="C230" s="1" t="n">
        <v>45700</v>
      </c>
      <c r="D230" t="inlineStr">
        <is>
          <t>NORRBOTTENS LÄN</t>
        </is>
      </c>
      <c r="E230" t="inlineStr">
        <is>
          <t>GÄLLIVARE</t>
        </is>
      </c>
      <c r="G230" t="n">
        <v>0.2</v>
      </c>
      <c r="H230" t="n">
        <v>0</v>
      </c>
      <c r="I230" t="n">
        <v>0</v>
      </c>
      <c r="J230" t="n">
        <v>0</v>
      </c>
      <c r="K230" t="n">
        <v>0</v>
      </c>
      <c r="L230" t="n">
        <v>0</v>
      </c>
      <c r="M230" t="n">
        <v>0</v>
      </c>
      <c r="N230" t="n">
        <v>0</v>
      </c>
      <c r="O230" t="n">
        <v>0</v>
      </c>
      <c r="P230" t="n">
        <v>0</v>
      </c>
      <c r="Q230" t="n">
        <v>0</v>
      </c>
      <c r="R230" s="2" t="inlineStr"/>
    </row>
    <row r="231" ht="15" customHeight="1">
      <c r="A231" t="inlineStr">
        <is>
          <t>A 22780-2020</t>
        </is>
      </c>
      <c r="B231" s="1" t="n">
        <v>43958</v>
      </c>
      <c r="C231" s="1" t="n">
        <v>45700</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22786-2020</t>
        </is>
      </c>
      <c r="B232" s="1" t="n">
        <v>43958</v>
      </c>
      <c r="C232" s="1" t="n">
        <v>45700</v>
      </c>
      <c r="D232" t="inlineStr">
        <is>
          <t>NORRBOTTENS LÄN</t>
        </is>
      </c>
      <c r="E232" t="inlineStr">
        <is>
          <t>GÄLLIVARE</t>
        </is>
      </c>
      <c r="G232" t="n">
        <v>0.3</v>
      </c>
      <c r="H232" t="n">
        <v>0</v>
      </c>
      <c r="I232" t="n">
        <v>0</v>
      </c>
      <c r="J232" t="n">
        <v>0</v>
      </c>
      <c r="K232" t="n">
        <v>0</v>
      </c>
      <c r="L232" t="n">
        <v>0</v>
      </c>
      <c r="M232" t="n">
        <v>0</v>
      </c>
      <c r="N232" t="n">
        <v>0</v>
      </c>
      <c r="O232" t="n">
        <v>0</v>
      </c>
      <c r="P232" t="n">
        <v>0</v>
      </c>
      <c r="Q232" t="n">
        <v>0</v>
      </c>
      <c r="R232" s="2" t="inlineStr"/>
    </row>
    <row r="233" ht="15" customHeight="1">
      <c r="A233" t="inlineStr">
        <is>
          <t>A 22774-2020</t>
        </is>
      </c>
      <c r="B233" s="1" t="n">
        <v>43958</v>
      </c>
      <c r="C233" s="1" t="n">
        <v>45700</v>
      </c>
      <c r="D233" t="inlineStr">
        <is>
          <t>NORRBOTTENS LÄN</t>
        </is>
      </c>
      <c r="E233" t="inlineStr">
        <is>
          <t>GÄLLIVARE</t>
        </is>
      </c>
      <c r="G233" t="n">
        <v>0.1</v>
      </c>
      <c r="H233" t="n">
        <v>0</v>
      </c>
      <c r="I233" t="n">
        <v>0</v>
      </c>
      <c r="J233" t="n">
        <v>0</v>
      </c>
      <c r="K233" t="n">
        <v>0</v>
      </c>
      <c r="L233" t="n">
        <v>0</v>
      </c>
      <c r="M233" t="n">
        <v>0</v>
      </c>
      <c r="N233" t="n">
        <v>0</v>
      </c>
      <c r="O233" t="n">
        <v>0</v>
      </c>
      <c r="P233" t="n">
        <v>0</v>
      </c>
      <c r="Q233" t="n">
        <v>0</v>
      </c>
      <c r="R233" s="2" t="inlineStr"/>
    </row>
    <row r="234" ht="15" customHeight="1">
      <c r="A234" t="inlineStr">
        <is>
          <t>A 22784-2020</t>
        </is>
      </c>
      <c r="B234" s="1" t="n">
        <v>43958</v>
      </c>
      <c r="C234" s="1" t="n">
        <v>45700</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22782-2020</t>
        </is>
      </c>
      <c r="B235" s="1" t="n">
        <v>43958</v>
      </c>
      <c r="C235" s="1" t="n">
        <v>45700</v>
      </c>
      <c r="D235" t="inlineStr">
        <is>
          <t>NORRBOTTENS LÄN</t>
        </is>
      </c>
      <c r="E235" t="inlineStr">
        <is>
          <t>GÄLLIVARE</t>
        </is>
      </c>
      <c r="G235" t="n">
        <v>6.9</v>
      </c>
      <c r="H235" t="n">
        <v>0</v>
      </c>
      <c r="I235" t="n">
        <v>0</v>
      </c>
      <c r="J235" t="n">
        <v>0</v>
      </c>
      <c r="K235" t="n">
        <v>0</v>
      </c>
      <c r="L235" t="n">
        <v>0</v>
      </c>
      <c r="M235" t="n">
        <v>0</v>
      </c>
      <c r="N235" t="n">
        <v>0</v>
      </c>
      <c r="O235" t="n">
        <v>0</v>
      </c>
      <c r="P235" t="n">
        <v>0</v>
      </c>
      <c r="Q235" t="n">
        <v>0</v>
      </c>
      <c r="R235" s="2" t="inlineStr"/>
    </row>
    <row r="236" ht="15" customHeight="1">
      <c r="A236" t="inlineStr">
        <is>
          <t>A 22177-2020</t>
        </is>
      </c>
      <c r="B236" s="1" t="n">
        <v>43959</v>
      </c>
      <c r="C236" s="1" t="n">
        <v>45700</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24241-2020</t>
        </is>
      </c>
      <c r="B237" s="1" t="n">
        <v>43976</v>
      </c>
      <c r="C237" s="1" t="n">
        <v>45700</v>
      </c>
      <c r="D237" t="inlineStr">
        <is>
          <t>NORRBOTTENS LÄN</t>
        </is>
      </c>
      <c r="E237" t="inlineStr">
        <is>
          <t>GÄLLIVARE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26850-2020</t>
        </is>
      </c>
      <c r="B238" s="1" t="n">
        <v>43987</v>
      </c>
      <c r="C238" s="1" t="n">
        <v>45700</v>
      </c>
      <c r="D238" t="inlineStr">
        <is>
          <t>NORRBOTTENS LÄN</t>
        </is>
      </c>
      <c r="E238" t="inlineStr">
        <is>
          <t>GÄLLIVARE</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29589-2020</t>
        </is>
      </c>
      <c r="B239" s="1" t="n">
        <v>44004</v>
      </c>
      <c r="C239" s="1" t="n">
        <v>45700</v>
      </c>
      <c r="D239" t="inlineStr">
        <is>
          <t>NORRBOTTENS LÄN</t>
        </is>
      </c>
      <c r="E239" t="inlineStr">
        <is>
          <t>GÄLLIVARE</t>
        </is>
      </c>
      <c r="G239" t="n">
        <v>3.7</v>
      </c>
      <c r="H239" t="n">
        <v>0</v>
      </c>
      <c r="I239" t="n">
        <v>0</v>
      </c>
      <c r="J239" t="n">
        <v>0</v>
      </c>
      <c r="K239" t="n">
        <v>0</v>
      </c>
      <c r="L239" t="n">
        <v>0</v>
      </c>
      <c r="M239" t="n">
        <v>0</v>
      </c>
      <c r="N239" t="n">
        <v>0</v>
      </c>
      <c r="O239" t="n">
        <v>0</v>
      </c>
      <c r="P239" t="n">
        <v>0</v>
      </c>
      <c r="Q239" t="n">
        <v>0</v>
      </c>
      <c r="R239" s="2" t="inlineStr"/>
    </row>
    <row r="240" ht="15" customHeight="1">
      <c r="A240" t="inlineStr">
        <is>
          <t>A 29981-2020</t>
        </is>
      </c>
      <c r="B240" s="1" t="n">
        <v>44006</v>
      </c>
      <c r="C240" s="1" t="n">
        <v>45700</v>
      </c>
      <c r="D240" t="inlineStr">
        <is>
          <t>NORRBOTTENS LÄN</t>
        </is>
      </c>
      <c r="E240" t="inlineStr">
        <is>
          <t>GÄLLIVARE</t>
        </is>
      </c>
      <c r="F240" t="inlineStr">
        <is>
          <t>Allmännings- och besparingsskogar</t>
        </is>
      </c>
      <c r="G240" t="n">
        <v>6.1</v>
      </c>
      <c r="H240" t="n">
        <v>0</v>
      </c>
      <c r="I240" t="n">
        <v>0</v>
      </c>
      <c r="J240" t="n">
        <v>0</v>
      </c>
      <c r="K240" t="n">
        <v>0</v>
      </c>
      <c r="L240" t="n">
        <v>0</v>
      </c>
      <c r="M240" t="n">
        <v>0</v>
      </c>
      <c r="N240" t="n">
        <v>0</v>
      </c>
      <c r="O240" t="n">
        <v>0</v>
      </c>
      <c r="P240" t="n">
        <v>0</v>
      </c>
      <c r="Q240" t="n">
        <v>0</v>
      </c>
      <c r="R240" s="2" t="inlineStr"/>
    </row>
    <row r="241" ht="15" customHeight="1">
      <c r="A241" t="inlineStr">
        <is>
          <t>A 32776-2020</t>
        </is>
      </c>
      <c r="B241" s="1" t="n">
        <v>44019</v>
      </c>
      <c r="C241" s="1" t="n">
        <v>45700</v>
      </c>
      <c r="D241" t="inlineStr">
        <is>
          <t>NORRBOTTENS LÄN</t>
        </is>
      </c>
      <c r="E241" t="inlineStr">
        <is>
          <t>GÄLLIVARE</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33595-2020</t>
        </is>
      </c>
      <c r="B242" s="1" t="n">
        <v>44025</v>
      </c>
      <c r="C242" s="1" t="n">
        <v>45700</v>
      </c>
      <c r="D242" t="inlineStr">
        <is>
          <t>NORRBOTTENS LÄN</t>
        </is>
      </c>
      <c r="E242" t="inlineStr">
        <is>
          <t>GÄLLIVARE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33981-2020</t>
        </is>
      </c>
      <c r="B243" s="1" t="n">
        <v>44028</v>
      </c>
      <c r="C243" s="1" t="n">
        <v>45700</v>
      </c>
      <c r="D243" t="inlineStr">
        <is>
          <t>NORRBOTTENS LÄN</t>
        </is>
      </c>
      <c r="E243" t="inlineStr">
        <is>
          <t>GÄLLIVARE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34663-2020</t>
        </is>
      </c>
      <c r="B244" s="1" t="n">
        <v>44034</v>
      </c>
      <c r="C244" s="1" t="n">
        <v>45700</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36333-2020</t>
        </is>
      </c>
      <c r="B245" s="1" t="n">
        <v>44049</v>
      </c>
      <c r="C245" s="1" t="n">
        <v>45700</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36578-2020</t>
        </is>
      </c>
      <c r="B246" s="1" t="n">
        <v>44050</v>
      </c>
      <c r="C246" s="1" t="n">
        <v>45700</v>
      </c>
      <c r="D246" t="inlineStr">
        <is>
          <t>NORRBOTTENS LÄN</t>
        </is>
      </c>
      <c r="E246" t="inlineStr">
        <is>
          <t>GÄLLIVARE</t>
        </is>
      </c>
      <c r="G246" t="n">
        <v>0.6</v>
      </c>
      <c r="H246" t="n">
        <v>0</v>
      </c>
      <c r="I246" t="n">
        <v>0</v>
      </c>
      <c r="J246" t="n">
        <v>0</v>
      </c>
      <c r="K246" t="n">
        <v>0</v>
      </c>
      <c r="L246" t="n">
        <v>0</v>
      </c>
      <c r="M246" t="n">
        <v>0</v>
      </c>
      <c r="N246" t="n">
        <v>0</v>
      </c>
      <c r="O246" t="n">
        <v>0</v>
      </c>
      <c r="P246" t="n">
        <v>0</v>
      </c>
      <c r="Q246" t="n">
        <v>0</v>
      </c>
      <c r="R246" s="2" t="inlineStr"/>
    </row>
    <row r="247" ht="15" customHeight="1">
      <c r="A247" t="inlineStr">
        <is>
          <t>A 37392-2020</t>
        </is>
      </c>
      <c r="B247" s="1" t="n">
        <v>44055</v>
      </c>
      <c r="C247" s="1" t="n">
        <v>45700</v>
      </c>
      <c r="D247" t="inlineStr">
        <is>
          <t>NORRBOTTENS LÄN</t>
        </is>
      </c>
      <c r="E247" t="inlineStr">
        <is>
          <t>GÄLLIVARE</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38115-2020</t>
        </is>
      </c>
      <c r="B248" s="1" t="n">
        <v>44058</v>
      </c>
      <c r="C248" s="1" t="n">
        <v>45700</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38114-2020</t>
        </is>
      </c>
      <c r="B249" s="1" t="n">
        <v>44058</v>
      </c>
      <c r="C249" s="1" t="n">
        <v>45700</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39248-2020</t>
        </is>
      </c>
      <c r="B250" s="1" t="n">
        <v>44063</v>
      </c>
      <c r="C250" s="1" t="n">
        <v>45700</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39319-2020</t>
        </is>
      </c>
      <c r="B251" s="1" t="n">
        <v>44063</v>
      </c>
      <c r="C251" s="1" t="n">
        <v>45700</v>
      </c>
      <c r="D251" t="inlineStr">
        <is>
          <t>NORRBOTTENS LÄN</t>
        </is>
      </c>
      <c r="E251" t="inlineStr">
        <is>
          <t>GÄLLIVARE</t>
        </is>
      </c>
      <c r="G251" t="n">
        <v>1.8</v>
      </c>
      <c r="H251" t="n">
        <v>0</v>
      </c>
      <c r="I251" t="n">
        <v>0</v>
      </c>
      <c r="J251" t="n">
        <v>0</v>
      </c>
      <c r="K251" t="n">
        <v>0</v>
      </c>
      <c r="L251" t="n">
        <v>0</v>
      </c>
      <c r="M251" t="n">
        <v>0</v>
      </c>
      <c r="N251" t="n">
        <v>0</v>
      </c>
      <c r="O251" t="n">
        <v>0</v>
      </c>
      <c r="P251" t="n">
        <v>0</v>
      </c>
      <c r="Q251" t="n">
        <v>0</v>
      </c>
      <c r="R251" s="2" t="inlineStr"/>
    </row>
    <row r="252" ht="15" customHeight="1">
      <c r="A252" t="inlineStr">
        <is>
          <t>A 39330-2020</t>
        </is>
      </c>
      <c r="B252" s="1" t="n">
        <v>44063</v>
      </c>
      <c r="C252" s="1" t="n">
        <v>45700</v>
      </c>
      <c r="D252" t="inlineStr">
        <is>
          <t>NORRBOTTENS LÄN</t>
        </is>
      </c>
      <c r="E252" t="inlineStr">
        <is>
          <t>GÄLLIVARE</t>
        </is>
      </c>
      <c r="G252" t="n">
        <v>1.9</v>
      </c>
      <c r="H252" t="n">
        <v>0</v>
      </c>
      <c r="I252" t="n">
        <v>0</v>
      </c>
      <c r="J252" t="n">
        <v>0</v>
      </c>
      <c r="K252" t="n">
        <v>0</v>
      </c>
      <c r="L252" t="n">
        <v>0</v>
      </c>
      <c r="M252" t="n">
        <v>0</v>
      </c>
      <c r="N252" t="n">
        <v>0</v>
      </c>
      <c r="O252" t="n">
        <v>0</v>
      </c>
      <c r="P252" t="n">
        <v>0</v>
      </c>
      <c r="Q252" t="n">
        <v>0</v>
      </c>
      <c r="R252" s="2" t="inlineStr"/>
    </row>
    <row r="253" ht="15" customHeight="1">
      <c r="A253" t="inlineStr">
        <is>
          <t>A 39331-2020</t>
        </is>
      </c>
      <c r="B253" s="1" t="n">
        <v>44063</v>
      </c>
      <c r="C253" s="1" t="n">
        <v>45700</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40899-2020</t>
        </is>
      </c>
      <c r="B254" s="1" t="n">
        <v>44070</v>
      </c>
      <c r="C254" s="1" t="n">
        <v>45700</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41736-2020</t>
        </is>
      </c>
      <c r="B255" s="1" t="n">
        <v>44070</v>
      </c>
      <c r="C255" s="1" t="n">
        <v>45700</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41692-2020</t>
        </is>
      </c>
      <c r="B256" s="1" t="n">
        <v>44070</v>
      </c>
      <c r="C256" s="1" t="n">
        <v>45700</v>
      </c>
      <c r="D256" t="inlineStr">
        <is>
          <t>NORRBOTTENS LÄN</t>
        </is>
      </c>
      <c r="E256" t="inlineStr">
        <is>
          <t>GÄLLIVARE</t>
        </is>
      </c>
      <c r="F256" t="inlineStr">
        <is>
          <t>Allmännings- och besparingsskogar</t>
        </is>
      </c>
      <c r="G256" t="n">
        <v>27.7</v>
      </c>
      <c r="H256" t="n">
        <v>0</v>
      </c>
      <c r="I256" t="n">
        <v>0</v>
      </c>
      <c r="J256" t="n">
        <v>0</v>
      </c>
      <c r="K256" t="n">
        <v>0</v>
      </c>
      <c r="L256" t="n">
        <v>0</v>
      </c>
      <c r="M256" t="n">
        <v>0</v>
      </c>
      <c r="N256" t="n">
        <v>0</v>
      </c>
      <c r="O256" t="n">
        <v>0</v>
      </c>
      <c r="P256" t="n">
        <v>0</v>
      </c>
      <c r="Q256" t="n">
        <v>0</v>
      </c>
      <c r="R256" s="2" t="inlineStr"/>
    </row>
    <row r="257" ht="15" customHeight="1">
      <c r="A257" t="inlineStr">
        <is>
          <t>A 43909-2020</t>
        </is>
      </c>
      <c r="B257" s="1" t="n">
        <v>44081</v>
      </c>
      <c r="C257" s="1" t="n">
        <v>45700</v>
      </c>
      <c r="D257" t="inlineStr">
        <is>
          <t>NORRBOTTENS LÄN</t>
        </is>
      </c>
      <c r="E257" t="inlineStr">
        <is>
          <t>GÄLLIVARE</t>
        </is>
      </c>
      <c r="G257" t="n">
        <v>14.2</v>
      </c>
      <c r="H257" t="n">
        <v>0</v>
      </c>
      <c r="I257" t="n">
        <v>0</v>
      </c>
      <c r="J257" t="n">
        <v>0</v>
      </c>
      <c r="K257" t="n">
        <v>0</v>
      </c>
      <c r="L257" t="n">
        <v>0</v>
      </c>
      <c r="M257" t="n">
        <v>0</v>
      </c>
      <c r="N257" t="n">
        <v>0</v>
      </c>
      <c r="O257" t="n">
        <v>0</v>
      </c>
      <c r="P257" t="n">
        <v>0</v>
      </c>
      <c r="Q257" t="n">
        <v>0</v>
      </c>
      <c r="R257" s="2" t="inlineStr"/>
    </row>
    <row r="258" ht="15" customHeight="1">
      <c r="A258" t="inlineStr">
        <is>
          <t>A 43910-2020</t>
        </is>
      </c>
      <c r="B258" s="1" t="n">
        <v>44081</v>
      </c>
      <c r="C258" s="1" t="n">
        <v>45700</v>
      </c>
      <c r="D258" t="inlineStr">
        <is>
          <t>NORRBOTTENS LÄN</t>
        </is>
      </c>
      <c r="E258" t="inlineStr">
        <is>
          <t>GÄLLIVARE</t>
        </is>
      </c>
      <c r="G258" t="n">
        <v>3.4</v>
      </c>
      <c r="H258" t="n">
        <v>0</v>
      </c>
      <c r="I258" t="n">
        <v>0</v>
      </c>
      <c r="J258" t="n">
        <v>0</v>
      </c>
      <c r="K258" t="n">
        <v>0</v>
      </c>
      <c r="L258" t="n">
        <v>0</v>
      </c>
      <c r="M258" t="n">
        <v>0</v>
      </c>
      <c r="N258" t="n">
        <v>0</v>
      </c>
      <c r="O258" t="n">
        <v>0</v>
      </c>
      <c r="P258" t="n">
        <v>0</v>
      </c>
      <c r="Q258" t="n">
        <v>0</v>
      </c>
      <c r="R258" s="2" t="inlineStr"/>
    </row>
    <row r="259" ht="15" customHeight="1">
      <c r="A259" t="inlineStr">
        <is>
          <t>A 46133-2020</t>
        </is>
      </c>
      <c r="B259" s="1" t="n">
        <v>44091</v>
      </c>
      <c r="C259" s="1" t="n">
        <v>45700</v>
      </c>
      <c r="D259" t="inlineStr">
        <is>
          <t>NORRBOTTENS LÄN</t>
        </is>
      </c>
      <c r="E259" t="inlineStr">
        <is>
          <t>GÄLLIVARE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46131-2020</t>
        </is>
      </c>
      <c r="B260" s="1" t="n">
        <v>44091</v>
      </c>
      <c r="C260" s="1" t="n">
        <v>45700</v>
      </c>
      <c r="D260" t="inlineStr">
        <is>
          <t>NORRBOTTENS LÄN</t>
        </is>
      </c>
      <c r="E260" t="inlineStr">
        <is>
          <t>GÄLLIVARE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46368-2020</t>
        </is>
      </c>
      <c r="B261" s="1" t="n">
        <v>44092</v>
      </c>
      <c r="C261" s="1" t="n">
        <v>45700</v>
      </c>
      <c r="D261" t="inlineStr">
        <is>
          <t>NORRBOTTENS LÄN</t>
        </is>
      </c>
      <c r="E261" t="inlineStr">
        <is>
          <t>GÄLLIVARE</t>
        </is>
      </c>
      <c r="F261" t="inlineStr">
        <is>
          <t>SCA</t>
        </is>
      </c>
      <c r="G261" t="n">
        <v>45.9</v>
      </c>
      <c r="H261" t="n">
        <v>0</v>
      </c>
      <c r="I261" t="n">
        <v>0</v>
      </c>
      <c r="J261" t="n">
        <v>0</v>
      </c>
      <c r="K261" t="n">
        <v>0</v>
      </c>
      <c r="L261" t="n">
        <v>0</v>
      </c>
      <c r="M261" t="n">
        <v>0</v>
      </c>
      <c r="N261" t="n">
        <v>0</v>
      </c>
      <c r="O261" t="n">
        <v>0</v>
      </c>
      <c r="P261" t="n">
        <v>0</v>
      </c>
      <c r="Q261" t="n">
        <v>0</v>
      </c>
      <c r="R261" s="2" t="inlineStr"/>
    </row>
    <row r="262" ht="15" customHeight="1">
      <c r="A262" t="inlineStr">
        <is>
          <t>A 47311-2020</t>
        </is>
      </c>
      <c r="B262" s="1" t="n">
        <v>44095</v>
      </c>
      <c r="C262" s="1" t="n">
        <v>45700</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47379-2020</t>
        </is>
      </c>
      <c r="B263" s="1" t="n">
        <v>44097</v>
      </c>
      <c r="C263" s="1" t="n">
        <v>45700</v>
      </c>
      <c r="D263" t="inlineStr">
        <is>
          <t>NORRBOTTENS LÄN</t>
        </is>
      </c>
      <c r="E263" t="inlineStr">
        <is>
          <t>GÄLLIVARE</t>
        </is>
      </c>
      <c r="F263" t="inlineStr">
        <is>
          <t>Sveaskog</t>
        </is>
      </c>
      <c r="G263" t="n">
        <v>9.6</v>
      </c>
      <c r="H263" t="n">
        <v>0</v>
      </c>
      <c r="I263" t="n">
        <v>0</v>
      </c>
      <c r="J263" t="n">
        <v>0</v>
      </c>
      <c r="K263" t="n">
        <v>0</v>
      </c>
      <c r="L263" t="n">
        <v>0</v>
      </c>
      <c r="M263" t="n">
        <v>0</v>
      </c>
      <c r="N263" t="n">
        <v>0</v>
      </c>
      <c r="O263" t="n">
        <v>0</v>
      </c>
      <c r="P263" t="n">
        <v>0</v>
      </c>
      <c r="Q263" t="n">
        <v>0</v>
      </c>
      <c r="R263" s="2" t="inlineStr"/>
    </row>
    <row r="264" ht="15" customHeight="1">
      <c r="A264" t="inlineStr">
        <is>
          <t>A 49013-2020</t>
        </is>
      </c>
      <c r="B264" s="1" t="n">
        <v>44104</v>
      </c>
      <c r="C264" s="1" t="n">
        <v>45700</v>
      </c>
      <c r="D264" t="inlineStr">
        <is>
          <t>NORRBOTTENS LÄN</t>
        </is>
      </c>
      <c r="E264" t="inlineStr">
        <is>
          <t>GÄLLIVARE</t>
        </is>
      </c>
      <c r="G264" t="n">
        <v>2.2</v>
      </c>
      <c r="H264" t="n">
        <v>0</v>
      </c>
      <c r="I264" t="n">
        <v>0</v>
      </c>
      <c r="J264" t="n">
        <v>0</v>
      </c>
      <c r="K264" t="n">
        <v>0</v>
      </c>
      <c r="L264" t="n">
        <v>0</v>
      </c>
      <c r="M264" t="n">
        <v>0</v>
      </c>
      <c r="N264" t="n">
        <v>0</v>
      </c>
      <c r="O264" t="n">
        <v>0</v>
      </c>
      <c r="P264" t="n">
        <v>0</v>
      </c>
      <c r="Q264" t="n">
        <v>0</v>
      </c>
      <c r="R264" s="2" t="inlineStr"/>
    </row>
    <row r="265" ht="15" customHeight="1">
      <c r="A265" t="inlineStr">
        <is>
          <t>A 49019-2020</t>
        </is>
      </c>
      <c r="B265" s="1" t="n">
        <v>44104</v>
      </c>
      <c r="C265" s="1" t="n">
        <v>45700</v>
      </c>
      <c r="D265" t="inlineStr">
        <is>
          <t>NORRBOTTENS LÄN</t>
        </is>
      </c>
      <c r="E265" t="inlineStr">
        <is>
          <t>GÄLLIVARE</t>
        </is>
      </c>
      <c r="G265" t="n">
        <v>2.1</v>
      </c>
      <c r="H265" t="n">
        <v>0</v>
      </c>
      <c r="I265" t="n">
        <v>0</v>
      </c>
      <c r="J265" t="n">
        <v>0</v>
      </c>
      <c r="K265" t="n">
        <v>0</v>
      </c>
      <c r="L265" t="n">
        <v>0</v>
      </c>
      <c r="M265" t="n">
        <v>0</v>
      </c>
      <c r="N265" t="n">
        <v>0</v>
      </c>
      <c r="O265" t="n">
        <v>0</v>
      </c>
      <c r="P265" t="n">
        <v>0</v>
      </c>
      <c r="Q265" t="n">
        <v>0</v>
      </c>
      <c r="R265" s="2" t="inlineStr"/>
    </row>
    <row r="266" ht="15" customHeight="1">
      <c r="A266" t="inlineStr">
        <is>
          <t>A 51992-2020</t>
        </is>
      </c>
      <c r="B266" s="1" t="n">
        <v>44109</v>
      </c>
      <c r="C266" s="1" t="n">
        <v>45700</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51701-2020</t>
        </is>
      </c>
      <c r="B267" s="1" t="n">
        <v>44113</v>
      </c>
      <c r="C267" s="1" t="n">
        <v>45700</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51706-2020</t>
        </is>
      </c>
      <c r="B268" s="1" t="n">
        <v>44113</v>
      </c>
      <c r="C268" s="1" t="n">
        <v>45700</v>
      </c>
      <c r="D268" t="inlineStr">
        <is>
          <t>NORRBOTTENS LÄN</t>
        </is>
      </c>
      <c r="E268" t="inlineStr">
        <is>
          <t>GÄLLIVARE</t>
        </is>
      </c>
      <c r="F268" t="inlineStr">
        <is>
          <t>SCA</t>
        </is>
      </c>
      <c r="G268" t="n">
        <v>7.3</v>
      </c>
      <c r="H268" t="n">
        <v>0</v>
      </c>
      <c r="I268" t="n">
        <v>0</v>
      </c>
      <c r="J268" t="n">
        <v>0</v>
      </c>
      <c r="K268" t="n">
        <v>0</v>
      </c>
      <c r="L268" t="n">
        <v>0</v>
      </c>
      <c r="M268" t="n">
        <v>0</v>
      </c>
      <c r="N268" t="n">
        <v>0</v>
      </c>
      <c r="O268" t="n">
        <v>0</v>
      </c>
      <c r="P268" t="n">
        <v>0</v>
      </c>
      <c r="Q268" t="n">
        <v>0</v>
      </c>
      <c r="R268" s="2" t="inlineStr"/>
    </row>
    <row r="269" ht="15" customHeight="1">
      <c r="A269" t="inlineStr">
        <is>
          <t>A 51700-2020</t>
        </is>
      </c>
      <c r="B269" s="1" t="n">
        <v>44113</v>
      </c>
      <c r="C269" s="1" t="n">
        <v>45700</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51713-2020</t>
        </is>
      </c>
      <c r="B270" s="1" t="n">
        <v>44113</v>
      </c>
      <c r="C270" s="1" t="n">
        <v>45700</v>
      </c>
      <c r="D270" t="inlineStr">
        <is>
          <t>NORRBOTTENS LÄN</t>
        </is>
      </c>
      <c r="E270" t="inlineStr">
        <is>
          <t>GÄLLIVARE</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52061-2020</t>
        </is>
      </c>
      <c r="B271" s="1" t="n">
        <v>44116</v>
      </c>
      <c r="C271" s="1" t="n">
        <v>45700</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52055-2020</t>
        </is>
      </c>
      <c r="B272" s="1" t="n">
        <v>44116</v>
      </c>
      <c r="C272" s="1" t="n">
        <v>45700</v>
      </c>
      <c r="D272" t="inlineStr">
        <is>
          <t>NORRBOTTENS LÄN</t>
        </is>
      </c>
      <c r="E272" t="inlineStr">
        <is>
          <t>GÄLLIVARE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55168-2020</t>
        </is>
      </c>
      <c r="B273" s="1" t="n">
        <v>44130</v>
      </c>
      <c r="C273" s="1" t="n">
        <v>45700</v>
      </c>
      <c r="D273" t="inlineStr">
        <is>
          <t>NORRBOTTENS LÄN</t>
        </is>
      </c>
      <c r="E273" t="inlineStr">
        <is>
          <t>GÄLLIVARE</t>
        </is>
      </c>
      <c r="G273" t="n">
        <v>0.7</v>
      </c>
      <c r="H273" t="n">
        <v>0</v>
      </c>
      <c r="I273" t="n">
        <v>0</v>
      </c>
      <c r="J273" t="n">
        <v>0</v>
      </c>
      <c r="K273" t="n">
        <v>0</v>
      </c>
      <c r="L273" t="n">
        <v>0</v>
      </c>
      <c r="M273" t="n">
        <v>0</v>
      </c>
      <c r="N273" t="n">
        <v>0</v>
      </c>
      <c r="O273" t="n">
        <v>0</v>
      </c>
      <c r="P273" t="n">
        <v>0</v>
      </c>
      <c r="Q273" t="n">
        <v>0</v>
      </c>
      <c r="R273" s="2" t="inlineStr"/>
    </row>
    <row r="274" ht="15" customHeight="1">
      <c r="A274" t="inlineStr">
        <is>
          <t>A 55180-2020</t>
        </is>
      </c>
      <c r="B274" s="1" t="n">
        <v>44130</v>
      </c>
      <c r="C274" s="1" t="n">
        <v>45700</v>
      </c>
      <c r="D274" t="inlineStr">
        <is>
          <t>NORRBOTTENS LÄN</t>
        </is>
      </c>
      <c r="E274" t="inlineStr">
        <is>
          <t>GÄLLIVARE</t>
        </is>
      </c>
      <c r="G274" t="n">
        <v>5.3</v>
      </c>
      <c r="H274" t="n">
        <v>0</v>
      </c>
      <c r="I274" t="n">
        <v>0</v>
      </c>
      <c r="J274" t="n">
        <v>0</v>
      </c>
      <c r="K274" t="n">
        <v>0</v>
      </c>
      <c r="L274" t="n">
        <v>0</v>
      </c>
      <c r="M274" t="n">
        <v>0</v>
      </c>
      <c r="N274" t="n">
        <v>0</v>
      </c>
      <c r="O274" t="n">
        <v>0</v>
      </c>
      <c r="P274" t="n">
        <v>0</v>
      </c>
      <c r="Q274" t="n">
        <v>0</v>
      </c>
      <c r="R274" s="2" t="inlineStr"/>
    </row>
    <row r="275" ht="15" customHeight="1">
      <c r="A275" t="inlineStr">
        <is>
          <t>A 58384-2020</t>
        </is>
      </c>
      <c r="B275" s="1" t="n">
        <v>44144</v>
      </c>
      <c r="C275" s="1" t="n">
        <v>45700</v>
      </c>
      <c r="D275" t="inlineStr">
        <is>
          <t>NORRBOTTENS LÄN</t>
        </is>
      </c>
      <c r="E275" t="inlineStr">
        <is>
          <t>GÄLLIVARE</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58409-2020</t>
        </is>
      </c>
      <c r="B276" s="1" t="n">
        <v>44144</v>
      </c>
      <c r="C276" s="1" t="n">
        <v>45700</v>
      </c>
      <c r="D276" t="inlineStr">
        <is>
          <t>NORRBOTTENS LÄN</t>
        </is>
      </c>
      <c r="E276" t="inlineStr">
        <is>
          <t>GÄLLIVARE</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65484-2020</t>
        </is>
      </c>
      <c r="B277" s="1" t="n">
        <v>44169</v>
      </c>
      <c r="C277" s="1" t="n">
        <v>45700</v>
      </c>
      <c r="D277" t="inlineStr">
        <is>
          <t>NORRBOTTENS LÄN</t>
        </is>
      </c>
      <c r="E277" t="inlineStr">
        <is>
          <t>GÄLLIVARE</t>
        </is>
      </c>
      <c r="G277" t="n">
        <v>3.9</v>
      </c>
      <c r="H277" t="n">
        <v>0</v>
      </c>
      <c r="I277" t="n">
        <v>0</v>
      </c>
      <c r="J277" t="n">
        <v>0</v>
      </c>
      <c r="K277" t="n">
        <v>0</v>
      </c>
      <c r="L277" t="n">
        <v>0</v>
      </c>
      <c r="M277" t="n">
        <v>0</v>
      </c>
      <c r="N277" t="n">
        <v>0</v>
      </c>
      <c r="O277" t="n">
        <v>0</v>
      </c>
      <c r="P277" t="n">
        <v>0</v>
      </c>
      <c r="Q277" t="n">
        <v>0</v>
      </c>
      <c r="R277" s="2" t="inlineStr"/>
    </row>
    <row r="278" ht="15" customHeight="1">
      <c r="A278" t="inlineStr">
        <is>
          <t>A 291-2021</t>
        </is>
      </c>
      <c r="B278" s="1" t="n">
        <v>44200</v>
      </c>
      <c r="C278" s="1" t="n">
        <v>45700</v>
      </c>
      <c r="D278" t="inlineStr">
        <is>
          <t>NORRBOTTENS LÄN</t>
        </is>
      </c>
      <c r="E278" t="inlineStr">
        <is>
          <t>GÄLLIVARE</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2540-2021</t>
        </is>
      </c>
      <c r="B279" s="1" t="n">
        <v>44214</v>
      </c>
      <c r="C279" s="1" t="n">
        <v>45700</v>
      </c>
      <c r="D279" t="inlineStr">
        <is>
          <t>NORRBOTTENS LÄN</t>
        </is>
      </c>
      <c r="E279" t="inlineStr">
        <is>
          <t>GÄLLIVARE</t>
        </is>
      </c>
      <c r="G279" t="n">
        <v>6.5</v>
      </c>
      <c r="H279" t="n">
        <v>0</v>
      </c>
      <c r="I279" t="n">
        <v>0</v>
      </c>
      <c r="J279" t="n">
        <v>0</v>
      </c>
      <c r="K279" t="n">
        <v>0</v>
      </c>
      <c r="L279" t="n">
        <v>0</v>
      </c>
      <c r="M279" t="n">
        <v>0</v>
      </c>
      <c r="N279" t="n">
        <v>0</v>
      </c>
      <c r="O279" t="n">
        <v>0</v>
      </c>
      <c r="P279" t="n">
        <v>0</v>
      </c>
      <c r="Q279" t="n">
        <v>0</v>
      </c>
      <c r="R279" s="2" t="inlineStr"/>
    </row>
    <row r="280" ht="15" customHeight="1">
      <c r="A280" t="inlineStr">
        <is>
          <t>A 2545-2021</t>
        </is>
      </c>
      <c r="B280" s="1" t="n">
        <v>44214</v>
      </c>
      <c r="C280" s="1" t="n">
        <v>45700</v>
      </c>
      <c r="D280" t="inlineStr">
        <is>
          <t>NORRBOTTENS LÄN</t>
        </is>
      </c>
      <c r="E280" t="inlineStr">
        <is>
          <t>GÄLLIVARE</t>
        </is>
      </c>
      <c r="G280" t="n">
        <v>6.5</v>
      </c>
      <c r="H280" t="n">
        <v>0</v>
      </c>
      <c r="I280" t="n">
        <v>0</v>
      </c>
      <c r="J280" t="n">
        <v>0</v>
      </c>
      <c r="K280" t="n">
        <v>0</v>
      </c>
      <c r="L280" t="n">
        <v>0</v>
      </c>
      <c r="M280" t="n">
        <v>0</v>
      </c>
      <c r="N280" t="n">
        <v>0</v>
      </c>
      <c r="O280" t="n">
        <v>0</v>
      </c>
      <c r="P280" t="n">
        <v>0</v>
      </c>
      <c r="Q280" t="n">
        <v>0</v>
      </c>
      <c r="R280" s="2" t="inlineStr"/>
    </row>
    <row r="281" ht="15" customHeight="1">
      <c r="A281" t="inlineStr">
        <is>
          <t>A 2538-2021</t>
        </is>
      </c>
      <c r="B281" s="1" t="n">
        <v>44214</v>
      </c>
      <c r="C281" s="1" t="n">
        <v>45700</v>
      </c>
      <c r="D281" t="inlineStr">
        <is>
          <t>NORRBOTTENS LÄN</t>
        </is>
      </c>
      <c r="E281" t="inlineStr">
        <is>
          <t>GÄLLIVARE</t>
        </is>
      </c>
      <c r="F281" t="inlineStr">
        <is>
          <t>Kommuner</t>
        </is>
      </c>
      <c r="G281" t="n">
        <v>2.7</v>
      </c>
      <c r="H281" t="n">
        <v>0</v>
      </c>
      <c r="I281" t="n">
        <v>0</v>
      </c>
      <c r="J281" t="n">
        <v>0</v>
      </c>
      <c r="K281" t="n">
        <v>0</v>
      </c>
      <c r="L281" t="n">
        <v>0</v>
      </c>
      <c r="M281" t="n">
        <v>0</v>
      </c>
      <c r="N281" t="n">
        <v>0</v>
      </c>
      <c r="O281" t="n">
        <v>0</v>
      </c>
      <c r="P281" t="n">
        <v>0</v>
      </c>
      <c r="Q281" t="n">
        <v>0</v>
      </c>
      <c r="R281" s="2" t="inlineStr"/>
    </row>
    <row r="282" ht="15" customHeight="1">
      <c r="A282" t="inlineStr">
        <is>
          <t>A 2548-2021</t>
        </is>
      </c>
      <c r="B282" s="1" t="n">
        <v>44214</v>
      </c>
      <c r="C282" s="1" t="n">
        <v>45700</v>
      </c>
      <c r="D282" t="inlineStr">
        <is>
          <t>NORRBOTTENS LÄN</t>
        </is>
      </c>
      <c r="E282" t="inlineStr">
        <is>
          <t>GÄLLIVARE</t>
        </is>
      </c>
      <c r="G282" t="n">
        <v>6.6</v>
      </c>
      <c r="H282" t="n">
        <v>0</v>
      </c>
      <c r="I282" t="n">
        <v>0</v>
      </c>
      <c r="J282" t="n">
        <v>0</v>
      </c>
      <c r="K282" t="n">
        <v>0</v>
      </c>
      <c r="L282" t="n">
        <v>0</v>
      </c>
      <c r="M282" t="n">
        <v>0</v>
      </c>
      <c r="N282" t="n">
        <v>0</v>
      </c>
      <c r="O282" t="n">
        <v>0</v>
      </c>
      <c r="P282" t="n">
        <v>0</v>
      </c>
      <c r="Q282" t="n">
        <v>0</v>
      </c>
      <c r="R282" s="2" t="inlineStr"/>
    </row>
    <row r="283" ht="15" customHeight="1">
      <c r="A283" t="inlineStr">
        <is>
          <t>A 13204-2021</t>
        </is>
      </c>
      <c r="B283" s="1" t="n">
        <v>44272</v>
      </c>
      <c r="C283" s="1" t="n">
        <v>45700</v>
      </c>
      <c r="D283" t="inlineStr">
        <is>
          <t>NORRBOTTENS LÄN</t>
        </is>
      </c>
      <c r="E283" t="inlineStr">
        <is>
          <t>GÄLLIVARE</t>
        </is>
      </c>
      <c r="G283" t="n">
        <v>41.2</v>
      </c>
      <c r="H283" t="n">
        <v>0</v>
      </c>
      <c r="I283" t="n">
        <v>0</v>
      </c>
      <c r="J283" t="n">
        <v>0</v>
      </c>
      <c r="K283" t="n">
        <v>0</v>
      </c>
      <c r="L283" t="n">
        <v>0</v>
      </c>
      <c r="M283" t="n">
        <v>0</v>
      </c>
      <c r="N283" t="n">
        <v>0</v>
      </c>
      <c r="O283" t="n">
        <v>0</v>
      </c>
      <c r="P283" t="n">
        <v>0</v>
      </c>
      <c r="Q283" t="n">
        <v>0</v>
      </c>
      <c r="R283" s="2" t="inlineStr"/>
    </row>
    <row r="284" ht="15" customHeight="1">
      <c r="A284" t="inlineStr">
        <is>
          <t>A 18677-2021</t>
        </is>
      </c>
      <c r="B284" s="1" t="n">
        <v>44307</v>
      </c>
      <c r="C284" s="1" t="n">
        <v>45700</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18678-2021</t>
        </is>
      </c>
      <c r="B285" s="1" t="n">
        <v>44307</v>
      </c>
      <c r="C285" s="1" t="n">
        <v>45700</v>
      </c>
      <c r="D285" t="inlineStr">
        <is>
          <t>NORRBOTTENS LÄN</t>
        </is>
      </c>
      <c r="E285" t="inlineStr">
        <is>
          <t>GÄLLIVARE</t>
        </is>
      </c>
      <c r="F285" t="inlineStr">
        <is>
          <t>SCA</t>
        </is>
      </c>
      <c r="G285" t="n">
        <v>23.2</v>
      </c>
      <c r="H285" t="n">
        <v>0</v>
      </c>
      <c r="I285" t="n">
        <v>0</v>
      </c>
      <c r="J285" t="n">
        <v>0</v>
      </c>
      <c r="K285" t="n">
        <v>0</v>
      </c>
      <c r="L285" t="n">
        <v>0</v>
      </c>
      <c r="M285" t="n">
        <v>0</v>
      </c>
      <c r="N285" t="n">
        <v>0</v>
      </c>
      <c r="O285" t="n">
        <v>0</v>
      </c>
      <c r="P285" t="n">
        <v>0</v>
      </c>
      <c r="Q285" t="n">
        <v>0</v>
      </c>
      <c r="R285" s="2" t="inlineStr"/>
    </row>
    <row r="286" ht="15" customHeight="1">
      <c r="A286" t="inlineStr">
        <is>
          <t>A 21425-2021</t>
        </is>
      </c>
      <c r="B286" s="1" t="n">
        <v>44321</v>
      </c>
      <c r="C286" s="1" t="n">
        <v>45700</v>
      </c>
      <c r="D286" t="inlineStr">
        <is>
          <t>NORRBOTTENS LÄN</t>
        </is>
      </c>
      <c r="E286" t="inlineStr">
        <is>
          <t>GÄLLIVARE</t>
        </is>
      </c>
      <c r="G286" t="n">
        <v>4.7</v>
      </c>
      <c r="H286" t="n">
        <v>0</v>
      </c>
      <c r="I286" t="n">
        <v>0</v>
      </c>
      <c r="J286" t="n">
        <v>0</v>
      </c>
      <c r="K286" t="n">
        <v>0</v>
      </c>
      <c r="L286" t="n">
        <v>0</v>
      </c>
      <c r="M286" t="n">
        <v>0</v>
      </c>
      <c r="N286" t="n">
        <v>0</v>
      </c>
      <c r="O286" t="n">
        <v>0</v>
      </c>
      <c r="P286" t="n">
        <v>0</v>
      </c>
      <c r="Q286" t="n">
        <v>0</v>
      </c>
      <c r="R286" s="2" t="inlineStr"/>
    </row>
    <row r="287" ht="15" customHeight="1">
      <c r="A287" t="inlineStr">
        <is>
          <t>A 21441-2021</t>
        </is>
      </c>
      <c r="B287" s="1" t="n">
        <v>44321</v>
      </c>
      <c r="C287" s="1" t="n">
        <v>45700</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28314-2021</t>
        </is>
      </c>
      <c r="B288" s="1" t="n">
        <v>44356</v>
      </c>
      <c r="C288" s="1" t="n">
        <v>45700</v>
      </c>
      <c r="D288" t="inlineStr">
        <is>
          <t>NORRBOTTENS LÄN</t>
        </is>
      </c>
      <c r="E288" t="inlineStr">
        <is>
          <t>GÄLLIVARE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45700</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29194-2021</t>
        </is>
      </c>
      <c r="B290" s="1" t="n">
        <v>44358</v>
      </c>
      <c r="C290" s="1" t="n">
        <v>45700</v>
      </c>
      <c r="D290" t="inlineStr">
        <is>
          <t>NORRBOTTENS LÄN</t>
        </is>
      </c>
      <c r="E290" t="inlineStr">
        <is>
          <t>GÄLLIVARE</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29608-2021</t>
        </is>
      </c>
      <c r="B291" s="1" t="n">
        <v>44361</v>
      </c>
      <c r="C291" s="1" t="n">
        <v>45700</v>
      </c>
      <c r="D291" t="inlineStr">
        <is>
          <t>NORRBOTTENS LÄN</t>
        </is>
      </c>
      <c r="E291" t="inlineStr">
        <is>
          <t>GÄLLIVARE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30994-2021</t>
        </is>
      </c>
      <c r="B292" s="1" t="n">
        <v>44366</v>
      </c>
      <c r="C292" s="1" t="n">
        <v>45700</v>
      </c>
      <c r="D292" t="inlineStr">
        <is>
          <t>NORRBOTTENS LÄN</t>
        </is>
      </c>
      <c r="E292" t="inlineStr">
        <is>
          <t>GÄLLIVARE</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32929-2021</t>
        </is>
      </c>
      <c r="B293" s="1" t="n">
        <v>44375</v>
      </c>
      <c r="C293" s="1" t="n">
        <v>45700</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36233-2021</t>
        </is>
      </c>
      <c r="B294" s="1" t="n">
        <v>44390</v>
      </c>
      <c r="C294" s="1" t="n">
        <v>45700</v>
      </c>
      <c r="D294" t="inlineStr">
        <is>
          <t>NORRBOTTENS LÄN</t>
        </is>
      </c>
      <c r="E294" t="inlineStr">
        <is>
          <t>GÄLLIVARE</t>
        </is>
      </c>
      <c r="F294" t="inlineStr">
        <is>
          <t>SCA</t>
        </is>
      </c>
      <c r="G294" t="n">
        <v>22.3</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45700</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37551-2021</t>
        </is>
      </c>
      <c r="B296" s="1" t="n">
        <v>44399</v>
      </c>
      <c r="C296" s="1" t="n">
        <v>45700</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38188-2021</t>
        </is>
      </c>
      <c r="B297" s="1" t="n">
        <v>44405</v>
      </c>
      <c r="C297" s="1" t="n">
        <v>45700</v>
      </c>
      <c r="D297" t="inlineStr">
        <is>
          <t>NORRBOTTENS LÄN</t>
        </is>
      </c>
      <c r="E297" t="inlineStr">
        <is>
          <t>GÄLLIVARE</t>
        </is>
      </c>
      <c r="G297" t="n">
        <v>13</v>
      </c>
      <c r="H297" t="n">
        <v>0</v>
      </c>
      <c r="I297" t="n">
        <v>0</v>
      </c>
      <c r="J297" t="n">
        <v>0</v>
      </c>
      <c r="K297" t="n">
        <v>0</v>
      </c>
      <c r="L297" t="n">
        <v>0</v>
      </c>
      <c r="M297" t="n">
        <v>0</v>
      </c>
      <c r="N297" t="n">
        <v>0</v>
      </c>
      <c r="O297" t="n">
        <v>0</v>
      </c>
      <c r="P297" t="n">
        <v>0</v>
      </c>
      <c r="Q297" t="n">
        <v>0</v>
      </c>
      <c r="R297" s="2" t="inlineStr"/>
    </row>
    <row r="298" ht="15" customHeight="1">
      <c r="A298" t="inlineStr">
        <is>
          <t>A 38187-2021</t>
        </is>
      </c>
      <c r="B298" s="1" t="n">
        <v>44405</v>
      </c>
      <c r="C298" s="1" t="n">
        <v>45700</v>
      </c>
      <c r="D298" t="inlineStr">
        <is>
          <t>NORRBOTTENS LÄN</t>
        </is>
      </c>
      <c r="E298" t="inlineStr">
        <is>
          <t>GÄLLIVARE</t>
        </is>
      </c>
      <c r="G298" t="n">
        <v>1.5</v>
      </c>
      <c r="H298" t="n">
        <v>0</v>
      </c>
      <c r="I298" t="n">
        <v>0</v>
      </c>
      <c r="J298" t="n">
        <v>0</v>
      </c>
      <c r="K298" t="n">
        <v>0</v>
      </c>
      <c r="L298" t="n">
        <v>0</v>
      </c>
      <c r="M298" t="n">
        <v>0</v>
      </c>
      <c r="N298" t="n">
        <v>0</v>
      </c>
      <c r="O298" t="n">
        <v>0</v>
      </c>
      <c r="P298" t="n">
        <v>0</v>
      </c>
      <c r="Q298" t="n">
        <v>0</v>
      </c>
      <c r="R298" s="2" t="inlineStr"/>
    </row>
    <row r="299" ht="15" customHeight="1">
      <c r="A299" t="inlineStr">
        <is>
          <t>A 38186-2021</t>
        </is>
      </c>
      <c r="B299" s="1" t="n">
        <v>44405</v>
      </c>
      <c r="C299" s="1" t="n">
        <v>45700</v>
      </c>
      <c r="D299" t="inlineStr">
        <is>
          <t>NORRBOTTENS LÄN</t>
        </is>
      </c>
      <c r="E299" t="inlineStr">
        <is>
          <t>GÄLLIVARE</t>
        </is>
      </c>
      <c r="G299" t="n">
        <v>2</v>
      </c>
      <c r="H299" t="n">
        <v>0</v>
      </c>
      <c r="I299" t="n">
        <v>0</v>
      </c>
      <c r="J299" t="n">
        <v>0</v>
      </c>
      <c r="K299" t="n">
        <v>0</v>
      </c>
      <c r="L299" t="n">
        <v>0</v>
      </c>
      <c r="M299" t="n">
        <v>0</v>
      </c>
      <c r="N299" t="n">
        <v>0</v>
      </c>
      <c r="O299" t="n">
        <v>0</v>
      </c>
      <c r="P299" t="n">
        <v>0</v>
      </c>
      <c r="Q299" t="n">
        <v>0</v>
      </c>
      <c r="R299" s="2" t="inlineStr"/>
    </row>
    <row r="300" ht="15" customHeight="1">
      <c r="A300" t="inlineStr">
        <is>
          <t>A 38183-2021</t>
        </is>
      </c>
      <c r="B300" s="1" t="n">
        <v>44405</v>
      </c>
      <c r="C300" s="1" t="n">
        <v>45700</v>
      </c>
      <c r="D300" t="inlineStr">
        <is>
          <t>NORRBOTTENS LÄN</t>
        </is>
      </c>
      <c r="E300" t="inlineStr">
        <is>
          <t>GÄLLIVARE</t>
        </is>
      </c>
      <c r="G300" t="n">
        <v>6</v>
      </c>
      <c r="H300" t="n">
        <v>0</v>
      </c>
      <c r="I300" t="n">
        <v>0</v>
      </c>
      <c r="J300" t="n">
        <v>0</v>
      </c>
      <c r="K300" t="n">
        <v>0</v>
      </c>
      <c r="L300" t="n">
        <v>0</v>
      </c>
      <c r="M300" t="n">
        <v>0</v>
      </c>
      <c r="N300" t="n">
        <v>0</v>
      </c>
      <c r="O300" t="n">
        <v>0</v>
      </c>
      <c r="P300" t="n">
        <v>0</v>
      </c>
      <c r="Q300" t="n">
        <v>0</v>
      </c>
      <c r="R300" s="2" t="inlineStr"/>
    </row>
    <row r="301" ht="15" customHeight="1">
      <c r="A301" t="inlineStr">
        <is>
          <t>A 38665-2021</t>
        </is>
      </c>
      <c r="B301" s="1" t="n">
        <v>44410</v>
      </c>
      <c r="C301" s="1" t="n">
        <v>45700</v>
      </c>
      <c r="D301" t="inlineStr">
        <is>
          <t>NORRBOTTENS LÄN</t>
        </is>
      </c>
      <c r="E301" t="inlineStr">
        <is>
          <t>GÄLLIVARE</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41057-2021</t>
        </is>
      </c>
      <c r="B302" s="1" t="n">
        <v>44422</v>
      </c>
      <c r="C302" s="1" t="n">
        <v>45700</v>
      </c>
      <c r="D302" t="inlineStr">
        <is>
          <t>NORRBOTTENS LÄN</t>
        </is>
      </c>
      <c r="E302" t="inlineStr">
        <is>
          <t>GÄLLIVARE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42230-2021</t>
        </is>
      </c>
      <c r="B303" s="1" t="n">
        <v>44426</v>
      </c>
      <c r="C303" s="1" t="n">
        <v>45700</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42529-2021</t>
        </is>
      </c>
      <c r="B304" s="1" t="n">
        <v>44428</v>
      </c>
      <c r="C304" s="1" t="n">
        <v>45700</v>
      </c>
      <c r="D304" t="inlineStr">
        <is>
          <t>NORRBOTTENS LÄN</t>
        </is>
      </c>
      <c r="E304" t="inlineStr">
        <is>
          <t>GÄLLIVARE</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42686-2021</t>
        </is>
      </c>
      <c r="B305" s="1" t="n">
        <v>44428</v>
      </c>
      <c r="C305" s="1" t="n">
        <v>45700</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43111-2021</t>
        </is>
      </c>
      <c r="B306" s="1" t="n">
        <v>44431</v>
      </c>
      <c r="C306" s="1" t="n">
        <v>45700</v>
      </c>
      <c r="D306" t="inlineStr">
        <is>
          <t>NORRBOTTENS LÄN</t>
        </is>
      </c>
      <c r="E306" t="inlineStr">
        <is>
          <t>GÄLLIVARE</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43489-2021</t>
        </is>
      </c>
      <c r="B307" s="1" t="n">
        <v>44432</v>
      </c>
      <c r="C307" s="1" t="n">
        <v>45700</v>
      </c>
      <c r="D307" t="inlineStr">
        <is>
          <t>NORRBOTTENS LÄN</t>
        </is>
      </c>
      <c r="E307" t="inlineStr">
        <is>
          <t>GÄLLIVARE</t>
        </is>
      </c>
      <c r="F307" t="inlineStr">
        <is>
          <t>SCA</t>
        </is>
      </c>
      <c r="G307" t="n">
        <v>18.9</v>
      </c>
      <c r="H307" t="n">
        <v>0</v>
      </c>
      <c r="I307" t="n">
        <v>0</v>
      </c>
      <c r="J307" t="n">
        <v>0</v>
      </c>
      <c r="K307" t="n">
        <v>0</v>
      </c>
      <c r="L307" t="n">
        <v>0</v>
      </c>
      <c r="M307" t="n">
        <v>0</v>
      </c>
      <c r="N307" t="n">
        <v>0</v>
      </c>
      <c r="O307" t="n">
        <v>0</v>
      </c>
      <c r="P307" t="n">
        <v>0</v>
      </c>
      <c r="Q307" t="n">
        <v>0</v>
      </c>
      <c r="R307" s="2" t="inlineStr"/>
    </row>
    <row r="308" ht="15" customHeight="1">
      <c r="A308" t="inlineStr">
        <is>
          <t>A 44853-2021</t>
        </is>
      </c>
      <c r="B308" s="1" t="n">
        <v>44438</v>
      </c>
      <c r="C308" s="1" t="n">
        <v>45700</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45019-2021</t>
        </is>
      </c>
      <c r="B309" s="1" t="n">
        <v>44439</v>
      </c>
      <c r="C309" s="1" t="n">
        <v>45700</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46728-2021</t>
        </is>
      </c>
      <c r="B310" s="1" t="n">
        <v>44445</v>
      </c>
      <c r="C310" s="1" t="n">
        <v>45700</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48074-2021</t>
        </is>
      </c>
      <c r="B311" s="1" t="n">
        <v>44449</v>
      </c>
      <c r="C311" s="1" t="n">
        <v>45700</v>
      </c>
      <c r="D311" t="inlineStr">
        <is>
          <t>NORRBOTTENS LÄN</t>
        </is>
      </c>
      <c r="E311" t="inlineStr">
        <is>
          <t>GÄLLIVARE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52181-2021</t>
        </is>
      </c>
      <c r="B312" s="1" t="n">
        <v>44463</v>
      </c>
      <c r="C312" s="1" t="n">
        <v>45700</v>
      </c>
      <c r="D312" t="inlineStr">
        <is>
          <t>NORRBOTTENS LÄN</t>
        </is>
      </c>
      <c r="E312" t="inlineStr">
        <is>
          <t>GÄLLIVARE</t>
        </is>
      </c>
      <c r="G312" t="n">
        <v>5.3</v>
      </c>
      <c r="H312" t="n">
        <v>0</v>
      </c>
      <c r="I312" t="n">
        <v>0</v>
      </c>
      <c r="J312" t="n">
        <v>0</v>
      </c>
      <c r="K312" t="n">
        <v>0</v>
      </c>
      <c r="L312" t="n">
        <v>0</v>
      </c>
      <c r="M312" t="n">
        <v>0</v>
      </c>
      <c r="N312" t="n">
        <v>0</v>
      </c>
      <c r="O312" t="n">
        <v>0</v>
      </c>
      <c r="P312" t="n">
        <v>0</v>
      </c>
      <c r="Q312" t="n">
        <v>0</v>
      </c>
      <c r="R312" s="2" t="inlineStr"/>
    </row>
    <row r="313" ht="15" customHeight="1">
      <c r="A313" t="inlineStr">
        <is>
          <t>A 54820-2021</t>
        </is>
      </c>
      <c r="B313" s="1" t="n">
        <v>44473</v>
      </c>
      <c r="C313" s="1" t="n">
        <v>45700</v>
      </c>
      <c r="D313" t="inlineStr">
        <is>
          <t>NORRBOTTENS LÄN</t>
        </is>
      </c>
      <c r="E313" t="inlineStr">
        <is>
          <t>GÄLLIVARE</t>
        </is>
      </c>
      <c r="F313" t="inlineStr">
        <is>
          <t>SCA</t>
        </is>
      </c>
      <c r="G313" t="n">
        <v>14.7</v>
      </c>
      <c r="H313" t="n">
        <v>0</v>
      </c>
      <c r="I313" t="n">
        <v>0</v>
      </c>
      <c r="J313" t="n">
        <v>0</v>
      </c>
      <c r="K313" t="n">
        <v>0</v>
      </c>
      <c r="L313" t="n">
        <v>0</v>
      </c>
      <c r="M313" t="n">
        <v>0</v>
      </c>
      <c r="N313" t="n">
        <v>0</v>
      </c>
      <c r="O313" t="n">
        <v>0</v>
      </c>
      <c r="P313" t="n">
        <v>0</v>
      </c>
      <c r="Q313" t="n">
        <v>0</v>
      </c>
      <c r="R313" s="2" t="inlineStr"/>
    </row>
    <row r="314" ht="15" customHeight="1">
      <c r="A314" t="inlineStr">
        <is>
          <t>A 56290-2021</t>
        </is>
      </c>
      <c r="B314" s="1" t="n">
        <v>44479</v>
      </c>
      <c r="C314" s="1" t="n">
        <v>45700</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56288-2021</t>
        </is>
      </c>
      <c r="B315" s="1" t="n">
        <v>44479</v>
      </c>
      <c r="C315" s="1" t="n">
        <v>45700</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56910-2021</t>
        </is>
      </c>
      <c r="B316" s="1" t="n">
        <v>44481</v>
      </c>
      <c r="C316" s="1" t="n">
        <v>45700</v>
      </c>
      <c r="D316" t="inlineStr">
        <is>
          <t>NORRBOTTENS LÄN</t>
        </is>
      </c>
      <c r="E316" t="inlineStr">
        <is>
          <t>GÄLLIVARE</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57208-2021</t>
        </is>
      </c>
      <c r="B317" s="1" t="n">
        <v>44483</v>
      </c>
      <c r="C317" s="1" t="n">
        <v>45700</v>
      </c>
      <c r="D317" t="inlineStr">
        <is>
          <t>NORRBOTTENS LÄN</t>
        </is>
      </c>
      <c r="E317" t="inlineStr">
        <is>
          <t>GÄLLIVARE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57534-2021</t>
        </is>
      </c>
      <c r="B318" s="1" t="n">
        <v>44483</v>
      </c>
      <c r="C318" s="1" t="n">
        <v>45700</v>
      </c>
      <c r="D318" t="inlineStr">
        <is>
          <t>NORRBOTTENS LÄN</t>
        </is>
      </c>
      <c r="E318" t="inlineStr">
        <is>
          <t>GÄLLIVARE</t>
        </is>
      </c>
      <c r="G318" t="n">
        <v>11.1</v>
      </c>
      <c r="H318" t="n">
        <v>0</v>
      </c>
      <c r="I318" t="n">
        <v>0</v>
      </c>
      <c r="J318" t="n">
        <v>0</v>
      </c>
      <c r="K318" t="n">
        <v>0</v>
      </c>
      <c r="L318" t="n">
        <v>0</v>
      </c>
      <c r="M318" t="n">
        <v>0</v>
      </c>
      <c r="N318" t="n">
        <v>0</v>
      </c>
      <c r="O318" t="n">
        <v>0</v>
      </c>
      <c r="P318" t="n">
        <v>0</v>
      </c>
      <c r="Q318" t="n">
        <v>0</v>
      </c>
      <c r="R318" s="2" t="inlineStr"/>
    </row>
    <row r="319" ht="15" customHeight="1">
      <c r="A319" t="inlineStr">
        <is>
          <t>A 58343-2021</t>
        </is>
      </c>
      <c r="B319" s="1" t="n">
        <v>44488</v>
      </c>
      <c r="C319" s="1" t="n">
        <v>45700</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58412-2021</t>
        </is>
      </c>
      <c r="B320" s="1" t="n">
        <v>44488</v>
      </c>
      <c r="C320" s="1" t="n">
        <v>45700</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58414-2021</t>
        </is>
      </c>
      <c r="B321" s="1" t="n">
        <v>44488</v>
      </c>
      <c r="C321" s="1" t="n">
        <v>45700</v>
      </c>
      <c r="D321" t="inlineStr">
        <is>
          <t>NORRBOTTENS LÄN</t>
        </is>
      </c>
      <c r="E321" t="inlineStr">
        <is>
          <t>GÄLLIVARE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45700</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63155-2021</t>
        </is>
      </c>
      <c r="B323" s="1" t="n">
        <v>44505</v>
      </c>
      <c r="C323" s="1" t="n">
        <v>45700</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63156-2021</t>
        </is>
      </c>
      <c r="B324" s="1" t="n">
        <v>44505</v>
      </c>
      <c r="C324" s="1" t="n">
        <v>45700</v>
      </c>
      <c r="D324" t="inlineStr">
        <is>
          <t>NORRBOTTENS LÄN</t>
        </is>
      </c>
      <c r="E324" t="inlineStr">
        <is>
          <t>GÄLLIVARE</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65517-2021</t>
        </is>
      </c>
      <c r="B325" s="1" t="n">
        <v>44516</v>
      </c>
      <c r="C325" s="1" t="n">
        <v>45700</v>
      </c>
      <c r="D325" t="inlineStr">
        <is>
          <t>NORRBOTTENS LÄN</t>
        </is>
      </c>
      <c r="E325" t="inlineStr">
        <is>
          <t>GÄLLIVARE</t>
        </is>
      </c>
      <c r="G325" t="n">
        <v>5</v>
      </c>
      <c r="H325" t="n">
        <v>0</v>
      </c>
      <c r="I325" t="n">
        <v>0</v>
      </c>
      <c r="J325" t="n">
        <v>0</v>
      </c>
      <c r="K325" t="n">
        <v>0</v>
      </c>
      <c r="L325" t="n">
        <v>0</v>
      </c>
      <c r="M325" t="n">
        <v>0</v>
      </c>
      <c r="N325" t="n">
        <v>0</v>
      </c>
      <c r="O325" t="n">
        <v>0</v>
      </c>
      <c r="P325" t="n">
        <v>0</v>
      </c>
      <c r="Q325" t="n">
        <v>0</v>
      </c>
      <c r="R325" s="2" t="inlineStr"/>
    </row>
    <row r="326" ht="15" customHeight="1">
      <c r="A326" t="inlineStr">
        <is>
          <t>A 66264-2021</t>
        </is>
      </c>
      <c r="B326" s="1" t="n">
        <v>44518</v>
      </c>
      <c r="C326" s="1" t="n">
        <v>45700</v>
      </c>
      <c r="D326" t="inlineStr">
        <is>
          <t>NORRBOTTENS LÄN</t>
        </is>
      </c>
      <c r="E326" t="inlineStr">
        <is>
          <t>GÄLLIVARE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66269-2021</t>
        </is>
      </c>
      <c r="B327" s="1" t="n">
        <v>44518</v>
      </c>
      <c r="C327" s="1" t="n">
        <v>45700</v>
      </c>
      <c r="D327" t="inlineStr">
        <is>
          <t>NORRBOTTENS LÄN</t>
        </is>
      </c>
      <c r="E327" t="inlineStr">
        <is>
          <t>GÄLLIVARE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66282-2021</t>
        </is>
      </c>
      <c r="B328" s="1" t="n">
        <v>44518</v>
      </c>
      <c r="C328" s="1" t="n">
        <v>45700</v>
      </c>
      <c r="D328" t="inlineStr">
        <is>
          <t>NORRBOTTENS LÄN</t>
        </is>
      </c>
      <c r="E328" t="inlineStr">
        <is>
          <t>GÄLLIVARE</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66257-2021</t>
        </is>
      </c>
      <c r="B329" s="1" t="n">
        <v>44518</v>
      </c>
      <c r="C329" s="1" t="n">
        <v>45700</v>
      </c>
      <c r="D329" t="inlineStr">
        <is>
          <t>NORRBOTTENS LÄN</t>
        </is>
      </c>
      <c r="E329" t="inlineStr">
        <is>
          <t>GÄLLIVARE</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66278-2021</t>
        </is>
      </c>
      <c r="B330" s="1" t="n">
        <v>44518</v>
      </c>
      <c r="C330" s="1" t="n">
        <v>45700</v>
      </c>
      <c r="D330" t="inlineStr">
        <is>
          <t>NORRBOTTENS LÄN</t>
        </is>
      </c>
      <c r="E330" t="inlineStr">
        <is>
          <t>GÄLLIVARE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66287-2021</t>
        </is>
      </c>
      <c r="B331" s="1" t="n">
        <v>44518</v>
      </c>
      <c r="C331" s="1" t="n">
        <v>45700</v>
      </c>
      <c r="D331" t="inlineStr">
        <is>
          <t>NORRBOTTENS LÄN</t>
        </is>
      </c>
      <c r="E331" t="inlineStr">
        <is>
          <t>GÄLLIVARE</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66950-2021</t>
        </is>
      </c>
      <c r="B332" s="1" t="n">
        <v>44522</v>
      </c>
      <c r="C332" s="1" t="n">
        <v>45700</v>
      </c>
      <c r="D332" t="inlineStr">
        <is>
          <t>NORRBOTTENS LÄN</t>
        </is>
      </c>
      <c r="E332" t="inlineStr">
        <is>
          <t>GÄLLIVARE</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66957-2021</t>
        </is>
      </c>
      <c r="B333" s="1" t="n">
        <v>44522</v>
      </c>
      <c r="C333" s="1" t="n">
        <v>45700</v>
      </c>
      <c r="D333" t="inlineStr">
        <is>
          <t>NORRBOTTENS LÄN</t>
        </is>
      </c>
      <c r="E333" t="inlineStr">
        <is>
          <t>GÄLLIVARE</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68199-2021</t>
        </is>
      </c>
      <c r="B334" s="1" t="n">
        <v>44525</v>
      </c>
      <c r="C334" s="1" t="n">
        <v>45700</v>
      </c>
      <c r="D334" t="inlineStr">
        <is>
          <t>NORRBOTTENS LÄN</t>
        </is>
      </c>
      <c r="E334" t="inlineStr">
        <is>
          <t>GÄLLIVARE</t>
        </is>
      </c>
      <c r="G334" t="n">
        <v>6.4</v>
      </c>
      <c r="H334" t="n">
        <v>0</v>
      </c>
      <c r="I334" t="n">
        <v>0</v>
      </c>
      <c r="J334" t="n">
        <v>0</v>
      </c>
      <c r="K334" t="n">
        <v>0</v>
      </c>
      <c r="L334" t="n">
        <v>0</v>
      </c>
      <c r="M334" t="n">
        <v>0</v>
      </c>
      <c r="N334" t="n">
        <v>0</v>
      </c>
      <c r="O334" t="n">
        <v>0</v>
      </c>
      <c r="P334" t="n">
        <v>0</v>
      </c>
      <c r="Q334" t="n">
        <v>0</v>
      </c>
      <c r="R334" s="2" t="inlineStr"/>
    </row>
    <row r="335" ht="15" customHeight="1">
      <c r="A335" t="inlineStr">
        <is>
          <t>A 68960-2021</t>
        </is>
      </c>
      <c r="B335" s="1" t="n">
        <v>44529</v>
      </c>
      <c r="C335" s="1" t="n">
        <v>45700</v>
      </c>
      <c r="D335" t="inlineStr">
        <is>
          <t>NORRBOTTENS LÄN</t>
        </is>
      </c>
      <c r="E335" t="inlineStr">
        <is>
          <t>GÄLLIVARE</t>
        </is>
      </c>
      <c r="F335" t="inlineStr">
        <is>
          <t>Allmännings- och besparingsskogar</t>
        </is>
      </c>
      <c r="G335" t="n">
        <v>23</v>
      </c>
      <c r="H335" t="n">
        <v>0</v>
      </c>
      <c r="I335" t="n">
        <v>0</v>
      </c>
      <c r="J335" t="n">
        <v>0</v>
      </c>
      <c r="K335" t="n">
        <v>0</v>
      </c>
      <c r="L335" t="n">
        <v>0</v>
      </c>
      <c r="M335" t="n">
        <v>0</v>
      </c>
      <c r="N335" t="n">
        <v>0</v>
      </c>
      <c r="O335" t="n">
        <v>0</v>
      </c>
      <c r="P335" t="n">
        <v>0</v>
      </c>
      <c r="Q335" t="n">
        <v>0</v>
      </c>
      <c r="R335" s="2" t="inlineStr"/>
    </row>
    <row r="336" ht="15" customHeight="1">
      <c r="A336" t="inlineStr">
        <is>
          <t>A 71941-2021</t>
        </is>
      </c>
      <c r="B336" s="1" t="n">
        <v>44543</v>
      </c>
      <c r="C336" s="1" t="n">
        <v>45700</v>
      </c>
      <c r="D336" t="inlineStr">
        <is>
          <t>NORRBOTTENS LÄN</t>
        </is>
      </c>
      <c r="E336" t="inlineStr">
        <is>
          <t>GÄLLIVARE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72762-2021</t>
        </is>
      </c>
      <c r="B337" s="1" t="n">
        <v>44546</v>
      </c>
      <c r="C337" s="1" t="n">
        <v>45700</v>
      </c>
      <c r="D337" t="inlineStr">
        <is>
          <t>NORRBOTTENS LÄN</t>
        </is>
      </c>
      <c r="E337" t="inlineStr">
        <is>
          <t>GÄLLIVARE</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73341-2021</t>
        </is>
      </c>
      <c r="B338" s="1" t="n">
        <v>44550</v>
      </c>
      <c r="C338" s="1" t="n">
        <v>45700</v>
      </c>
      <c r="D338" t="inlineStr">
        <is>
          <t>NORRBOTTENS LÄN</t>
        </is>
      </c>
      <c r="E338" t="inlineStr">
        <is>
          <t>GÄLLIVARE</t>
        </is>
      </c>
      <c r="G338" t="n">
        <v>0.6</v>
      </c>
      <c r="H338" t="n">
        <v>0</v>
      </c>
      <c r="I338" t="n">
        <v>0</v>
      </c>
      <c r="J338" t="n">
        <v>0</v>
      </c>
      <c r="K338" t="n">
        <v>0</v>
      </c>
      <c r="L338" t="n">
        <v>0</v>
      </c>
      <c r="M338" t="n">
        <v>0</v>
      </c>
      <c r="N338" t="n">
        <v>0</v>
      </c>
      <c r="O338" t="n">
        <v>0</v>
      </c>
      <c r="P338" t="n">
        <v>0</v>
      </c>
      <c r="Q338" t="n">
        <v>0</v>
      </c>
      <c r="R338" s="2" t="inlineStr"/>
    </row>
    <row r="339" ht="15" customHeight="1">
      <c r="A339" t="inlineStr">
        <is>
          <t>A 73337-2021</t>
        </is>
      </c>
      <c r="B339" s="1" t="n">
        <v>44550</v>
      </c>
      <c r="C339" s="1" t="n">
        <v>45700</v>
      </c>
      <c r="D339" t="inlineStr">
        <is>
          <t>NORRBOTTENS LÄN</t>
        </is>
      </c>
      <c r="E339" t="inlineStr">
        <is>
          <t>GÄLLIVARE</t>
        </is>
      </c>
      <c r="G339" t="n">
        <v>0.6</v>
      </c>
      <c r="H339" t="n">
        <v>0</v>
      </c>
      <c r="I339" t="n">
        <v>0</v>
      </c>
      <c r="J339" t="n">
        <v>0</v>
      </c>
      <c r="K339" t="n">
        <v>0</v>
      </c>
      <c r="L339" t="n">
        <v>0</v>
      </c>
      <c r="M339" t="n">
        <v>0</v>
      </c>
      <c r="N339" t="n">
        <v>0</v>
      </c>
      <c r="O339" t="n">
        <v>0</v>
      </c>
      <c r="P339" t="n">
        <v>0</v>
      </c>
      <c r="Q339" t="n">
        <v>0</v>
      </c>
      <c r="R339" s="2" t="inlineStr"/>
    </row>
    <row r="340" ht="15" customHeight="1">
      <c r="A340" t="inlineStr">
        <is>
          <t>A 73335-2021</t>
        </is>
      </c>
      <c r="B340" s="1" t="n">
        <v>44550</v>
      </c>
      <c r="C340" s="1" t="n">
        <v>45700</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73353-2021</t>
        </is>
      </c>
      <c r="B341" s="1" t="n">
        <v>44551</v>
      </c>
      <c r="C341" s="1" t="n">
        <v>45700</v>
      </c>
      <c r="D341" t="inlineStr">
        <is>
          <t>NORRBOTTENS LÄN</t>
        </is>
      </c>
      <c r="E341" t="inlineStr">
        <is>
          <t>GÄLLIVARE</t>
        </is>
      </c>
      <c r="G341" t="n">
        <v>2.4</v>
      </c>
      <c r="H341" t="n">
        <v>0</v>
      </c>
      <c r="I341" t="n">
        <v>0</v>
      </c>
      <c r="J341" t="n">
        <v>0</v>
      </c>
      <c r="K341" t="n">
        <v>0</v>
      </c>
      <c r="L341" t="n">
        <v>0</v>
      </c>
      <c r="M341" t="n">
        <v>0</v>
      </c>
      <c r="N341" t="n">
        <v>0</v>
      </c>
      <c r="O341" t="n">
        <v>0</v>
      </c>
      <c r="P341" t="n">
        <v>0</v>
      </c>
      <c r="Q341" t="n">
        <v>0</v>
      </c>
      <c r="R341" s="2" t="inlineStr"/>
    </row>
    <row r="342" ht="15" customHeight="1">
      <c r="A342" t="inlineStr">
        <is>
          <t>A 588-2022</t>
        </is>
      </c>
      <c r="B342" s="1" t="n">
        <v>44566</v>
      </c>
      <c r="C342" s="1" t="n">
        <v>45700</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2018-2022</t>
        </is>
      </c>
      <c r="B343" s="1" t="n">
        <v>44575</v>
      </c>
      <c r="C343" s="1" t="n">
        <v>45700</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4016-2022</t>
        </is>
      </c>
      <c r="B344" s="1" t="n">
        <v>44587</v>
      </c>
      <c r="C344" s="1" t="n">
        <v>45700</v>
      </c>
      <c r="D344" t="inlineStr">
        <is>
          <t>NORRBOTTENS LÄN</t>
        </is>
      </c>
      <c r="E344" t="inlineStr">
        <is>
          <t>GÄLLIVARE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4135-2022</t>
        </is>
      </c>
      <c r="B345" s="1" t="n">
        <v>44588</v>
      </c>
      <c r="C345" s="1" t="n">
        <v>45700</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7538-2022</t>
        </is>
      </c>
      <c r="B346" s="1" t="n">
        <v>44607</v>
      </c>
      <c r="C346" s="1" t="n">
        <v>45700</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7683-2022</t>
        </is>
      </c>
      <c r="B347" s="1" t="n">
        <v>44607</v>
      </c>
      <c r="C347" s="1" t="n">
        <v>45700</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7693-2022</t>
        </is>
      </c>
      <c r="B348" s="1" t="n">
        <v>44607</v>
      </c>
      <c r="C348" s="1" t="n">
        <v>45700</v>
      </c>
      <c r="D348" t="inlineStr">
        <is>
          <t>NORRBOTTENS LÄN</t>
        </is>
      </c>
      <c r="E348" t="inlineStr">
        <is>
          <t>GÄLLIVARE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7676-2022</t>
        </is>
      </c>
      <c r="B349" s="1" t="n">
        <v>44607</v>
      </c>
      <c r="C349" s="1" t="n">
        <v>45700</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7682-2022</t>
        </is>
      </c>
      <c r="B350" s="1" t="n">
        <v>44607</v>
      </c>
      <c r="C350" s="1" t="n">
        <v>45700</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7681-2022</t>
        </is>
      </c>
      <c r="B351" s="1" t="n">
        <v>44607</v>
      </c>
      <c r="C351" s="1" t="n">
        <v>45700</v>
      </c>
      <c r="D351" t="inlineStr">
        <is>
          <t>NORRBOTTENS LÄN</t>
        </is>
      </c>
      <c r="E351" t="inlineStr">
        <is>
          <t>GÄLLIVARE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7690-2022</t>
        </is>
      </c>
      <c r="B352" s="1" t="n">
        <v>44607</v>
      </c>
      <c r="C352" s="1" t="n">
        <v>45700</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7678-2022</t>
        </is>
      </c>
      <c r="B353" s="1" t="n">
        <v>44607</v>
      </c>
      <c r="C353" s="1" t="n">
        <v>45700</v>
      </c>
      <c r="D353" t="inlineStr">
        <is>
          <t>NORRBOTTENS LÄN</t>
        </is>
      </c>
      <c r="E353" t="inlineStr">
        <is>
          <t>GÄLLIVARE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7685-2022</t>
        </is>
      </c>
      <c r="B354" s="1" t="n">
        <v>44607</v>
      </c>
      <c r="C354" s="1" t="n">
        <v>45700</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8018-2022</t>
        </is>
      </c>
      <c r="B355" s="1" t="n">
        <v>44609</v>
      </c>
      <c r="C355" s="1" t="n">
        <v>45700</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9504-2022</t>
        </is>
      </c>
      <c r="B356" s="1" t="n">
        <v>44616</v>
      </c>
      <c r="C356" s="1" t="n">
        <v>45700</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9493-2022</t>
        </is>
      </c>
      <c r="B357" s="1" t="n">
        <v>44616</v>
      </c>
      <c r="C357" s="1" t="n">
        <v>45700</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10652-2022</t>
        </is>
      </c>
      <c r="B358" s="1" t="n">
        <v>44624</v>
      </c>
      <c r="C358" s="1" t="n">
        <v>45700</v>
      </c>
      <c r="D358" t="inlineStr">
        <is>
          <t>NORRBOTTENS LÄN</t>
        </is>
      </c>
      <c r="E358" t="inlineStr">
        <is>
          <t>GÄLLIVARE</t>
        </is>
      </c>
      <c r="G358" t="n">
        <v>7.9</v>
      </c>
      <c r="H358" t="n">
        <v>0</v>
      </c>
      <c r="I358" t="n">
        <v>0</v>
      </c>
      <c r="J358" t="n">
        <v>0</v>
      </c>
      <c r="K358" t="n">
        <v>0</v>
      </c>
      <c r="L358" t="n">
        <v>0</v>
      </c>
      <c r="M358" t="n">
        <v>0</v>
      </c>
      <c r="N358" t="n">
        <v>0</v>
      </c>
      <c r="O358" t="n">
        <v>0</v>
      </c>
      <c r="P358" t="n">
        <v>0</v>
      </c>
      <c r="Q358" t="n">
        <v>0</v>
      </c>
      <c r="R358" s="2" t="inlineStr"/>
    </row>
    <row r="359" ht="15" customHeight="1">
      <c r="A359" t="inlineStr">
        <is>
          <t>A 12202-2022</t>
        </is>
      </c>
      <c r="B359" s="1" t="n">
        <v>44636</v>
      </c>
      <c r="C359" s="1" t="n">
        <v>45700</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14279-2022</t>
        </is>
      </c>
      <c r="B360" s="1" t="n">
        <v>44651</v>
      </c>
      <c r="C360" s="1" t="n">
        <v>45700</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16549-2022</t>
        </is>
      </c>
      <c r="B361" s="1" t="n">
        <v>44672</v>
      </c>
      <c r="C361" s="1" t="n">
        <v>45700</v>
      </c>
      <c r="D361" t="inlineStr">
        <is>
          <t>NORRBOTTENS LÄN</t>
        </is>
      </c>
      <c r="E361" t="inlineStr">
        <is>
          <t>GÄLLIVARE</t>
        </is>
      </c>
      <c r="G361" t="n">
        <v>25.9</v>
      </c>
      <c r="H361" t="n">
        <v>0</v>
      </c>
      <c r="I361" t="n">
        <v>0</v>
      </c>
      <c r="J361" t="n">
        <v>0</v>
      </c>
      <c r="K361" t="n">
        <v>0</v>
      </c>
      <c r="L361" t="n">
        <v>0</v>
      </c>
      <c r="M361" t="n">
        <v>0</v>
      </c>
      <c r="N361" t="n">
        <v>0</v>
      </c>
      <c r="O361" t="n">
        <v>0</v>
      </c>
      <c r="P361" t="n">
        <v>0</v>
      </c>
      <c r="Q361" t="n">
        <v>0</v>
      </c>
      <c r="R361" s="2" t="inlineStr"/>
    </row>
    <row r="362" ht="15" customHeight="1">
      <c r="A362" t="inlineStr">
        <is>
          <t>A 18104-2022</t>
        </is>
      </c>
      <c r="B362" s="1" t="n">
        <v>44684</v>
      </c>
      <c r="C362" s="1" t="n">
        <v>45700</v>
      </c>
      <c r="D362" t="inlineStr">
        <is>
          <t>NORRBOTTENS LÄN</t>
        </is>
      </c>
      <c r="E362" t="inlineStr">
        <is>
          <t>GÄLLIVARE</t>
        </is>
      </c>
      <c r="G362" t="n">
        <v>8.4</v>
      </c>
      <c r="H362" t="n">
        <v>0</v>
      </c>
      <c r="I362" t="n">
        <v>0</v>
      </c>
      <c r="J362" t="n">
        <v>0</v>
      </c>
      <c r="K362" t="n">
        <v>0</v>
      </c>
      <c r="L362" t="n">
        <v>0</v>
      </c>
      <c r="M362" t="n">
        <v>0</v>
      </c>
      <c r="N362" t="n">
        <v>0</v>
      </c>
      <c r="O362" t="n">
        <v>0</v>
      </c>
      <c r="P362" t="n">
        <v>0</v>
      </c>
      <c r="Q362" t="n">
        <v>0</v>
      </c>
      <c r="R362" s="2" t="inlineStr"/>
    </row>
    <row r="363" ht="15" customHeight="1">
      <c r="A363" t="inlineStr">
        <is>
          <t>A 20000-2022</t>
        </is>
      </c>
      <c r="B363" s="1" t="n">
        <v>44697</v>
      </c>
      <c r="C363" s="1" t="n">
        <v>45700</v>
      </c>
      <c r="D363" t="inlineStr">
        <is>
          <t>NORRBOTTENS LÄN</t>
        </is>
      </c>
      <c r="E363" t="inlineStr">
        <is>
          <t>GÄLLIVARE</t>
        </is>
      </c>
      <c r="G363" t="n">
        <v>1.2</v>
      </c>
      <c r="H363" t="n">
        <v>0</v>
      </c>
      <c r="I363" t="n">
        <v>0</v>
      </c>
      <c r="J363" t="n">
        <v>0</v>
      </c>
      <c r="K363" t="n">
        <v>0</v>
      </c>
      <c r="L363" t="n">
        <v>0</v>
      </c>
      <c r="M363" t="n">
        <v>0</v>
      </c>
      <c r="N363" t="n">
        <v>0</v>
      </c>
      <c r="O363" t="n">
        <v>0</v>
      </c>
      <c r="P363" t="n">
        <v>0</v>
      </c>
      <c r="Q363" t="n">
        <v>0</v>
      </c>
      <c r="R363" s="2" t="inlineStr"/>
    </row>
    <row r="364" ht="15" customHeight="1">
      <c r="A364" t="inlineStr">
        <is>
          <t>A 22346-2022</t>
        </is>
      </c>
      <c r="B364" s="1" t="n">
        <v>44712</v>
      </c>
      <c r="C364" s="1" t="n">
        <v>45700</v>
      </c>
      <c r="D364" t="inlineStr">
        <is>
          <t>NORRBOTTENS LÄN</t>
        </is>
      </c>
      <c r="E364" t="inlineStr">
        <is>
          <t>GÄLLIVARE</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22347-2022</t>
        </is>
      </c>
      <c r="B365" s="1" t="n">
        <v>44712</v>
      </c>
      <c r="C365" s="1" t="n">
        <v>45700</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22348-2022</t>
        </is>
      </c>
      <c r="B366" s="1" t="n">
        <v>44712</v>
      </c>
      <c r="C366" s="1" t="n">
        <v>45700</v>
      </c>
      <c r="D366" t="inlineStr">
        <is>
          <t>NORRBOTTENS LÄN</t>
        </is>
      </c>
      <c r="E366" t="inlineStr">
        <is>
          <t>GÄLLIVARE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22349-2022</t>
        </is>
      </c>
      <c r="B367" s="1" t="n">
        <v>44712</v>
      </c>
      <c r="C367" s="1" t="n">
        <v>45700</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24564-2022</t>
        </is>
      </c>
      <c r="B368" s="1" t="n">
        <v>44726</v>
      </c>
      <c r="C368" s="1" t="n">
        <v>45700</v>
      </c>
      <c r="D368" t="inlineStr">
        <is>
          <t>NORRBOTTENS LÄN</t>
        </is>
      </c>
      <c r="E368" t="inlineStr">
        <is>
          <t>GÄLLIVARE</t>
        </is>
      </c>
      <c r="G368" t="n">
        <v>12.9</v>
      </c>
      <c r="H368" t="n">
        <v>0</v>
      </c>
      <c r="I368" t="n">
        <v>0</v>
      </c>
      <c r="J368" t="n">
        <v>0</v>
      </c>
      <c r="K368" t="n">
        <v>0</v>
      </c>
      <c r="L368" t="n">
        <v>0</v>
      </c>
      <c r="M368" t="n">
        <v>0</v>
      </c>
      <c r="N368" t="n">
        <v>0</v>
      </c>
      <c r="O368" t="n">
        <v>0</v>
      </c>
      <c r="P368" t="n">
        <v>0</v>
      </c>
      <c r="Q368" t="n">
        <v>0</v>
      </c>
      <c r="R368" s="2" t="inlineStr"/>
    </row>
    <row r="369" ht="15" customHeight="1">
      <c r="A369" t="inlineStr">
        <is>
          <t>A 25910-2022</t>
        </is>
      </c>
      <c r="B369" s="1" t="n">
        <v>44734</v>
      </c>
      <c r="C369" s="1" t="n">
        <v>45700</v>
      </c>
      <c r="D369" t="inlineStr">
        <is>
          <t>NORRBOTTENS LÄN</t>
        </is>
      </c>
      <c r="E369" t="inlineStr">
        <is>
          <t>GÄLLIVARE</t>
        </is>
      </c>
      <c r="F369" t="inlineStr">
        <is>
          <t>Sveaskog</t>
        </is>
      </c>
      <c r="G369" t="n">
        <v>36.7</v>
      </c>
      <c r="H369" t="n">
        <v>0</v>
      </c>
      <c r="I369" t="n">
        <v>0</v>
      </c>
      <c r="J369" t="n">
        <v>0</v>
      </c>
      <c r="K369" t="n">
        <v>0</v>
      </c>
      <c r="L369" t="n">
        <v>0</v>
      </c>
      <c r="M369" t="n">
        <v>0</v>
      </c>
      <c r="N369" t="n">
        <v>0</v>
      </c>
      <c r="O369" t="n">
        <v>0</v>
      </c>
      <c r="P369" t="n">
        <v>0</v>
      </c>
      <c r="Q369" t="n">
        <v>0</v>
      </c>
      <c r="R369" s="2" t="inlineStr"/>
    </row>
    <row r="370" ht="15" customHeight="1">
      <c r="A370" t="inlineStr">
        <is>
          <t>A 27050-2022</t>
        </is>
      </c>
      <c r="B370" s="1" t="n">
        <v>44741</v>
      </c>
      <c r="C370" s="1" t="n">
        <v>45700</v>
      </c>
      <c r="D370" t="inlineStr">
        <is>
          <t>NORRBOTTENS LÄN</t>
        </is>
      </c>
      <c r="E370" t="inlineStr">
        <is>
          <t>GÄLLIVARE</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29140-2022</t>
        </is>
      </c>
      <c r="B371" s="1" t="n">
        <v>44750</v>
      </c>
      <c r="C371" s="1" t="n">
        <v>45700</v>
      </c>
      <c r="D371" t="inlineStr">
        <is>
          <t>NORRBOTTENS LÄN</t>
        </is>
      </c>
      <c r="E371" t="inlineStr">
        <is>
          <t>GÄLLIVARE</t>
        </is>
      </c>
      <c r="G371" t="n">
        <v>13.6</v>
      </c>
      <c r="H371" t="n">
        <v>0</v>
      </c>
      <c r="I371" t="n">
        <v>0</v>
      </c>
      <c r="J371" t="n">
        <v>0</v>
      </c>
      <c r="K371" t="n">
        <v>0</v>
      </c>
      <c r="L371" t="n">
        <v>0</v>
      </c>
      <c r="M371" t="n">
        <v>0</v>
      </c>
      <c r="N371" t="n">
        <v>0</v>
      </c>
      <c r="O371" t="n">
        <v>0</v>
      </c>
      <c r="P371" t="n">
        <v>0</v>
      </c>
      <c r="Q371" t="n">
        <v>0</v>
      </c>
      <c r="R371" s="2" t="inlineStr"/>
    </row>
    <row r="372" ht="15" customHeight="1">
      <c r="A372" t="inlineStr">
        <is>
          <t>A 31117-2022</t>
        </is>
      </c>
      <c r="B372" s="1" t="n">
        <v>44769</v>
      </c>
      <c r="C372" s="1" t="n">
        <v>45700</v>
      </c>
      <c r="D372" t="inlineStr">
        <is>
          <t>NORRBOTTENS LÄN</t>
        </is>
      </c>
      <c r="E372" t="inlineStr">
        <is>
          <t>GÄLLIVARE</t>
        </is>
      </c>
      <c r="G372" t="n">
        <v>2.2</v>
      </c>
      <c r="H372" t="n">
        <v>0</v>
      </c>
      <c r="I372" t="n">
        <v>0</v>
      </c>
      <c r="J372" t="n">
        <v>0</v>
      </c>
      <c r="K372" t="n">
        <v>0</v>
      </c>
      <c r="L372" t="n">
        <v>0</v>
      </c>
      <c r="M372" t="n">
        <v>0</v>
      </c>
      <c r="N372" t="n">
        <v>0</v>
      </c>
      <c r="O372" t="n">
        <v>0</v>
      </c>
      <c r="P372" t="n">
        <v>0</v>
      </c>
      <c r="Q372" t="n">
        <v>0</v>
      </c>
      <c r="R372" s="2" t="inlineStr"/>
    </row>
    <row r="373" ht="15" customHeight="1">
      <c r="A373" t="inlineStr">
        <is>
          <t>A 31634-2022</t>
        </is>
      </c>
      <c r="B373" s="1" t="n">
        <v>44775</v>
      </c>
      <c r="C373" s="1" t="n">
        <v>45700</v>
      </c>
      <c r="D373" t="inlineStr">
        <is>
          <t>NORRBOTTENS LÄN</t>
        </is>
      </c>
      <c r="E373" t="inlineStr">
        <is>
          <t>GÄLLIVARE</t>
        </is>
      </c>
      <c r="G373" t="n">
        <v>1.7</v>
      </c>
      <c r="H373" t="n">
        <v>0</v>
      </c>
      <c r="I373" t="n">
        <v>0</v>
      </c>
      <c r="J373" t="n">
        <v>0</v>
      </c>
      <c r="K373" t="n">
        <v>0</v>
      </c>
      <c r="L373" t="n">
        <v>0</v>
      </c>
      <c r="M373" t="n">
        <v>0</v>
      </c>
      <c r="N373" t="n">
        <v>0</v>
      </c>
      <c r="O373" t="n">
        <v>0</v>
      </c>
      <c r="P373" t="n">
        <v>0</v>
      </c>
      <c r="Q373" t="n">
        <v>0</v>
      </c>
      <c r="R373" s="2" t="inlineStr"/>
    </row>
    <row r="374" ht="15" customHeight="1">
      <c r="A374" t="inlineStr">
        <is>
          <t>A 32196-2022</t>
        </is>
      </c>
      <c r="B374" s="1" t="n">
        <v>44781</v>
      </c>
      <c r="C374" s="1" t="n">
        <v>45700</v>
      </c>
      <c r="D374" t="inlineStr">
        <is>
          <t>NORRBOTTENS LÄN</t>
        </is>
      </c>
      <c r="E374" t="inlineStr">
        <is>
          <t>GÄLLIVARE</t>
        </is>
      </c>
      <c r="G374" t="n">
        <v>5.2</v>
      </c>
      <c r="H374" t="n">
        <v>0</v>
      </c>
      <c r="I374" t="n">
        <v>0</v>
      </c>
      <c r="J374" t="n">
        <v>0</v>
      </c>
      <c r="K374" t="n">
        <v>0</v>
      </c>
      <c r="L374" t="n">
        <v>0</v>
      </c>
      <c r="M374" t="n">
        <v>0</v>
      </c>
      <c r="N374" t="n">
        <v>0</v>
      </c>
      <c r="O374" t="n">
        <v>0</v>
      </c>
      <c r="P374" t="n">
        <v>0</v>
      </c>
      <c r="Q374" t="n">
        <v>0</v>
      </c>
      <c r="R374" s="2" t="inlineStr"/>
    </row>
    <row r="375" ht="15" customHeight="1">
      <c r="A375" t="inlineStr">
        <is>
          <t>A 32720-2022</t>
        </is>
      </c>
      <c r="B375" s="1" t="n">
        <v>44783</v>
      </c>
      <c r="C375" s="1" t="n">
        <v>45700</v>
      </c>
      <c r="D375" t="inlineStr">
        <is>
          <t>NORRBOTTENS LÄN</t>
        </is>
      </c>
      <c r="E375" t="inlineStr">
        <is>
          <t>GÄLLIVARE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33446-2022</t>
        </is>
      </c>
      <c r="B376" s="1" t="n">
        <v>44788</v>
      </c>
      <c r="C376" s="1" t="n">
        <v>45700</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34318-2022</t>
        </is>
      </c>
      <c r="B377" s="1" t="n">
        <v>44792</v>
      </c>
      <c r="C377" s="1" t="n">
        <v>45700</v>
      </c>
      <c r="D377" t="inlineStr">
        <is>
          <t>NORRBOTTENS LÄN</t>
        </is>
      </c>
      <c r="E377" t="inlineStr">
        <is>
          <t>GÄLLIVARE</t>
        </is>
      </c>
      <c r="G377" t="n">
        <v>13.3</v>
      </c>
      <c r="H377" t="n">
        <v>0</v>
      </c>
      <c r="I377" t="n">
        <v>0</v>
      </c>
      <c r="J377" t="n">
        <v>0</v>
      </c>
      <c r="K377" t="n">
        <v>0</v>
      </c>
      <c r="L377" t="n">
        <v>0</v>
      </c>
      <c r="M377" t="n">
        <v>0</v>
      </c>
      <c r="N377" t="n">
        <v>0</v>
      </c>
      <c r="O377" t="n">
        <v>0</v>
      </c>
      <c r="P377" t="n">
        <v>0</v>
      </c>
      <c r="Q377" t="n">
        <v>0</v>
      </c>
      <c r="R377" s="2" t="inlineStr"/>
    </row>
    <row r="378" ht="15" customHeight="1">
      <c r="A378" t="inlineStr">
        <is>
          <t>A 34671-2022</t>
        </is>
      </c>
      <c r="B378" s="1" t="n">
        <v>44795</v>
      </c>
      <c r="C378" s="1" t="n">
        <v>45700</v>
      </c>
      <c r="D378" t="inlineStr">
        <is>
          <t>NORRBOTTENS LÄN</t>
        </is>
      </c>
      <c r="E378" t="inlineStr">
        <is>
          <t>GÄLLIVARE</t>
        </is>
      </c>
      <c r="F378" t="inlineStr">
        <is>
          <t>Allmännings- och besparingsskogar</t>
        </is>
      </c>
      <c r="G378" t="n">
        <v>20.5</v>
      </c>
      <c r="H378" t="n">
        <v>0</v>
      </c>
      <c r="I378" t="n">
        <v>0</v>
      </c>
      <c r="J378" t="n">
        <v>0</v>
      </c>
      <c r="K378" t="n">
        <v>0</v>
      </c>
      <c r="L378" t="n">
        <v>0</v>
      </c>
      <c r="M378" t="n">
        <v>0</v>
      </c>
      <c r="N378" t="n">
        <v>0</v>
      </c>
      <c r="O378" t="n">
        <v>0</v>
      </c>
      <c r="P378" t="n">
        <v>0</v>
      </c>
      <c r="Q378" t="n">
        <v>0</v>
      </c>
      <c r="R378" s="2" t="inlineStr"/>
    </row>
    <row r="379" ht="15" customHeight="1">
      <c r="A379" t="inlineStr">
        <is>
          <t>A 34674-2022</t>
        </is>
      </c>
      <c r="B379" s="1" t="n">
        <v>44795</v>
      </c>
      <c r="C379" s="1" t="n">
        <v>45700</v>
      </c>
      <c r="D379" t="inlineStr">
        <is>
          <t>NORRBOTTENS LÄN</t>
        </is>
      </c>
      <c r="E379" t="inlineStr">
        <is>
          <t>GÄLLIVARE</t>
        </is>
      </c>
      <c r="F379" t="inlineStr">
        <is>
          <t>Allmännings- och besparingsskogar</t>
        </is>
      </c>
      <c r="G379" t="n">
        <v>96.7</v>
      </c>
      <c r="H379" t="n">
        <v>0</v>
      </c>
      <c r="I379" t="n">
        <v>0</v>
      </c>
      <c r="J379" t="n">
        <v>0</v>
      </c>
      <c r="K379" t="n">
        <v>0</v>
      </c>
      <c r="L379" t="n">
        <v>0</v>
      </c>
      <c r="M379" t="n">
        <v>0</v>
      </c>
      <c r="N379" t="n">
        <v>0</v>
      </c>
      <c r="O379" t="n">
        <v>0</v>
      </c>
      <c r="P379" t="n">
        <v>0</v>
      </c>
      <c r="Q379" t="n">
        <v>0</v>
      </c>
      <c r="R379" s="2" t="inlineStr"/>
    </row>
    <row r="380" ht="15" customHeight="1">
      <c r="A380" t="inlineStr">
        <is>
          <t>A 35317-2022</t>
        </is>
      </c>
      <c r="B380" s="1" t="n">
        <v>44798</v>
      </c>
      <c r="C380" s="1" t="n">
        <v>45700</v>
      </c>
      <c r="D380" t="inlineStr">
        <is>
          <t>NORRBOTTENS LÄN</t>
        </is>
      </c>
      <c r="E380" t="inlineStr">
        <is>
          <t>GÄLLIVARE</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35576-2022</t>
        </is>
      </c>
      <c r="B381" s="1" t="n">
        <v>44799</v>
      </c>
      <c r="C381" s="1" t="n">
        <v>45700</v>
      </c>
      <c r="D381" t="inlineStr">
        <is>
          <t>NORRBOTTENS LÄN</t>
        </is>
      </c>
      <c r="E381" t="inlineStr">
        <is>
          <t>GÄLLIVARE</t>
        </is>
      </c>
      <c r="F381" t="inlineStr">
        <is>
          <t>Allmännings- och besparingsskogar</t>
        </is>
      </c>
      <c r="G381" t="n">
        <v>2.3</v>
      </c>
      <c r="H381" t="n">
        <v>0</v>
      </c>
      <c r="I381" t="n">
        <v>0</v>
      </c>
      <c r="J381" t="n">
        <v>0</v>
      </c>
      <c r="K381" t="n">
        <v>0</v>
      </c>
      <c r="L381" t="n">
        <v>0</v>
      </c>
      <c r="M381" t="n">
        <v>0</v>
      </c>
      <c r="N381" t="n">
        <v>0</v>
      </c>
      <c r="O381" t="n">
        <v>0</v>
      </c>
      <c r="P381" t="n">
        <v>0</v>
      </c>
      <c r="Q381" t="n">
        <v>0</v>
      </c>
      <c r="R381" s="2" t="inlineStr"/>
    </row>
    <row r="382" ht="15" customHeight="1">
      <c r="A382" t="inlineStr">
        <is>
          <t>A 35579-2022</t>
        </is>
      </c>
      <c r="B382" s="1" t="n">
        <v>44799</v>
      </c>
      <c r="C382" s="1" t="n">
        <v>45700</v>
      </c>
      <c r="D382" t="inlineStr">
        <is>
          <t>NORRBOTTENS LÄN</t>
        </is>
      </c>
      <c r="E382" t="inlineStr">
        <is>
          <t>GÄLLIVARE</t>
        </is>
      </c>
      <c r="F382" t="inlineStr">
        <is>
          <t>Allmännings- och besparingsskogar</t>
        </is>
      </c>
      <c r="G382" t="n">
        <v>7.9</v>
      </c>
      <c r="H382" t="n">
        <v>0</v>
      </c>
      <c r="I382" t="n">
        <v>0</v>
      </c>
      <c r="J382" t="n">
        <v>0</v>
      </c>
      <c r="K382" t="n">
        <v>0</v>
      </c>
      <c r="L382" t="n">
        <v>0</v>
      </c>
      <c r="M382" t="n">
        <v>0</v>
      </c>
      <c r="N382" t="n">
        <v>0</v>
      </c>
      <c r="O382" t="n">
        <v>0</v>
      </c>
      <c r="P382" t="n">
        <v>0</v>
      </c>
      <c r="Q382" t="n">
        <v>0</v>
      </c>
      <c r="R382" s="2" t="inlineStr"/>
    </row>
    <row r="383" ht="15" customHeight="1">
      <c r="A383" t="inlineStr">
        <is>
          <t>A 39397-2022</t>
        </is>
      </c>
      <c r="B383" s="1" t="n">
        <v>44817</v>
      </c>
      <c r="C383" s="1" t="n">
        <v>45700</v>
      </c>
      <c r="D383" t="inlineStr">
        <is>
          <t>NORRBOTTENS LÄN</t>
        </is>
      </c>
      <c r="E383" t="inlineStr">
        <is>
          <t>GÄLLIVARE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39379-2022</t>
        </is>
      </c>
      <c r="B384" s="1" t="n">
        <v>44818</v>
      </c>
      <c r="C384" s="1" t="n">
        <v>45700</v>
      </c>
      <c r="D384" t="inlineStr">
        <is>
          <t>NORRBOTTENS LÄN</t>
        </is>
      </c>
      <c r="E384" t="inlineStr">
        <is>
          <t>GÄLLIVARE</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39378-2022</t>
        </is>
      </c>
      <c r="B385" s="1" t="n">
        <v>44817</v>
      </c>
      <c r="C385" s="1" t="n">
        <v>45700</v>
      </c>
      <c r="D385" t="inlineStr">
        <is>
          <t>NORRBOTTENS LÄN</t>
        </is>
      </c>
      <c r="E385" t="inlineStr">
        <is>
          <t>GÄLLIVARE</t>
        </is>
      </c>
      <c r="F385" t="inlineStr">
        <is>
          <t>SCA</t>
        </is>
      </c>
      <c r="G385" t="n">
        <v>11.5</v>
      </c>
      <c r="H385" t="n">
        <v>0</v>
      </c>
      <c r="I385" t="n">
        <v>0</v>
      </c>
      <c r="J385" t="n">
        <v>0</v>
      </c>
      <c r="K385" t="n">
        <v>0</v>
      </c>
      <c r="L385" t="n">
        <v>0</v>
      </c>
      <c r="M385" t="n">
        <v>0</v>
      </c>
      <c r="N385" t="n">
        <v>0</v>
      </c>
      <c r="O385" t="n">
        <v>0</v>
      </c>
      <c r="P385" t="n">
        <v>0</v>
      </c>
      <c r="Q385" t="n">
        <v>0</v>
      </c>
      <c r="R385" s="2" t="inlineStr"/>
    </row>
    <row r="386" ht="15" customHeight="1">
      <c r="A386" t="inlineStr">
        <is>
          <t>A 39377-2022</t>
        </is>
      </c>
      <c r="B386" s="1" t="n">
        <v>44817</v>
      </c>
      <c r="C386" s="1" t="n">
        <v>45700</v>
      </c>
      <c r="D386" t="inlineStr">
        <is>
          <t>NORRBOTTENS LÄN</t>
        </is>
      </c>
      <c r="E386" t="inlineStr">
        <is>
          <t>GÄLLIVARE</t>
        </is>
      </c>
      <c r="F386" t="inlineStr">
        <is>
          <t>SCA</t>
        </is>
      </c>
      <c r="G386" t="n">
        <v>11.8</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45700</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39958-2022</t>
        </is>
      </c>
      <c r="B388" s="1" t="n">
        <v>44819</v>
      </c>
      <c r="C388" s="1" t="n">
        <v>45700</v>
      </c>
      <c r="D388" t="inlineStr">
        <is>
          <t>NORRBOTTENS LÄN</t>
        </is>
      </c>
      <c r="E388" t="inlineStr">
        <is>
          <t>GÄLLIVARE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40427-2022</t>
        </is>
      </c>
      <c r="B389" s="1" t="n">
        <v>44823</v>
      </c>
      <c r="C389" s="1" t="n">
        <v>45700</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40845-2022</t>
        </is>
      </c>
      <c r="B390" s="1" t="n">
        <v>44824</v>
      </c>
      <c r="C390" s="1" t="n">
        <v>45700</v>
      </c>
      <c r="D390" t="inlineStr">
        <is>
          <t>NORRBOTTENS LÄN</t>
        </is>
      </c>
      <c r="E390" t="inlineStr">
        <is>
          <t>GÄLLIVARE</t>
        </is>
      </c>
      <c r="F390" t="inlineStr">
        <is>
          <t>SCA</t>
        </is>
      </c>
      <c r="G390" t="n">
        <v>30.9</v>
      </c>
      <c r="H390" t="n">
        <v>0</v>
      </c>
      <c r="I390" t="n">
        <v>0</v>
      </c>
      <c r="J390" t="n">
        <v>0</v>
      </c>
      <c r="K390" t="n">
        <v>0</v>
      </c>
      <c r="L390" t="n">
        <v>0</v>
      </c>
      <c r="M390" t="n">
        <v>0</v>
      </c>
      <c r="N390" t="n">
        <v>0</v>
      </c>
      <c r="O390" t="n">
        <v>0</v>
      </c>
      <c r="P390" t="n">
        <v>0</v>
      </c>
      <c r="Q390" t="n">
        <v>0</v>
      </c>
      <c r="R390" s="2" t="inlineStr"/>
    </row>
    <row r="391" ht="15" customHeight="1">
      <c r="A391" t="inlineStr">
        <is>
          <t>A 42278-2022</t>
        </is>
      </c>
      <c r="B391" s="1" t="n">
        <v>44831</v>
      </c>
      <c r="C391" s="1" t="n">
        <v>45700</v>
      </c>
      <c r="D391" t="inlineStr">
        <is>
          <t>NORRBOTTENS LÄN</t>
        </is>
      </c>
      <c r="E391" t="inlineStr">
        <is>
          <t>GÄLLIVARE</t>
        </is>
      </c>
      <c r="F391" t="inlineStr">
        <is>
          <t>SCA</t>
        </is>
      </c>
      <c r="G391" t="n">
        <v>15.2</v>
      </c>
      <c r="H391" t="n">
        <v>0</v>
      </c>
      <c r="I391" t="n">
        <v>0</v>
      </c>
      <c r="J391" t="n">
        <v>0</v>
      </c>
      <c r="K391" t="n">
        <v>0</v>
      </c>
      <c r="L391" t="n">
        <v>0</v>
      </c>
      <c r="M391" t="n">
        <v>0</v>
      </c>
      <c r="N391" t="n">
        <v>0</v>
      </c>
      <c r="O391" t="n">
        <v>0</v>
      </c>
      <c r="P391" t="n">
        <v>0</v>
      </c>
      <c r="Q391" t="n">
        <v>0</v>
      </c>
      <c r="R391" s="2" t="inlineStr"/>
    </row>
    <row r="392" ht="15" customHeight="1">
      <c r="A392" t="inlineStr">
        <is>
          <t>A 42886-2022</t>
        </is>
      </c>
      <c r="B392" s="1" t="n">
        <v>44833</v>
      </c>
      <c r="C392" s="1" t="n">
        <v>45700</v>
      </c>
      <c r="D392" t="inlineStr">
        <is>
          <t>NORRBOTTENS LÄN</t>
        </is>
      </c>
      <c r="E392" t="inlineStr">
        <is>
          <t>GÄLLIVARE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43153-2022</t>
        </is>
      </c>
      <c r="B393" s="1" t="n">
        <v>44834</v>
      </c>
      <c r="C393" s="1" t="n">
        <v>45700</v>
      </c>
      <c r="D393" t="inlineStr">
        <is>
          <t>NORRBOTTENS LÄN</t>
        </is>
      </c>
      <c r="E393" t="inlineStr">
        <is>
          <t>GÄLLIVARE</t>
        </is>
      </c>
      <c r="F393" t="inlineStr">
        <is>
          <t>SCA</t>
        </is>
      </c>
      <c r="G393" t="n">
        <v>22.3</v>
      </c>
      <c r="H393" t="n">
        <v>0</v>
      </c>
      <c r="I393" t="n">
        <v>0</v>
      </c>
      <c r="J393" t="n">
        <v>0</v>
      </c>
      <c r="K393" t="n">
        <v>0</v>
      </c>
      <c r="L393" t="n">
        <v>0</v>
      </c>
      <c r="M393" t="n">
        <v>0</v>
      </c>
      <c r="N393" t="n">
        <v>0</v>
      </c>
      <c r="O393" t="n">
        <v>0</v>
      </c>
      <c r="P393" t="n">
        <v>0</v>
      </c>
      <c r="Q393" t="n">
        <v>0</v>
      </c>
      <c r="R393" s="2" t="inlineStr"/>
    </row>
    <row r="394" ht="15" customHeight="1">
      <c r="A394" t="inlineStr">
        <is>
          <t>A 43154-2022</t>
        </is>
      </c>
      <c r="B394" s="1" t="n">
        <v>44834</v>
      </c>
      <c r="C394" s="1" t="n">
        <v>45700</v>
      </c>
      <c r="D394" t="inlineStr">
        <is>
          <t>NORRBOTTENS LÄN</t>
        </is>
      </c>
      <c r="E394" t="inlineStr">
        <is>
          <t>GÄLLIVARE</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43155-2022</t>
        </is>
      </c>
      <c r="B395" s="1" t="n">
        <v>44834</v>
      </c>
      <c r="C395" s="1" t="n">
        <v>45700</v>
      </c>
      <c r="D395" t="inlineStr">
        <is>
          <t>NORRBOTTENS LÄN</t>
        </is>
      </c>
      <c r="E395" t="inlineStr">
        <is>
          <t>GÄLLIVARE</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43159-2022</t>
        </is>
      </c>
      <c r="B396" s="1" t="n">
        <v>44834</v>
      </c>
      <c r="C396" s="1" t="n">
        <v>45700</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43157-2022</t>
        </is>
      </c>
      <c r="B397" s="1" t="n">
        <v>44834</v>
      </c>
      <c r="C397" s="1" t="n">
        <v>45700</v>
      </c>
      <c r="D397" t="inlineStr">
        <is>
          <t>NORRBOTTENS LÄN</t>
        </is>
      </c>
      <c r="E397" t="inlineStr">
        <is>
          <t>GÄLLIVARE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43156-2022</t>
        </is>
      </c>
      <c r="B398" s="1" t="n">
        <v>44834</v>
      </c>
      <c r="C398" s="1" t="n">
        <v>45700</v>
      </c>
      <c r="D398" t="inlineStr">
        <is>
          <t>NORRBOTTENS LÄN</t>
        </is>
      </c>
      <c r="E398" t="inlineStr">
        <is>
          <t>GÄLLIVARE</t>
        </is>
      </c>
      <c r="F398" t="inlineStr">
        <is>
          <t>SCA</t>
        </is>
      </c>
      <c r="G398" t="n">
        <v>10.7</v>
      </c>
      <c r="H398" t="n">
        <v>0</v>
      </c>
      <c r="I398" t="n">
        <v>0</v>
      </c>
      <c r="J398" t="n">
        <v>0</v>
      </c>
      <c r="K398" t="n">
        <v>0</v>
      </c>
      <c r="L398" t="n">
        <v>0</v>
      </c>
      <c r="M398" t="n">
        <v>0</v>
      </c>
      <c r="N398" t="n">
        <v>0</v>
      </c>
      <c r="O398" t="n">
        <v>0</v>
      </c>
      <c r="P398" t="n">
        <v>0</v>
      </c>
      <c r="Q398" t="n">
        <v>0</v>
      </c>
      <c r="R398" s="2" t="inlineStr"/>
    </row>
    <row r="399" ht="15" customHeight="1">
      <c r="A399" t="inlineStr">
        <is>
          <t>A 44840-2022</t>
        </is>
      </c>
      <c r="B399" s="1" t="n">
        <v>44839</v>
      </c>
      <c r="C399" s="1" t="n">
        <v>45700</v>
      </c>
      <c r="D399" t="inlineStr">
        <is>
          <t>NORRBOTTENS LÄN</t>
        </is>
      </c>
      <c r="E399" t="inlineStr">
        <is>
          <t>GÄLLIVARE</t>
        </is>
      </c>
      <c r="F399" t="inlineStr">
        <is>
          <t>Övriga statliga verk och myndigheter</t>
        </is>
      </c>
      <c r="G399" t="n">
        <v>20.9</v>
      </c>
      <c r="H399" t="n">
        <v>0</v>
      </c>
      <c r="I399" t="n">
        <v>0</v>
      </c>
      <c r="J399" t="n">
        <v>0</v>
      </c>
      <c r="K399" t="n">
        <v>0</v>
      </c>
      <c r="L399" t="n">
        <v>0</v>
      </c>
      <c r="M399" t="n">
        <v>0</v>
      </c>
      <c r="N399" t="n">
        <v>0</v>
      </c>
      <c r="O399" t="n">
        <v>0</v>
      </c>
      <c r="P399" t="n">
        <v>0</v>
      </c>
      <c r="Q399" t="n">
        <v>0</v>
      </c>
      <c r="R399" s="2" t="inlineStr"/>
    </row>
    <row r="400" ht="15" customHeight="1">
      <c r="A400" t="inlineStr">
        <is>
          <t>A 47780-2022</t>
        </is>
      </c>
      <c r="B400" s="1" t="n">
        <v>44854</v>
      </c>
      <c r="C400" s="1" t="n">
        <v>45700</v>
      </c>
      <c r="D400" t="inlineStr">
        <is>
          <t>NORRBOTTENS LÄN</t>
        </is>
      </c>
      <c r="E400" t="inlineStr">
        <is>
          <t>GÄLLIVARE</t>
        </is>
      </c>
      <c r="G400" t="n">
        <v>5.4</v>
      </c>
      <c r="H400" t="n">
        <v>0</v>
      </c>
      <c r="I400" t="n">
        <v>0</v>
      </c>
      <c r="J400" t="n">
        <v>0</v>
      </c>
      <c r="K400" t="n">
        <v>0</v>
      </c>
      <c r="L400" t="n">
        <v>0</v>
      </c>
      <c r="M400" t="n">
        <v>0</v>
      </c>
      <c r="N400" t="n">
        <v>0</v>
      </c>
      <c r="O400" t="n">
        <v>0</v>
      </c>
      <c r="P400" t="n">
        <v>0</v>
      </c>
      <c r="Q400" t="n">
        <v>0</v>
      </c>
      <c r="R400" s="2" t="inlineStr"/>
    </row>
    <row r="401" ht="15" customHeight="1">
      <c r="A401" t="inlineStr">
        <is>
          <t>A 47793-2022</t>
        </is>
      </c>
      <c r="B401" s="1" t="n">
        <v>44854</v>
      </c>
      <c r="C401" s="1" t="n">
        <v>45700</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47795-2022</t>
        </is>
      </c>
      <c r="B402" s="1" t="n">
        <v>44854</v>
      </c>
      <c r="C402" s="1" t="n">
        <v>45700</v>
      </c>
      <c r="D402" t="inlineStr">
        <is>
          <t>NORRBOTTENS LÄN</t>
        </is>
      </c>
      <c r="E402" t="inlineStr">
        <is>
          <t>GÄLLIVARE</t>
        </is>
      </c>
      <c r="F402" t="inlineStr">
        <is>
          <t>SCA</t>
        </is>
      </c>
      <c r="G402" t="n">
        <v>10.8</v>
      </c>
      <c r="H402" t="n">
        <v>0</v>
      </c>
      <c r="I402" t="n">
        <v>0</v>
      </c>
      <c r="J402" t="n">
        <v>0</v>
      </c>
      <c r="K402" t="n">
        <v>0</v>
      </c>
      <c r="L402" t="n">
        <v>0</v>
      </c>
      <c r="M402" t="n">
        <v>0</v>
      </c>
      <c r="N402" t="n">
        <v>0</v>
      </c>
      <c r="O402" t="n">
        <v>0</v>
      </c>
      <c r="P402" t="n">
        <v>0</v>
      </c>
      <c r="Q402" t="n">
        <v>0</v>
      </c>
      <c r="R402" s="2" t="inlineStr"/>
    </row>
    <row r="403" ht="15" customHeight="1">
      <c r="A403" t="inlineStr">
        <is>
          <t>A 47805-2022</t>
        </is>
      </c>
      <c r="B403" s="1" t="n">
        <v>44854</v>
      </c>
      <c r="C403" s="1" t="n">
        <v>45700</v>
      </c>
      <c r="D403" t="inlineStr">
        <is>
          <t>NORRBOTTENS LÄN</t>
        </is>
      </c>
      <c r="E403" t="inlineStr">
        <is>
          <t>GÄLLIVARE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47779-2022</t>
        </is>
      </c>
      <c r="B404" s="1" t="n">
        <v>44854</v>
      </c>
      <c r="C404" s="1" t="n">
        <v>45700</v>
      </c>
      <c r="D404" t="inlineStr">
        <is>
          <t>NORRBOTTENS LÄN</t>
        </is>
      </c>
      <c r="E404" t="inlineStr">
        <is>
          <t>GÄLLIVARE</t>
        </is>
      </c>
      <c r="G404" t="n">
        <v>0.6</v>
      </c>
      <c r="H404" t="n">
        <v>0</v>
      </c>
      <c r="I404" t="n">
        <v>0</v>
      </c>
      <c r="J404" t="n">
        <v>0</v>
      </c>
      <c r="K404" t="n">
        <v>0</v>
      </c>
      <c r="L404" t="n">
        <v>0</v>
      </c>
      <c r="M404" t="n">
        <v>0</v>
      </c>
      <c r="N404" t="n">
        <v>0</v>
      </c>
      <c r="O404" t="n">
        <v>0</v>
      </c>
      <c r="P404" t="n">
        <v>0</v>
      </c>
      <c r="Q404" t="n">
        <v>0</v>
      </c>
      <c r="R404" s="2" t="inlineStr"/>
    </row>
    <row r="405" ht="15" customHeight="1">
      <c r="A405" t="inlineStr">
        <is>
          <t>A 47808-2022</t>
        </is>
      </c>
      <c r="B405" s="1" t="n">
        <v>44854</v>
      </c>
      <c r="C405" s="1" t="n">
        <v>45700</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47796-2022</t>
        </is>
      </c>
      <c r="B406" s="1" t="n">
        <v>44854</v>
      </c>
      <c r="C406" s="1" t="n">
        <v>45700</v>
      </c>
      <c r="D406" t="inlineStr">
        <is>
          <t>NORRBOTTENS LÄN</t>
        </is>
      </c>
      <c r="E406" t="inlineStr">
        <is>
          <t>GÄLLIVARE</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47802-2022</t>
        </is>
      </c>
      <c r="B407" s="1" t="n">
        <v>44854</v>
      </c>
      <c r="C407" s="1" t="n">
        <v>45700</v>
      </c>
      <c r="D407" t="inlineStr">
        <is>
          <t>NORRBOTTENS LÄN</t>
        </is>
      </c>
      <c r="E407" t="inlineStr">
        <is>
          <t>GÄLLIVARE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49190-2022</t>
        </is>
      </c>
      <c r="B408" s="1" t="n">
        <v>44861</v>
      </c>
      <c r="C408" s="1" t="n">
        <v>45700</v>
      </c>
      <c r="D408" t="inlineStr">
        <is>
          <t>NORRBOTTENS LÄN</t>
        </is>
      </c>
      <c r="E408" t="inlineStr">
        <is>
          <t>GÄLLIVARE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49326-2022</t>
        </is>
      </c>
      <c r="B409" s="1" t="n">
        <v>44861</v>
      </c>
      <c r="C409" s="1" t="n">
        <v>45700</v>
      </c>
      <c r="D409" t="inlineStr">
        <is>
          <t>NORRBOTTENS LÄN</t>
        </is>
      </c>
      <c r="E409" t="inlineStr">
        <is>
          <t>GÄLLIVARE</t>
        </is>
      </c>
      <c r="F409" t="inlineStr">
        <is>
          <t>Sveaskog</t>
        </is>
      </c>
      <c r="G409" t="n">
        <v>23.3</v>
      </c>
      <c r="H409" t="n">
        <v>0</v>
      </c>
      <c r="I409" t="n">
        <v>0</v>
      </c>
      <c r="J409" t="n">
        <v>0</v>
      </c>
      <c r="K409" t="n">
        <v>0</v>
      </c>
      <c r="L409" t="n">
        <v>0</v>
      </c>
      <c r="M409" t="n">
        <v>0</v>
      </c>
      <c r="N409" t="n">
        <v>0</v>
      </c>
      <c r="O409" t="n">
        <v>0</v>
      </c>
      <c r="P409" t="n">
        <v>0</v>
      </c>
      <c r="Q409" t="n">
        <v>0</v>
      </c>
      <c r="R409" s="2" t="inlineStr"/>
    </row>
    <row r="410" ht="15" customHeight="1">
      <c r="A410" t="inlineStr">
        <is>
          <t>A 49869-2022</t>
        </is>
      </c>
      <c r="B410" s="1" t="n">
        <v>44862</v>
      </c>
      <c r="C410" s="1" t="n">
        <v>45700</v>
      </c>
      <c r="D410" t="inlineStr">
        <is>
          <t>NORRBOTTENS LÄN</t>
        </is>
      </c>
      <c r="E410" t="inlineStr">
        <is>
          <t>GÄLLIVARE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49862-2022</t>
        </is>
      </c>
      <c r="B411" s="1" t="n">
        <v>44862</v>
      </c>
      <c r="C411" s="1" t="n">
        <v>45700</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49870-2022</t>
        </is>
      </c>
      <c r="B412" s="1" t="n">
        <v>44862</v>
      </c>
      <c r="C412" s="1" t="n">
        <v>45700</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50729-2022</t>
        </is>
      </c>
      <c r="B413" s="1" t="n">
        <v>44862</v>
      </c>
      <c r="C413" s="1" t="n">
        <v>45700</v>
      </c>
      <c r="D413" t="inlineStr">
        <is>
          <t>NORRBOTTENS LÄN</t>
        </is>
      </c>
      <c r="E413" t="inlineStr">
        <is>
          <t>GÄLLIVARE</t>
        </is>
      </c>
      <c r="F413" t="inlineStr">
        <is>
          <t>SCA</t>
        </is>
      </c>
      <c r="G413" t="n">
        <v>19.8</v>
      </c>
      <c r="H413" t="n">
        <v>0</v>
      </c>
      <c r="I413" t="n">
        <v>0</v>
      </c>
      <c r="J413" t="n">
        <v>0</v>
      </c>
      <c r="K413" t="n">
        <v>0</v>
      </c>
      <c r="L413" t="n">
        <v>0</v>
      </c>
      <c r="M413" t="n">
        <v>0</v>
      </c>
      <c r="N413" t="n">
        <v>0</v>
      </c>
      <c r="O413" t="n">
        <v>0</v>
      </c>
      <c r="P413" t="n">
        <v>0</v>
      </c>
      <c r="Q413" t="n">
        <v>0</v>
      </c>
      <c r="R413" s="2" t="inlineStr"/>
    </row>
    <row r="414" ht="15" customHeight="1">
      <c r="A414" t="inlineStr">
        <is>
          <t>A 50513-2022</t>
        </is>
      </c>
      <c r="B414" s="1" t="n">
        <v>44866</v>
      </c>
      <c r="C414" s="1" t="n">
        <v>45700</v>
      </c>
      <c r="D414" t="inlineStr">
        <is>
          <t>NORRBOTTENS LÄN</t>
        </is>
      </c>
      <c r="E414" t="inlineStr">
        <is>
          <t>GÄLLIVARE</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53785-2022</t>
        </is>
      </c>
      <c r="B415" s="1" t="n">
        <v>44875</v>
      </c>
      <c r="C415" s="1" t="n">
        <v>45700</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54842-2022</t>
        </is>
      </c>
      <c r="B416" s="1" t="n">
        <v>44883</v>
      </c>
      <c r="C416" s="1" t="n">
        <v>45700</v>
      </c>
      <c r="D416" t="inlineStr">
        <is>
          <t>NORRBOTTENS LÄN</t>
        </is>
      </c>
      <c r="E416" t="inlineStr">
        <is>
          <t>GÄLLIVARE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45700</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55226-2022</t>
        </is>
      </c>
      <c r="B418" s="1" t="n">
        <v>44887</v>
      </c>
      <c r="C418" s="1" t="n">
        <v>45700</v>
      </c>
      <c r="D418" t="inlineStr">
        <is>
          <t>NORRBOTTENS LÄN</t>
        </is>
      </c>
      <c r="E418" t="inlineStr">
        <is>
          <t>GÄLLIVARE</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55223-2022</t>
        </is>
      </c>
      <c r="B419" s="1" t="n">
        <v>44886</v>
      </c>
      <c r="C419" s="1" t="n">
        <v>45700</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55239-2022</t>
        </is>
      </c>
      <c r="B420" s="1" t="n">
        <v>44886</v>
      </c>
      <c r="C420" s="1" t="n">
        <v>45700</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55222-2022</t>
        </is>
      </c>
      <c r="B421" s="1" t="n">
        <v>44887</v>
      </c>
      <c r="C421" s="1" t="n">
        <v>45700</v>
      </c>
      <c r="D421" t="inlineStr">
        <is>
          <t>NORRBOTTENS LÄN</t>
        </is>
      </c>
      <c r="E421" t="inlineStr">
        <is>
          <t>GÄLLIVARE</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55220-2022</t>
        </is>
      </c>
      <c r="B422" s="1" t="n">
        <v>44887</v>
      </c>
      <c r="C422" s="1" t="n">
        <v>45700</v>
      </c>
      <c r="D422" t="inlineStr">
        <is>
          <t>NORRBOTTENS LÄN</t>
        </is>
      </c>
      <c r="E422" t="inlineStr">
        <is>
          <t>GÄLLIVARE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55224-2022</t>
        </is>
      </c>
      <c r="B423" s="1" t="n">
        <v>44887</v>
      </c>
      <c r="C423" s="1" t="n">
        <v>45700</v>
      </c>
      <c r="D423" t="inlineStr">
        <is>
          <t>NORRBOTTENS LÄN</t>
        </is>
      </c>
      <c r="E423" t="inlineStr">
        <is>
          <t>GÄLLIVARE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58601-2022</t>
        </is>
      </c>
      <c r="B424" s="1" t="n">
        <v>44895</v>
      </c>
      <c r="C424" s="1" t="n">
        <v>45700</v>
      </c>
      <c r="D424" t="inlineStr">
        <is>
          <t>NORRBOTTENS LÄN</t>
        </is>
      </c>
      <c r="E424" t="inlineStr">
        <is>
          <t>GÄLLIVARE</t>
        </is>
      </c>
      <c r="G424" t="n">
        <v>19.4</v>
      </c>
      <c r="H424" t="n">
        <v>0</v>
      </c>
      <c r="I424" t="n">
        <v>0</v>
      </c>
      <c r="J424" t="n">
        <v>0</v>
      </c>
      <c r="K424" t="n">
        <v>0</v>
      </c>
      <c r="L424" t="n">
        <v>0</v>
      </c>
      <c r="M424" t="n">
        <v>0</v>
      </c>
      <c r="N424" t="n">
        <v>0</v>
      </c>
      <c r="O424" t="n">
        <v>0</v>
      </c>
      <c r="P424" t="n">
        <v>0</v>
      </c>
      <c r="Q424" t="n">
        <v>0</v>
      </c>
      <c r="R424" s="2" t="inlineStr"/>
    </row>
    <row r="425" ht="15" customHeight="1">
      <c r="A425" t="inlineStr">
        <is>
          <t>A 58776-2022</t>
        </is>
      </c>
      <c r="B425" s="1" t="n">
        <v>44895</v>
      </c>
      <c r="C425" s="1" t="n">
        <v>45700</v>
      </c>
      <c r="D425" t="inlineStr">
        <is>
          <t>NORRBOTTENS LÄN</t>
        </is>
      </c>
      <c r="E425" t="inlineStr">
        <is>
          <t>GÄLLIVARE</t>
        </is>
      </c>
      <c r="G425" t="n">
        <v>12.1</v>
      </c>
      <c r="H425" t="n">
        <v>0</v>
      </c>
      <c r="I425" t="n">
        <v>0</v>
      </c>
      <c r="J425" t="n">
        <v>0</v>
      </c>
      <c r="K425" t="n">
        <v>0</v>
      </c>
      <c r="L425" t="n">
        <v>0</v>
      </c>
      <c r="M425" t="n">
        <v>0</v>
      </c>
      <c r="N425" t="n">
        <v>0</v>
      </c>
      <c r="O425" t="n">
        <v>0</v>
      </c>
      <c r="P425" t="n">
        <v>0</v>
      </c>
      <c r="Q425" t="n">
        <v>0</v>
      </c>
      <c r="R425" s="2" t="inlineStr"/>
    </row>
    <row r="426" ht="15" customHeight="1">
      <c r="A426" t="inlineStr">
        <is>
          <t>A 57442-2022</t>
        </is>
      </c>
      <c r="B426" s="1" t="n">
        <v>44896</v>
      </c>
      <c r="C426" s="1" t="n">
        <v>45700</v>
      </c>
      <c r="D426" t="inlineStr">
        <is>
          <t>NORRBOTTENS LÄN</t>
        </is>
      </c>
      <c r="E426" t="inlineStr">
        <is>
          <t>GÄLLIVARE</t>
        </is>
      </c>
      <c r="G426" t="n">
        <v>1.7</v>
      </c>
      <c r="H426" t="n">
        <v>0</v>
      </c>
      <c r="I426" t="n">
        <v>0</v>
      </c>
      <c r="J426" t="n">
        <v>0</v>
      </c>
      <c r="K426" t="n">
        <v>0</v>
      </c>
      <c r="L426" t="n">
        <v>0</v>
      </c>
      <c r="M426" t="n">
        <v>0</v>
      </c>
      <c r="N426" t="n">
        <v>0</v>
      </c>
      <c r="O426" t="n">
        <v>0</v>
      </c>
      <c r="P426" t="n">
        <v>0</v>
      </c>
      <c r="Q426" t="n">
        <v>0</v>
      </c>
      <c r="R426" s="2" t="inlineStr"/>
    </row>
    <row r="427" ht="15" customHeight="1">
      <c r="A427" t="inlineStr">
        <is>
          <t>A 57833-2022</t>
        </is>
      </c>
      <c r="B427" s="1" t="n">
        <v>44897</v>
      </c>
      <c r="C427" s="1" t="n">
        <v>45700</v>
      </c>
      <c r="D427" t="inlineStr">
        <is>
          <t>NORRBOTTENS LÄN</t>
        </is>
      </c>
      <c r="E427" t="inlineStr">
        <is>
          <t>GÄLLIVARE</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58139-2022</t>
        </is>
      </c>
      <c r="B428" s="1" t="n">
        <v>44900</v>
      </c>
      <c r="C428" s="1" t="n">
        <v>45700</v>
      </c>
      <c r="D428" t="inlineStr">
        <is>
          <t>NORRBOTTENS LÄN</t>
        </is>
      </c>
      <c r="E428" t="inlineStr">
        <is>
          <t>GÄLLIVARE</t>
        </is>
      </c>
      <c r="G428" t="n">
        <v>7.6</v>
      </c>
      <c r="H428" t="n">
        <v>0</v>
      </c>
      <c r="I428" t="n">
        <v>0</v>
      </c>
      <c r="J428" t="n">
        <v>0</v>
      </c>
      <c r="K428" t="n">
        <v>0</v>
      </c>
      <c r="L428" t="n">
        <v>0</v>
      </c>
      <c r="M428" t="n">
        <v>0</v>
      </c>
      <c r="N428" t="n">
        <v>0</v>
      </c>
      <c r="O428" t="n">
        <v>0</v>
      </c>
      <c r="P428" t="n">
        <v>0</v>
      </c>
      <c r="Q428" t="n">
        <v>0</v>
      </c>
      <c r="R428" s="2" t="inlineStr"/>
    </row>
    <row r="429" ht="15" customHeight="1">
      <c r="A429" t="inlineStr">
        <is>
          <t>A 59059-2022</t>
        </is>
      </c>
      <c r="B429" s="1" t="n">
        <v>44904</v>
      </c>
      <c r="C429" s="1" t="n">
        <v>45700</v>
      </c>
      <c r="D429" t="inlineStr">
        <is>
          <t>NORRBOTTENS LÄN</t>
        </is>
      </c>
      <c r="E429" t="inlineStr">
        <is>
          <t>GÄLLIVARE</t>
        </is>
      </c>
      <c r="G429" t="n">
        <v>6.7</v>
      </c>
      <c r="H429" t="n">
        <v>0</v>
      </c>
      <c r="I429" t="n">
        <v>0</v>
      </c>
      <c r="J429" t="n">
        <v>0</v>
      </c>
      <c r="K429" t="n">
        <v>0</v>
      </c>
      <c r="L429" t="n">
        <v>0</v>
      </c>
      <c r="M429" t="n">
        <v>0</v>
      </c>
      <c r="N429" t="n">
        <v>0</v>
      </c>
      <c r="O429" t="n">
        <v>0</v>
      </c>
      <c r="P429" t="n">
        <v>0</v>
      </c>
      <c r="Q429" t="n">
        <v>0</v>
      </c>
      <c r="R429" s="2" t="inlineStr"/>
    </row>
    <row r="430" ht="15" customHeight="1">
      <c r="A430" t="inlineStr">
        <is>
          <t>A 59068-2022</t>
        </is>
      </c>
      <c r="B430" s="1" t="n">
        <v>44904</v>
      </c>
      <c r="C430" s="1" t="n">
        <v>45700</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59172-2022</t>
        </is>
      </c>
      <c r="B431" s="1" t="n">
        <v>44904</v>
      </c>
      <c r="C431" s="1" t="n">
        <v>45700</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59189-2022</t>
        </is>
      </c>
      <c r="B432" s="1" t="n">
        <v>44904</v>
      </c>
      <c r="C432" s="1" t="n">
        <v>45700</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59177-2022</t>
        </is>
      </c>
      <c r="B433" s="1" t="n">
        <v>44904</v>
      </c>
      <c r="C433" s="1" t="n">
        <v>45700</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59194-2022</t>
        </is>
      </c>
      <c r="B434" s="1" t="n">
        <v>44904</v>
      </c>
      <c r="C434" s="1" t="n">
        <v>45700</v>
      </c>
      <c r="D434" t="inlineStr">
        <is>
          <t>NORRBOTTENS LÄN</t>
        </is>
      </c>
      <c r="E434" t="inlineStr">
        <is>
          <t>GÄLLIVARE</t>
        </is>
      </c>
      <c r="G434" t="n">
        <v>3.4</v>
      </c>
      <c r="H434" t="n">
        <v>0</v>
      </c>
      <c r="I434" t="n">
        <v>0</v>
      </c>
      <c r="J434" t="n">
        <v>0</v>
      </c>
      <c r="K434" t="n">
        <v>0</v>
      </c>
      <c r="L434" t="n">
        <v>0</v>
      </c>
      <c r="M434" t="n">
        <v>0</v>
      </c>
      <c r="N434" t="n">
        <v>0</v>
      </c>
      <c r="O434" t="n">
        <v>0</v>
      </c>
      <c r="P434" t="n">
        <v>0</v>
      </c>
      <c r="Q434" t="n">
        <v>0</v>
      </c>
      <c r="R434" s="2" t="inlineStr"/>
    </row>
    <row r="435" ht="15" customHeight="1">
      <c r="A435" t="inlineStr">
        <is>
          <t>A 61679-2022</t>
        </is>
      </c>
      <c r="B435" s="1" t="n">
        <v>44909</v>
      </c>
      <c r="C435" s="1" t="n">
        <v>45700</v>
      </c>
      <c r="D435" t="inlineStr">
        <is>
          <t>NORRBOTTENS LÄN</t>
        </is>
      </c>
      <c r="E435" t="inlineStr">
        <is>
          <t>GÄLLIVARE</t>
        </is>
      </c>
      <c r="G435" t="n">
        <v>5.7</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45700</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61644-2022</t>
        </is>
      </c>
      <c r="B437" s="1" t="n">
        <v>44916</v>
      </c>
      <c r="C437" s="1" t="n">
        <v>45700</v>
      </c>
      <c r="D437" t="inlineStr">
        <is>
          <t>NORRBOTTENS LÄN</t>
        </is>
      </c>
      <c r="E437" t="inlineStr">
        <is>
          <t>GÄLLIVARE</t>
        </is>
      </c>
      <c r="G437" t="n">
        <v>0.3</v>
      </c>
      <c r="H437" t="n">
        <v>0</v>
      </c>
      <c r="I437" t="n">
        <v>0</v>
      </c>
      <c r="J437" t="n">
        <v>0</v>
      </c>
      <c r="K437" t="n">
        <v>0</v>
      </c>
      <c r="L437" t="n">
        <v>0</v>
      </c>
      <c r="M437" t="n">
        <v>0</v>
      </c>
      <c r="N437" t="n">
        <v>0</v>
      </c>
      <c r="O437" t="n">
        <v>0</v>
      </c>
      <c r="P437" t="n">
        <v>0</v>
      </c>
      <c r="Q437" t="n">
        <v>0</v>
      </c>
      <c r="R437" s="2" t="inlineStr"/>
    </row>
    <row r="438" ht="15" customHeight="1">
      <c r="A438" t="inlineStr">
        <is>
          <t>A 62496-2022</t>
        </is>
      </c>
      <c r="B438" s="1" t="n">
        <v>44916</v>
      </c>
      <c r="C438" s="1" t="n">
        <v>45700</v>
      </c>
      <c r="D438" t="inlineStr">
        <is>
          <t>NORRBOTTENS LÄN</t>
        </is>
      </c>
      <c r="E438" t="inlineStr">
        <is>
          <t>GÄLLIVARE</t>
        </is>
      </c>
      <c r="G438" t="n">
        <v>23.4</v>
      </c>
      <c r="H438" t="n">
        <v>0</v>
      </c>
      <c r="I438" t="n">
        <v>0</v>
      </c>
      <c r="J438" t="n">
        <v>0</v>
      </c>
      <c r="K438" t="n">
        <v>0</v>
      </c>
      <c r="L438" t="n">
        <v>0</v>
      </c>
      <c r="M438" t="n">
        <v>0</v>
      </c>
      <c r="N438" t="n">
        <v>0</v>
      </c>
      <c r="O438" t="n">
        <v>0</v>
      </c>
      <c r="P438" t="n">
        <v>0</v>
      </c>
      <c r="Q438" t="n">
        <v>0</v>
      </c>
      <c r="R438" s="2" t="inlineStr"/>
    </row>
    <row r="439" ht="15" customHeight="1">
      <c r="A439" t="inlineStr">
        <is>
          <t>A 62160-2022</t>
        </is>
      </c>
      <c r="B439" s="1" t="n">
        <v>44922</v>
      </c>
      <c r="C439" s="1" t="n">
        <v>45700</v>
      </c>
      <c r="D439" t="inlineStr">
        <is>
          <t>NORRBOTTENS LÄN</t>
        </is>
      </c>
      <c r="E439" t="inlineStr">
        <is>
          <t>GÄLLIVARE</t>
        </is>
      </c>
      <c r="G439" t="n">
        <v>19.6</v>
      </c>
      <c r="H439" t="n">
        <v>0</v>
      </c>
      <c r="I439" t="n">
        <v>0</v>
      </c>
      <c r="J439" t="n">
        <v>0</v>
      </c>
      <c r="K439" t="n">
        <v>0</v>
      </c>
      <c r="L439" t="n">
        <v>0</v>
      </c>
      <c r="M439" t="n">
        <v>0</v>
      </c>
      <c r="N439" t="n">
        <v>0</v>
      </c>
      <c r="O439" t="n">
        <v>0</v>
      </c>
      <c r="P439" t="n">
        <v>0</v>
      </c>
      <c r="Q439" t="n">
        <v>0</v>
      </c>
      <c r="R439" s="2" t="inlineStr"/>
    </row>
    <row r="440" ht="15" customHeight="1">
      <c r="A440" t="inlineStr">
        <is>
          <t>A 62258-2022</t>
        </is>
      </c>
      <c r="B440" s="1" t="n">
        <v>44922</v>
      </c>
      <c r="C440" s="1" t="n">
        <v>45700</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404-2023</t>
        </is>
      </c>
      <c r="B441" s="1" t="n">
        <v>44923</v>
      </c>
      <c r="C441" s="1" t="n">
        <v>45700</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62580-2022</t>
        </is>
      </c>
      <c r="B442" s="1" t="n">
        <v>44924</v>
      </c>
      <c r="C442" s="1" t="n">
        <v>45700</v>
      </c>
      <c r="D442" t="inlineStr">
        <is>
          <t>NORRBOTTENS LÄN</t>
        </is>
      </c>
      <c r="E442" t="inlineStr">
        <is>
          <t>GÄLLIVARE</t>
        </is>
      </c>
      <c r="F442" t="inlineStr">
        <is>
          <t>SCA</t>
        </is>
      </c>
      <c r="G442" t="n">
        <v>9.9</v>
      </c>
      <c r="H442" t="n">
        <v>0</v>
      </c>
      <c r="I442" t="n">
        <v>0</v>
      </c>
      <c r="J442" t="n">
        <v>0</v>
      </c>
      <c r="K442" t="n">
        <v>0</v>
      </c>
      <c r="L442" t="n">
        <v>0</v>
      </c>
      <c r="M442" t="n">
        <v>0</v>
      </c>
      <c r="N442" t="n">
        <v>0</v>
      </c>
      <c r="O442" t="n">
        <v>0</v>
      </c>
      <c r="P442" t="n">
        <v>0</v>
      </c>
      <c r="Q442" t="n">
        <v>0</v>
      </c>
      <c r="R442" s="2" t="inlineStr"/>
    </row>
    <row r="443" ht="15" customHeight="1">
      <c r="A443" t="inlineStr">
        <is>
          <t>A 1312-2023</t>
        </is>
      </c>
      <c r="B443" s="1" t="n">
        <v>44931</v>
      </c>
      <c r="C443" s="1" t="n">
        <v>45700</v>
      </c>
      <c r="D443" t="inlineStr">
        <is>
          <t>NORRBOTTENS LÄN</t>
        </is>
      </c>
      <c r="E443" t="inlineStr">
        <is>
          <t>GÄLLIVARE</t>
        </is>
      </c>
      <c r="G443" t="n">
        <v>3.3</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45700</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45700</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v>
      </c>
      <c r="C446" s="1" t="n">
        <v>45700</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2276-2023</t>
        </is>
      </c>
      <c r="B447" s="1" t="n">
        <v>44942</v>
      </c>
      <c r="C447" s="1" t="n">
        <v>45700</v>
      </c>
      <c r="D447" t="inlineStr">
        <is>
          <t>NORRBOTTENS LÄN</t>
        </is>
      </c>
      <c r="E447" t="inlineStr">
        <is>
          <t>GÄLLIVARE</t>
        </is>
      </c>
      <c r="G447" t="n">
        <v>2.8</v>
      </c>
      <c r="H447" t="n">
        <v>0</v>
      </c>
      <c r="I447" t="n">
        <v>0</v>
      </c>
      <c r="J447" t="n">
        <v>0</v>
      </c>
      <c r="K447" t="n">
        <v>0</v>
      </c>
      <c r="L447" t="n">
        <v>0</v>
      </c>
      <c r="M447" t="n">
        <v>0</v>
      </c>
      <c r="N447" t="n">
        <v>0</v>
      </c>
      <c r="O447" t="n">
        <v>0</v>
      </c>
      <c r="P447" t="n">
        <v>0</v>
      </c>
      <c r="Q447" t="n">
        <v>0</v>
      </c>
      <c r="R447" s="2" t="inlineStr"/>
    </row>
    <row r="448" ht="15" customHeight="1">
      <c r="A448" t="inlineStr">
        <is>
          <t>A 2621-2023</t>
        </is>
      </c>
      <c r="B448" s="1" t="n">
        <v>44942</v>
      </c>
      <c r="C448" s="1" t="n">
        <v>45700</v>
      </c>
      <c r="D448" t="inlineStr">
        <is>
          <t>NORRBOTTENS LÄN</t>
        </is>
      </c>
      <c r="E448" t="inlineStr">
        <is>
          <t>GÄLLIVARE</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45700</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45700</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4756-2023</t>
        </is>
      </c>
      <c r="B451" s="1" t="n">
        <v>44953</v>
      </c>
      <c r="C451" s="1" t="n">
        <v>45700</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4773-2023</t>
        </is>
      </c>
      <c r="B452" s="1" t="n">
        <v>44953</v>
      </c>
      <c r="C452" s="1" t="n">
        <v>45700</v>
      </c>
      <c r="D452" t="inlineStr">
        <is>
          <t>NORRBOTTENS LÄN</t>
        </is>
      </c>
      <c r="E452" t="inlineStr">
        <is>
          <t>GÄLLIVARE</t>
        </is>
      </c>
      <c r="G452" t="n">
        <v>8.6</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45700</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5454-2023</t>
        </is>
      </c>
      <c r="B454" s="1" t="n">
        <v>44959</v>
      </c>
      <c r="C454" s="1" t="n">
        <v>45700</v>
      </c>
      <c r="D454" t="inlineStr">
        <is>
          <t>NORRBOTTENS LÄN</t>
        </is>
      </c>
      <c r="E454" t="inlineStr">
        <is>
          <t>GÄLLIVARE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5456-2023</t>
        </is>
      </c>
      <c r="B455" s="1" t="n">
        <v>44959</v>
      </c>
      <c r="C455" s="1" t="n">
        <v>45700</v>
      </c>
      <c r="D455" t="inlineStr">
        <is>
          <t>NORRBOTTENS LÄN</t>
        </is>
      </c>
      <c r="E455" t="inlineStr">
        <is>
          <t>GÄLLIVARE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5695-2023</t>
        </is>
      </c>
      <c r="B456" s="1" t="n">
        <v>44960</v>
      </c>
      <c r="C456" s="1" t="n">
        <v>45700</v>
      </c>
      <c r="D456" t="inlineStr">
        <is>
          <t>NORRBOTTENS LÄN</t>
        </is>
      </c>
      <c r="E456" t="inlineStr">
        <is>
          <t>GÄLLIVARE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5704-2023</t>
        </is>
      </c>
      <c r="B457" s="1" t="n">
        <v>44960</v>
      </c>
      <c r="C457" s="1" t="n">
        <v>45700</v>
      </c>
      <c r="D457" t="inlineStr">
        <is>
          <t>NORRBOTTENS LÄN</t>
        </is>
      </c>
      <c r="E457" t="inlineStr">
        <is>
          <t>GÄLLIVARE</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5708-2023</t>
        </is>
      </c>
      <c r="B458" s="1" t="n">
        <v>44960</v>
      </c>
      <c r="C458" s="1" t="n">
        <v>45700</v>
      </c>
      <c r="D458" t="inlineStr">
        <is>
          <t>NORRBOTTENS LÄN</t>
        </is>
      </c>
      <c r="E458" t="inlineStr">
        <is>
          <t>GÄLLIVARE</t>
        </is>
      </c>
      <c r="F458" t="inlineStr">
        <is>
          <t>SCA</t>
        </is>
      </c>
      <c r="G458" t="n">
        <v>15.3</v>
      </c>
      <c r="H458" t="n">
        <v>0</v>
      </c>
      <c r="I458" t="n">
        <v>0</v>
      </c>
      <c r="J458" t="n">
        <v>0</v>
      </c>
      <c r="K458" t="n">
        <v>0</v>
      </c>
      <c r="L458" t="n">
        <v>0</v>
      </c>
      <c r="M458" t="n">
        <v>0</v>
      </c>
      <c r="N458" t="n">
        <v>0</v>
      </c>
      <c r="O458" t="n">
        <v>0</v>
      </c>
      <c r="P458" t="n">
        <v>0</v>
      </c>
      <c r="Q458" t="n">
        <v>0</v>
      </c>
      <c r="R458" s="2" t="inlineStr"/>
    </row>
    <row r="459" ht="15" customHeight="1">
      <c r="A459" t="inlineStr">
        <is>
          <t>A 5709-2023</t>
        </is>
      </c>
      <c r="B459" s="1" t="n">
        <v>44960</v>
      </c>
      <c r="C459" s="1" t="n">
        <v>45700</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6459-2023</t>
        </is>
      </c>
      <c r="B460" s="1" t="n">
        <v>44965</v>
      </c>
      <c r="C460" s="1" t="n">
        <v>45700</v>
      </c>
      <c r="D460" t="inlineStr">
        <is>
          <t>NORRBOTTENS LÄN</t>
        </is>
      </c>
      <c r="E460" t="inlineStr">
        <is>
          <t>GÄLLIVARE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6783-2023</t>
        </is>
      </c>
      <c r="B461" s="1" t="n">
        <v>44966</v>
      </c>
      <c r="C461" s="1" t="n">
        <v>45700</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6781-2023</t>
        </is>
      </c>
      <c r="B462" s="1" t="n">
        <v>44966</v>
      </c>
      <c r="C462" s="1" t="n">
        <v>45700</v>
      </c>
      <c r="D462" t="inlineStr">
        <is>
          <t>NORRBOTTENS LÄN</t>
        </is>
      </c>
      <c r="E462" t="inlineStr">
        <is>
          <t>GÄLLIVARE</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10149-2023</t>
        </is>
      </c>
      <c r="B463" s="1" t="n">
        <v>44980</v>
      </c>
      <c r="C463" s="1" t="n">
        <v>45700</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10183-2023</t>
        </is>
      </c>
      <c r="B464" s="1" t="n">
        <v>44980</v>
      </c>
      <c r="C464" s="1" t="n">
        <v>45700</v>
      </c>
      <c r="D464" t="inlineStr">
        <is>
          <t>NORRBOTTENS LÄN</t>
        </is>
      </c>
      <c r="E464" t="inlineStr">
        <is>
          <t>GÄLLIVARE</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10153-2023</t>
        </is>
      </c>
      <c r="B465" s="1" t="n">
        <v>44980</v>
      </c>
      <c r="C465" s="1" t="n">
        <v>45700</v>
      </c>
      <c r="D465" t="inlineStr">
        <is>
          <t>NORRBOTTENS LÄN</t>
        </is>
      </c>
      <c r="E465" t="inlineStr">
        <is>
          <t>GÄLLIVARE</t>
        </is>
      </c>
      <c r="F465" t="inlineStr">
        <is>
          <t>Allmännings- och besparingsskogar</t>
        </is>
      </c>
      <c r="G465" t="n">
        <v>35.1</v>
      </c>
      <c r="H465" t="n">
        <v>0</v>
      </c>
      <c r="I465" t="n">
        <v>0</v>
      </c>
      <c r="J465" t="n">
        <v>0</v>
      </c>
      <c r="K465" t="n">
        <v>0</v>
      </c>
      <c r="L465" t="n">
        <v>0</v>
      </c>
      <c r="M465" t="n">
        <v>0</v>
      </c>
      <c r="N465" t="n">
        <v>0</v>
      </c>
      <c r="O465" t="n">
        <v>0</v>
      </c>
      <c r="P465" t="n">
        <v>0</v>
      </c>
      <c r="Q465" t="n">
        <v>0</v>
      </c>
      <c r="R465" s="2" t="inlineStr"/>
    </row>
    <row r="466" ht="15" customHeight="1">
      <c r="A466" t="inlineStr">
        <is>
          <t>A 10139-2023</t>
        </is>
      </c>
      <c r="B466" s="1" t="n">
        <v>44980</v>
      </c>
      <c r="C466" s="1" t="n">
        <v>45700</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10166-2023</t>
        </is>
      </c>
      <c r="B467" s="1" t="n">
        <v>44980</v>
      </c>
      <c r="C467" s="1" t="n">
        <v>45700</v>
      </c>
      <c r="D467" t="inlineStr">
        <is>
          <t>NORRBOTTENS LÄN</t>
        </is>
      </c>
      <c r="E467" t="inlineStr">
        <is>
          <t>GÄLLIVARE</t>
        </is>
      </c>
      <c r="F467" t="inlineStr">
        <is>
          <t>Allmännings- och besparingsskogar</t>
        </is>
      </c>
      <c r="G467" t="n">
        <v>18.6</v>
      </c>
      <c r="H467" t="n">
        <v>0</v>
      </c>
      <c r="I467" t="n">
        <v>0</v>
      </c>
      <c r="J467" t="n">
        <v>0</v>
      </c>
      <c r="K467" t="n">
        <v>0</v>
      </c>
      <c r="L467" t="n">
        <v>0</v>
      </c>
      <c r="M467" t="n">
        <v>0</v>
      </c>
      <c r="N467" t="n">
        <v>0</v>
      </c>
      <c r="O467" t="n">
        <v>0</v>
      </c>
      <c r="P467" t="n">
        <v>0</v>
      </c>
      <c r="Q467" t="n">
        <v>0</v>
      </c>
      <c r="R467" s="2" t="inlineStr"/>
    </row>
    <row r="468" ht="15" customHeight="1">
      <c r="A468" t="inlineStr">
        <is>
          <t>A 10187-2023</t>
        </is>
      </c>
      <c r="B468" s="1" t="n">
        <v>44980</v>
      </c>
      <c r="C468" s="1" t="n">
        <v>45700</v>
      </c>
      <c r="D468" t="inlineStr">
        <is>
          <t>NORRBOTTENS LÄN</t>
        </is>
      </c>
      <c r="E468" t="inlineStr">
        <is>
          <t>GÄLLIVARE</t>
        </is>
      </c>
      <c r="F468" t="inlineStr">
        <is>
          <t>Allmännings- och besparingsskogar</t>
        </is>
      </c>
      <c r="G468" t="n">
        <v>33.5</v>
      </c>
      <c r="H468" t="n">
        <v>0</v>
      </c>
      <c r="I468" t="n">
        <v>0</v>
      </c>
      <c r="J468" t="n">
        <v>0</v>
      </c>
      <c r="K468" t="n">
        <v>0</v>
      </c>
      <c r="L468" t="n">
        <v>0</v>
      </c>
      <c r="M468" t="n">
        <v>0</v>
      </c>
      <c r="N468" t="n">
        <v>0</v>
      </c>
      <c r="O468" t="n">
        <v>0</v>
      </c>
      <c r="P468" t="n">
        <v>0</v>
      </c>
      <c r="Q468" t="n">
        <v>0</v>
      </c>
      <c r="R468" s="2" t="inlineStr"/>
    </row>
    <row r="469" ht="15" customHeight="1">
      <c r="A469" t="inlineStr">
        <is>
          <t>A 9556-2023</t>
        </is>
      </c>
      <c r="B469" s="1" t="n">
        <v>44981</v>
      </c>
      <c r="C469" s="1" t="n">
        <v>45700</v>
      </c>
      <c r="D469" t="inlineStr">
        <is>
          <t>NORRBOTTENS LÄN</t>
        </is>
      </c>
      <c r="E469" t="inlineStr">
        <is>
          <t>GÄLLIVARE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45700</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11290-2023</t>
        </is>
      </c>
      <c r="B471" s="1" t="n">
        <v>44992</v>
      </c>
      <c r="C471" s="1" t="n">
        <v>45700</v>
      </c>
      <c r="D471" t="inlineStr">
        <is>
          <t>NORRBOTTENS LÄN</t>
        </is>
      </c>
      <c r="E471" t="inlineStr">
        <is>
          <t>GÄLLIVARE</t>
        </is>
      </c>
      <c r="G471" t="n">
        <v>2</v>
      </c>
      <c r="H471" t="n">
        <v>0</v>
      </c>
      <c r="I471" t="n">
        <v>0</v>
      </c>
      <c r="J471" t="n">
        <v>0</v>
      </c>
      <c r="K471" t="n">
        <v>0</v>
      </c>
      <c r="L471" t="n">
        <v>0</v>
      </c>
      <c r="M471" t="n">
        <v>0</v>
      </c>
      <c r="N471" t="n">
        <v>0</v>
      </c>
      <c r="O471" t="n">
        <v>0</v>
      </c>
      <c r="P471" t="n">
        <v>0</v>
      </c>
      <c r="Q471" t="n">
        <v>0</v>
      </c>
      <c r="R471" s="2" t="inlineStr"/>
    </row>
    <row r="472" ht="15" customHeight="1">
      <c r="A472" t="inlineStr">
        <is>
          <t>A 13250-2023</t>
        </is>
      </c>
      <c r="B472" s="1" t="n">
        <v>45002</v>
      </c>
      <c r="C472" s="1" t="n">
        <v>45700</v>
      </c>
      <c r="D472" t="inlineStr">
        <is>
          <t>NORRBOTTENS LÄN</t>
        </is>
      </c>
      <c r="E472" t="inlineStr">
        <is>
          <t>GÄLLIVARE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13251-2023</t>
        </is>
      </c>
      <c r="B473" s="1" t="n">
        <v>45002</v>
      </c>
      <c r="C473" s="1" t="n">
        <v>45700</v>
      </c>
      <c r="D473" t="inlineStr">
        <is>
          <t>NORRBOTTENS LÄN</t>
        </is>
      </c>
      <c r="E473" t="inlineStr">
        <is>
          <t>GÄLLIVARE</t>
        </is>
      </c>
      <c r="F473" t="inlineStr">
        <is>
          <t>SCA</t>
        </is>
      </c>
      <c r="G473" t="n">
        <v>23.6</v>
      </c>
      <c r="H473" t="n">
        <v>0</v>
      </c>
      <c r="I473" t="n">
        <v>0</v>
      </c>
      <c r="J473" t="n">
        <v>0</v>
      </c>
      <c r="K473" t="n">
        <v>0</v>
      </c>
      <c r="L473" t="n">
        <v>0</v>
      </c>
      <c r="M473" t="n">
        <v>0</v>
      </c>
      <c r="N473" t="n">
        <v>0</v>
      </c>
      <c r="O473" t="n">
        <v>0</v>
      </c>
      <c r="P473" t="n">
        <v>0</v>
      </c>
      <c r="Q473" t="n">
        <v>0</v>
      </c>
      <c r="R473" s="2" t="inlineStr"/>
    </row>
    <row r="474" ht="15" customHeight="1">
      <c r="A474" t="inlineStr">
        <is>
          <t>A 15072-2023</t>
        </is>
      </c>
      <c r="B474" s="1" t="n">
        <v>45015</v>
      </c>
      <c r="C474" s="1" t="n">
        <v>45700</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45700</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16754-2023</t>
        </is>
      </c>
      <c r="B476" s="1" t="n">
        <v>45030</v>
      </c>
      <c r="C476" s="1" t="n">
        <v>45700</v>
      </c>
      <c r="D476" t="inlineStr">
        <is>
          <t>NORRBOTTENS LÄN</t>
        </is>
      </c>
      <c r="E476" t="inlineStr">
        <is>
          <t>GÄLLIVARE</t>
        </is>
      </c>
      <c r="G476" t="n">
        <v>9.1</v>
      </c>
      <c r="H476" t="n">
        <v>0</v>
      </c>
      <c r="I476" t="n">
        <v>0</v>
      </c>
      <c r="J476" t="n">
        <v>0</v>
      </c>
      <c r="K476" t="n">
        <v>0</v>
      </c>
      <c r="L476" t="n">
        <v>0</v>
      </c>
      <c r="M476" t="n">
        <v>0</v>
      </c>
      <c r="N476" t="n">
        <v>0</v>
      </c>
      <c r="O476" t="n">
        <v>0</v>
      </c>
      <c r="P476" t="n">
        <v>0</v>
      </c>
      <c r="Q476" t="n">
        <v>0</v>
      </c>
      <c r="R476" s="2" t="inlineStr"/>
    </row>
    <row r="477" ht="15" customHeight="1">
      <c r="A477" t="inlineStr">
        <is>
          <t>A 16973-2023</t>
        </is>
      </c>
      <c r="B477" s="1" t="n">
        <v>45033</v>
      </c>
      <c r="C477" s="1" t="n">
        <v>45700</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16952-2023</t>
        </is>
      </c>
      <c r="B478" s="1" t="n">
        <v>45033</v>
      </c>
      <c r="C478" s="1" t="n">
        <v>45700</v>
      </c>
      <c r="D478" t="inlineStr">
        <is>
          <t>NORRBOTTENS LÄN</t>
        </is>
      </c>
      <c r="E478" t="inlineStr">
        <is>
          <t>GÄLLIVARE</t>
        </is>
      </c>
      <c r="G478" t="n">
        <v>0.5</v>
      </c>
      <c r="H478" t="n">
        <v>0</v>
      </c>
      <c r="I478" t="n">
        <v>0</v>
      </c>
      <c r="J478" t="n">
        <v>0</v>
      </c>
      <c r="K478" t="n">
        <v>0</v>
      </c>
      <c r="L478" t="n">
        <v>0</v>
      </c>
      <c r="M478" t="n">
        <v>0</v>
      </c>
      <c r="N478" t="n">
        <v>0</v>
      </c>
      <c r="O478" t="n">
        <v>0</v>
      </c>
      <c r="P478" t="n">
        <v>0</v>
      </c>
      <c r="Q478" t="n">
        <v>0</v>
      </c>
      <c r="R478" s="2" t="inlineStr"/>
    </row>
    <row r="479" ht="15" customHeight="1">
      <c r="A479" t="inlineStr">
        <is>
          <t>A 19619-2023</t>
        </is>
      </c>
      <c r="B479" s="1" t="n">
        <v>45050</v>
      </c>
      <c r="C479" s="1" t="n">
        <v>45700</v>
      </c>
      <c r="D479" t="inlineStr">
        <is>
          <t>NORRBOTTENS LÄN</t>
        </is>
      </c>
      <c r="E479" t="inlineStr">
        <is>
          <t>GÄLLIVARE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20126-2023</t>
        </is>
      </c>
      <c r="B480" s="1" t="n">
        <v>45051</v>
      </c>
      <c r="C480" s="1" t="n">
        <v>45700</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21159-2023</t>
        </is>
      </c>
      <c r="B481" s="1" t="n">
        <v>45062</v>
      </c>
      <c r="C481" s="1" t="n">
        <v>45700</v>
      </c>
      <c r="D481" t="inlineStr">
        <is>
          <t>NORRBOTTENS LÄN</t>
        </is>
      </c>
      <c r="E481" t="inlineStr">
        <is>
          <t>GÄLLIVARE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21556-2023</t>
        </is>
      </c>
      <c r="B482" s="1" t="n">
        <v>45063</v>
      </c>
      <c r="C482" s="1" t="n">
        <v>45700</v>
      </c>
      <c r="D482" t="inlineStr">
        <is>
          <t>NORRBOTTENS LÄN</t>
        </is>
      </c>
      <c r="E482" t="inlineStr">
        <is>
          <t>GÄLLIVARE</t>
        </is>
      </c>
      <c r="G482" t="n">
        <v>6.8</v>
      </c>
      <c r="H482" t="n">
        <v>0</v>
      </c>
      <c r="I482" t="n">
        <v>0</v>
      </c>
      <c r="J482" t="n">
        <v>0</v>
      </c>
      <c r="K482" t="n">
        <v>0</v>
      </c>
      <c r="L482" t="n">
        <v>0</v>
      </c>
      <c r="M482" t="n">
        <v>0</v>
      </c>
      <c r="N482" t="n">
        <v>0</v>
      </c>
      <c r="O482" t="n">
        <v>0</v>
      </c>
      <c r="P482" t="n">
        <v>0</v>
      </c>
      <c r="Q482" t="n">
        <v>0</v>
      </c>
      <c r="R482" s="2" t="inlineStr"/>
    </row>
    <row r="483" ht="15" customHeight="1">
      <c r="A483" t="inlineStr">
        <is>
          <t>A 21785-2023</t>
        </is>
      </c>
      <c r="B483" s="1" t="n">
        <v>45065</v>
      </c>
      <c r="C483" s="1" t="n">
        <v>45700</v>
      </c>
      <c r="D483" t="inlineStr">
        <is>
          <t>NORRBOTTENS LÄN</t>
        </is>
      </c>
      <c r="E483" t="inlineStr">
        <is>
          <t>GÄLLIVARE</t>
        </is>
      </c>
      <c r="G483" t="n">
        <v>22.4</v>
      </c>
      <c r="H483" t="n">
        <v>0</v>
      </c>
      <c r="I483" t="n">
        <v>0</v>
      </c>
      <c r="J483" t="n">
        <v>0</v>
      </c>
      <c r="K483" t="n">
        <v>0</v>
      </c>
      <c r="L483" t="n">
        <v>0</v>
      </c>
      <c r="M483" t="n">
        <v>0</v>
      </c>
      <c r="N483" t="n">
        <v>0</v>
      </c>
      <c r="O483" t="n">
        <v>0</v>
      </c>
      <c r="P483" t="n">
        <v>0</v>
      </c>
      <c r="Q483" t="n">
        <v>0</v>
      </c>
      <c r="R483" s="2" t="inlineStr"/>
    </row>
    <row r="484" ht="15" customHeight="1">
      <c r="A484" t="inlineStr">
        <is>
          <t>A 22744-2023</t>
        </is>
      </c>
      <c r="B484" s="1" t="n">
        <v>45072</v>
      </c>
      <c r="C484" s="1" t="n">
        <v>45700</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22743-2023</t>
        </is>
      </c>
      <c r="B485" s="1" t="n">
        <v>45072</v>
      </c>
      <c r="C485" s="1" t="n">
        <v>45700</v>
      </c>
      <c r="D485" t="inlineStr">
        <is>
          <t>NORRBOTTENS LÄN</t>
        </is>
      </c>
      <c r="E485" t="inlineStr">
        <is>
          <t>GÄLLIVARE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23489-2023</t>
        </is>
      </c>
      <c r="B486" s="1" t="n">
        <v>45072</v>
      </c>
      <c r="C486" s="1" t="n">
        <v>45700</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23774-2023</t>
        </is>
      </c>
      <c r="B487" s="1" t="n">
        <v>45077</v>
      </c>
      <c r="C487" s="1" t="n">
        <v>45700</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24094-2023</t>
        </is>
      </c>
      <c r="B488" s="1" t="n">
        <v>45079</v>
      </c>
      <c r="C488" s="1" t="n">
        <v>45700</v>
      </c>
      <c r="D488" t="inlineStr">
        <is>
          <t>NORRBOTTENS LÄN</t>
        </is>
      </c>
      <c r="E488" t="inlineStr">
        <is>
          <t>GÄLLIVARE</t>
        </is>
      </c>
      <c r="G488" t="n">
        <v>3.6</v>
      </c>
      <c r="H488" t="n">
        <v>0</v>
      </c>
      <c r="I488" t="n">
        <v>0</v>
      </c>
      <c r="J488" t="n">
        <v>0</v>
      </c>
      <c r="K488" t="n">
        <v>0</v>
      </c>
      <c r="L488" t="n">
        <v>0</v>
      </c>
      <c r="M488" t="n">
        <v>0</v>
      </c>
      <c r="N488" t="n">
        <v>0</v>
      </c>
      <c r="O488" t="n">
        <v>0</v>
      </c>
      <c r="P488" t="n">
        <v>0</v>
      </c>
      <c r="Q488" t="n">
        <v>0</v>
      </c>
      <c r="R488" s="2" t="inlineStr"/>
    </row>
    <row r="489" ht="15" customHeight="1">
      <c r="A489" t="inlineStr">
        <is>
          <t>A 24117-2023</t>
        </is>
      </c>
      <c r="B489" s="1" t="n">
        <v>45079</v>
      </c>
      <c r="C489" s="1" t="n">
        <v>45700</v>
      </c>
      <c r="D489" t="inlineStr">
        <is>
          <t>NORRBOTTENS LÄN</t>
        </is>
      </c>
      <c r="E489" t="inlineStr">
        <is>
          <t>GÄLLIVARE</t>
        </is>
      </c>
      <c r="G489" t="n">
        <v>2.9</v>
      </c>
      <c r="H489" t="n">
        <v>0</v>
      </c>
      <c r="I489" t="n">
        <v>0</v>
      </c>
      <c r="J489" t="n">
        <v>0</v>
      </c>
      <c r="K489" t="n">
        <v>0</v>
      </c>
      <c r="L489" t="n">
        <v>0</v>
      </c>
      <c r="M489" t="n">
        <v>0</v>
      </c>
      <c r="N489" t="n">
        <v>0</v>
      </c>
      <c r="O489" t="n">
        <v>0</v>
      </c>
      <c r="P489" t="n">
        <v>0</v>
      </c>
      <c r="Q489" t="n">
        <v>0</v>
      </c>
      <c r="R489" s="2" t="inlineStr"/>
    </row>
    <row r="490" ht="15" customHeight="1">
      <c r="A490" t="inlineStr">
        <is>
          <t>A 25197-2023</t>
        </is>
      </c>
      <c r="B490" s="1" t="n">
        <v>45086</v>
      </c>
      <c r="C490" s="1" t="n">
        <v>45700</v>
      </c>
      <c r="D490" t="inlineStr">
        <is>
          <t>NORRBOTTENS LÄN</t>
        </is>
      </c>
      <c r="E490" t="inlineStr">
        <is>
          <t>GÄLLIVARE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25195-2023</t>
        </is>
      </c>
      <c r="B491" s="1" t="n">
        <v>45086</v>
      </c>
      <c r="C491" s="1" t="n">
        <v>45700</v>
      </c>
      <c r="D491" t="inlineStr">
        <is>
          <t>NORRBOTTENS LÄN</t>
        </is>
      </c>
      <c r="E491" t="inlineStr">
        <is>
          <t>GÄLLIVARE</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25191-2023</t>
        </is>
      </c>
      <c r="B492" s="1" t="n">
        <v>45086</v>
      </c>
      <c r="C492" s="1" t="n">
        <v>45700</v>
      </c>
      <c r="D492" t="inlineStr">
        <is>
          <t>NORRBOTTENS LÄN</t>
        </is>
      </c>
      <c r="E492" t="inlineStr">
        <is>
          <t>GÄLLIVARE</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25681-2023</t>
        </is>
      </c>
      <c r="B493" s="1" t="n">
        <v>45089</v>
      </c>
      <c r="C493" s="1" t="n">
        <v>45700</v>
      </c>
      <c r="D493" t="inlineStr">
        <is>
          <t>NORRBOTTENS LÄN</t>
        </is>
      </c>
      <c r="E493" t="inlineStr">
        <is>
          <t>GÄLLIVARE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28600-2023</t>
        </is>
      </c>
      <c r="B494" s="1" t="n">
        <v>45096</v>
      </c>
      <c r="C494" s="1" t="n">
        <v>45700</v>
      </c>
      <c r="D494" t="inlineStr">
        <is>
          <t>NORRBOTTENS LÄN</t>
        </is>
      </c>
      <c r="E494" t="inlineStr">
        <is>
          <t>GÄLLIVARE</t>
        </is>
      </c>
      <c r="F494" t="inlineStr">
        <is>
          <t>Allmännings- och besparingsskogar</t>
        </is>
      </c>
      <c r="G494" t="n">
        <v>42</v>
      </c>
      <c r="H494" t="n">
        <v>0</v>
      </c>
      <c r="I494" t="n">
        <v>0</v>
      </c>
      <c r="J494" t="n">
        <v>0</v>
      </c>
      <c r="K494" t="n">
        <v>0</v>
      </c>
      <c r="L494" t="n">
        <v>0</v>
      </c>
      <c r="M494" t="n">
        <v>0</v>
      </c>
      <c r="N494" t="n">
        <v>0</v>
      </c>
      <c r="O494" t="n">
        <v>0</v>
      </c>
      <c r="P494" t="n">
        <v>0</v>
      </c>
      <c r="Q494" t="n">
        <v>0</v>
      </c>
      <c r="R494" s="2" t="inlineStr"/>
    </row>
    <row r="495" ht="15" customHeight="1">
      <c r="A495" t="inlineStr">
        <is>
          <t>A 28646-2023</t>
        </is>
      </c>
      <c r="B495" s="1" t="n">
        <v>45096</v>
      </c>
      <c r="C495" s="1" t="n">
        <v>45700</v>
      </c>
      <c r="D495" t="inlineStr">
        <is>
          <t>NORRBOTTENS LÄN</t>
        </is>
      </c>
      <c r="E495" t="inlineStr">
        <is>
          <t>GÄLLIVARE</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28619-2023</t>
        </is>
      </c>
      <c r="B496" s="1" t="n">
        <v>45096</v>
      </c>
      <c r="C496" s="1" t="n">
        <v>45700</v>
      </c>
      <c r="D496" t="inlineStr">
        <is>
          <t>NORRBOTTENS LÄN</t>
        </is>
      </c>
      <c r="E496" t="inlineStr">
        <is>
          <t>GÄLLIVARE</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28624-2023</t>
        </is>
      </c>
      <c r="B497" s="1" t="n">
        <v>45096</v>
      </c>
      <c r="C497" s="1" t="n">
        <v>45700</v>
      </c>
      <c r="D497" t="inlineStr">
        <is>
          <t>NORRBOTTENS LÄN</t>
        </is>
      </c>
      <c r="E497" t="inlineStr">
        <is>
          <t>GÄLLIVARE</t>
        </is>
      </c>
      <c r="F497" t="inlineStr">
        <is>
          <t>Allmännings- och besparingsskogar</t>
        </is>
      </c>
      <c r="G497" t="n">
        <v>44.7</v>
      </c>
      <c r="H497" t="n">
        <v>0</v>
      </c>
      <c r="I497" t="n">
        <v>0</v>
      </c>
      <c r="J497" t="n">
        <v>0</v>
      </c>
      <c r="K497" t="n">
        <v>0</v>
      </c>
      <c r="L497" t="n">
        <v>0</v>
      </c>
      <c r="M497" t="n">
        <v>0</v>
      </c>
      <c r="N497" t="n">
        <v>0</v>
      </c>
      <c r="O497" t="n">
        <v>0</v>
      </c>
      <c r="P497" t="n">
        <v>0</v>
      </c>
      <c r="Q497" t="n">
        <v>0</v>
      </c>
      <c r="R497" s="2" t="inlineStr"/>
    </row>
    <row r="498" ht="15" customHeight="1">
      <c r="A498" t="inlineStr">
        <is>
          <t>A 28177-2023</t>
        </is>
      </c>
      <c r="B498" s="1" t="n">
        <v>45099</v>
      </c>
      <c r="C498" s="1" t="n">
        <v>45700</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30765-2023</t>
        </is>
      </c>
      <c r="B499" s="1" t="n">
        <v>45103</v>
      </c>
      <c r="C499" s="1" t="n">
        <v>45700</v>
      </c>
      <c r="D499" t="inlineStr">
        <is>
          <t>NORRBOTTENS LÄN</t>
        </is>
      </c>
      <c r="E499" t="inlineStr">
        <is>
          <t>GÄLLIVARE</t>
        </is>
      </c>
      <c r="F499" t="inlineStr">
        <is>
          <t>Allmännings- och besparingsskogar</t>
        </is>
      </c>
      <c r="G499" t="n">
        <v>10.8</v>
      </c>
      <c r="H499" t="n">
        <v>0</v>
      </c>
      <c r="I499" t="n">
        <v>0</v>
      </c>
      <c r="J499" t="n">
        <v>0</v>
      </c>
      <c r="K499" t="n">
        <v>0</v>
      </c>
      <c r="L499" t="n">
        <v>0</v>
      </c>
      <c r="M499" t="n">
        <v>0</v>
      </c>
      <c r="N499" t="n">
        <v>0</v>
      </c>
      <c r="O499" t="n">
        <v>0</v>
      </c>
      <c r="P499" t="n">
        <v>0</v>
      </c>
      <c r="Q499" t="n">
        <v>0</v>
      </c>
      <c r="R499" s="2" t="inlineStr"/>
    </row>
    <row r="500" ht="15" customHeight="1">
      <c r="A500" t="inlineStr">
        <is>
          <t>A 28837-2023</t>
        </is>
      </c>
      <c r="B500" s="1" t="n">
        <v>45104</v>
      </c>
      <c r="C500" s="1" t="n">
        <v>45700</v>
      </c>
      <c r="D500" t="inlineStr">
        <is>
          <t>NORRBOTTENS LÄN</t>
        </is>
      </c>
      <c r="E500" t="inlineStr">
        <is>
          <t>GÄLLIVARE</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29634-2023</t>
        </is>
      </c>
      <c r="B501" s="1" t="n">
        <v>45107</v>
      </c>
      <c r="C501" s="1" t="n">
        <v>45700</v>
      </c>
      <c r="D501" t="inlineStr">
        <is>
          <t>NORRBOTTENS LÄN</t>
        </is>
      </c>
      <c r="E501" t="inlineStr">
        <is>
          <t>GÄLLIVARE</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30020-2023</t>
        </is>
      </c>
      <c r="B502" s="1" t="n">
        <v>45110</v>
      </c>
      <c r="C502" s="1" t="n">
        <v>45700</v>
      </c>
      <c r="D502" t="inlineStr">
        <is>
          <t>NORRBOTTENS LÄN</t>
        </is>
      </c>
      <c r="E502" t="inlineStr">
        <is>
          <t>GÄLLIVARE</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30026-2023</t>
        </is>
      </c>
      <c r="B503" s="1" t="n">
        <v>45110</v>
      </c>
      <c r="C503" s="1" t="n">
        <v>45700</v>
      </c>
      <c r="D503" t="inlineStr">
        <is>
          <t>NORRBOTTENS LÄN</t>
        </is>
      </c>
      <c r="E503" t="inlineStr">
        <is>
          <t>GÄLLIVARE</t>
        </is>
      </c>
      <c r="F503" t="inlineStr">
        <is>
          <t>Sveaskog</t>
        </is>
      </c>
      <c r="G503" t="n">
        <v>13.1</v>
      </c>
      <c r="H503" t="n">
        <v>0</v>
      </c>
      <c r="I503" t="n">
        <v>0</v>
      </c>
      <c r="J503" t="n">
        <v>0</v>
      </c>
      <c r="K503" t="n">
        <v>0</v>
      </c>
      <c r="L503" t="n">
        <v>0</v>
      </c>
      <c r="M503" t="n">
        <v>0</v>
      </c>
      <c r="N503" t="n">
        <v>0</v>
      </c>
      <c r="O503" t="n">
        <v>0</v>
      </c>
      <c r="P503" t="n">
        <v>0</v>
      </c>
      <c r="Q503" t="n">
        <v>0</v>
      </c>
      <c r="R503" s="2" t="inlineStr"/>
    </row>
    <row r="504" ht="15" customHeight="1">
      <c r="A504" t="inlineStr">
        <is>
          <t>A 30384-2023</t>
        </is>
      </c>
      <c r="B504" s="1" t="n">
        <v>45111</v>
      </c>
      <c r="C504" s="1" t="n">
        <v>45700</v>
      </c>
      <c r="D504" t="inlineStr">
        <is>
          <t>NORRBOTTENS LÄN</t>
        </is>
      </c>
      <c r="E504" t="inlineStr">
        <is>
          <t>GÄLLIVARE</t>
        </is>
      </c>
      <c r="G504" t="n">
        <v>1.6</v>
      </c>
      <c r="H504" t="n">
        <v>0</v>
      </c>
      <c r="I504" t="n">
        <v>0</v>
      </c>
      <c r="J504" t="n">
        <v>0</v>
      </c>
      <c r="K504" t="n">
        <v>0</v>
      </c>
      <c r="L504" t="n">
        <v>0</v>
      </c>
      <c r="M504" t="n">
        <v>0</v>
      </c>
      <c r="N504" t="n">
        <v>0</v>
      </c>
      <c r="O504" t="n">
        <v>0</v>
      </c>
      <c r="P504" t="n">
        <v>0</v>
      </c>
      <c r="Q504" t="n">
        <v>0</v>
      </c>
      <c r="R504" s="2" t="inlineStr"/>
    </row>
    <row r="505" ht="15" customHeight="1">
      <c r="A505" t="inlineStr">
        <is>
          <t>A 30383-2023</t>
        </is>
      </c>
      <c r="B505" s="1" t="n">
        <v>45111</v>
      </c>
      <c r="C505" s="1" t="n">
        <v>45700</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30781-2023</t>
        </is>
      </c>
      <c r="B506" s="1" t="n">
        <v>45112</v>
      </c>
      <c r="C506" s="1" t="n">
        <v>45700</v>
      </c>
      <c r="D506" t="inlineStr">
        <is>
          <t>NORRBOTTENS LÄN</t>
        </is>
      </c>
      <c r="E506" t="inlineStr">
        <is>
          <t>GÄLLIVARE</t>
        </is>
      </c>
      <c r="G506" t="n">
        <v>1.1</v>
      </c>
      <c r="H506" t="n">
        <v>0</v>
      </c>
      <c r="I506" t="n">
        <v>0</v>
      </c>
      <c r="J506" t="n">
        <v>0</v>
      </c>
      <c r="K506" t="n">
        <v>0</v>
      </c>
      <c r="L506" t="n">
        <v>0</v>
      </c>
      <c r="M506" t="n">
        <v>0</v>
      </c>
      <c r="N506" t="n">
        <v>0</v>
      </c>
      <c r="O506" t="n">
        <v>0</v>
      </c>
      <c r="P506" t="n">
        <v>0</v>
      </c>
      <c r="Q506" t="n">
        <v>0</v>
      </c>
      <c r="R506" s="2" t="inlineStr"/>
    </row>
    <row r="507" ht="15" customHeight="1">
      <c r="A507" t="inlineStr">
        <is>
          <t>A 30851-2023</t>
        </is>
      </c>
      <c r="B507" s="1" t="n">
        <v>45112</v>
      </c>
      <c r="C507" s="1" t="n">
        <v>45700</v>
      </c>
      <c r="D507" t="inlineStr">
        <is>
          <t>NORRBOTTENS LÄN</t>
        </is>
      </c>
      <c r="E507" t="inlineStr">
        <is>
          <t>GÄLLIVARE</t>
        </is>
      </c>
      <c r="F507" t="inlineStr">
        <is>
          <t>SCA</t>
        </is>
      </c>
      <c r="G507" t="n">
        <v>28.4</v>
      </c>
      <c r="H507" t="n">
        <v>0</v>
      </c>
      <c r="I507" t="n">
        <v>0</v>
      </c>
      <c r="J507" t="n">
        <v>0</v>
      </c>
      <c r="K507" t="n">
        <v>0</v>
      </c>
      <c r="L507" t="n">
        <v>0</v>
      </c>
      <c r="M507" t="n">
        <v>0</v>
      </c>
      <c r="N507" t="n">
        <v>0</v>
      </c>
      <c r="O507" t="n">
        <v>0</v>
      </c>
      <c r="P507" t="n">
        <v>0</v>
      </c>
      <c r="Q507" t="n">
        <v>0</v>
      </c>
      <c r="R507" s="2" t="inlineStr"/>
    </row>
    <row r="508" ht="15" customHeight="1">
      <c r="A508" t="inlineStr">
        <is>
          <t>A 33382-2023</t>
        </is>
      </c>
      <c r="B508" s="1" t="n">
        <v>45117</v>
      </c>
      <c r="C508" s="1" t="n">
        <v>45700</v>
      </c>
      <c r="D508" t="inlineStr">
        <is>
          <t>NORRBOTTENS LÄN</t>
        </is>
      </c>
      <c r="E508" t="inlineStr">
        <is>
          <t>GÄLLIVARE</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33373-2023</t>
        </is>
      </c>
      <c r="B509" s="1" t="n">
        <v>45117</v>
      </c>
      <c r="C509" s="1" t="n">
        <v>45700</v>
      </c>
      <c r="D509" t="inlineStr">
        <is>
          <t>NORRBOTTENS LÄN</t>
        </is>
      </c>
      <c r="E509" t="inlineStr">
        <is>
          <t>GÄLLIVARE</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33392-2023</t>
        </is>
      </c>
      <c r="B510" s="1" t="n">
        <v>45117</v>
      </c>
      <c r="C510" s="1" t="n">
        <v>45700</v>
      </c>
      <c r="D510" t="inlineStr">
        <is>
          <t>NORRBOTTENS LÄN</t>
        </is>
      </c>
      <c r="E510" t="inlineStr">
        <is>
          <t>GÄLLIVARE</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33390-2023</t>
        </is>
      </c>
      <c r="B511" s="1" t="n">
        <v>45117</v>
      </c>
      <c r="C511" s="1" t="n">
        <v>45700</v>
      </c>
      <c r="D511" t="inlineStr">
        <is>
          <t>NORRBOTTENS LÄN</t>
        </is>
      </c>
      <c r="E511" t="inlineStr">
        <is>
          <t>GÄLLIVARE</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33847-2023</t>
        </is>
      </c>
      <c r="B512" s="1" t="n">
        <v>45121</v>
      </c>
      <c r="C512" s="1" t="n">
        <v>45700</v>
      </c>
      <c r="D512" t="inlineStr">
        <is>
          <t>NORRBOTTENS LÄN</t>
        </is>
      </c>
      <c r="E512" t="inlineStr">
        <is>
          <t>GÄLLIVARE</t>
        </is>
      </c>
      <c r="F512" t="inlineStr">
        <is>
          <t>Övriga statliga verk och myndigheter</t>
        </is>
      </c>
      <c r="G512" t="n">
        <v>3</v>
      </c>
      <c r="H512" t="n">
        <v>0</v>
      </c>
      <c r="I512" t="n">
        <v>0</v>
      </c>
      <c r="J512" t="n">
        <v>0</v>
      </c>
      <c r="K512" t="n">
        <v>0</v>
      </c>
      <c r="L512" t="n">
        <v>0</v>
      </c>
      <c r="M512" t="n">
        <v>0</v>
      </c>
      <c r="N512" t="n">
        <v>0</v>
      </c>
      <c r="O512" t="n">
        <v>0</v>
      </c>
      <c r="P512" t="n">
        <v>0</v>
      </c>
      <c r="Q512" t="n">
        <v>0</v>
      </c>
      <c r="R512" s="2" t="inlineStr"/>
    </row>
    <row r="513" ht="15" customHeight="1">
      <c r="A513" t="inlineStr">
        <is>
          <t>A 33182-2023</t>
        </is>
      </c>
      <c r="B513" s="1" t="n">
        <v>45127</v>
      </c>
      <c r="C513" s="1" t="n">
        <v>45700</v>
      </c>
      <c r="D513" t="inlineStr">
        <is>
          <t>NORRBOTTENS LÄN</t>
        </is>
      </c>
      <c r="E513" t="inlineStr">
        <is>
          <t>GÄLLIVARE</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34139-2023</t>
        </is>
      </c>
      <c r="B514" s="1" t="n">
        <v>45136</v>
      </c>
      <c r="C514" s="1" t="n">
        <v>45700</v>
      </c>
      <c r="D514" t="inlineStr">
        <is>
          <t>NORRBOTTENS LÄN</t>
        </is>
      </c>
      <c r="E514" t="inlineStr">
        <is>
          <t>GÄLLIVARE</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34173-2023</t>
        </is>
      </c>
      <c r="B515" s="1" t="n">
        <v>45138</v>
      </c>
      <c r="C515" s="1" t="n">
        <v>45700</v>
      </c>
      <c r="D515" t="inlineStr">
        <is>
          <t>NORRBOTTENS LÄN</t>
        </is>
      </c>
      <c r="E515" t="inlineStr">
        <is>
          <t>GÄLLIVARE</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34625-2023</t>
        </is>
      </c>
      <c r="B516" s="1" t="n">
        <v>45140</v>
      </c>
      <c r="C516" s="1" t="n">
        <v>45700</v>
      </c>
      <c r="D516" t="inlineStr">
        <is>
          <t>NORRBOTTENS LÄN</t>
        </is>
      </c>
      <c r="E516" t="inlineStr">
        <is>
          <t>GÄLLIVARE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34622-2023</t>
        </is>
      </c>
      <c r="B517" s="1" t="n">
        <v>45140</v>
      </c>
      <c r="C517" s="1" t="n">
        <v>45700</v>
      </c>
      <c r="D517" t="inlineStr">
        <is>
          <t>NORRBOTTENS LÄN</t>
        </is>
      </c>
      <c r="E517" t="inlineStr">
        <is>
          <t>GÄLLIVARE</t>
        </is>
      </c>
      <c r="F517" t="inlineStr">
        <is>
          <t>Sveaskog</t>
        </is>
      </c>
      <c r="G517" t="n">
        <v>31.4</v>
      </c>
      <c r="H517" t="n">
        <v>0</v>
      </c>
      <c r="I517" t="n">
        <v>0</v>
      </c>
      <c r="J517" t="n">
        <v>0</v>
      </c>
      <c r="K517" t="n">
        <v>0</v>
      </c>
      <c r="L517" t="n">
        <v>0</v>
      </c>
      <c r="M517" t="n">
        <v>0</v>
      </c>
      <c r="N517" t="n">
        <v>0</v>
      </c>
      <c r="O517" t="n">
        <v>0</v>
      </c>
      <c r="P517" t="n">
        <v>0</v>
      </c>
      <c r="Q517" t="n">
        <v>0</v>
      </c>
      <c r="R517" s="2" t="inlineStr"/>
    </row>
    <row r="518" ht="15" customHeight="1">
      <c r="A518" t="inlineStr">
        <is>
          <t>A 34900-2023</t>
        </is>
      </c>
      <c r="B518" s="1" t="n">
        <v>45142</v>
      </c>
      <c r="C518" s="1" t="n">
        <v>45700</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35362-2023</t>
        </is>
      </c>
      <c r="B519" s="1" t="n">
        <v>45146</v>
      </c>
      <c r="C519" s="1" t="n">
        <v>45700</v>
      </c>
      <c r="D519" t="inlineStr">
        <is>
          <t>NORRBOTTENS LÄN</t>
        </is>
      </c>
      <c r="E519" t="inlineStr">
        <is>
          <t>GÄLLIVARE</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45700</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36014-2023</t>
        </is>
      </c>
      <c r="B521" s="1" t="n">
        <v>45148</v>
      </c>
      <c r="C521" s="1" t="n">
        <v>45700</v>
      </c>
      <c r="D521" t="inlineStr">
        <is>
          <t>NORRBOTTENS LÄN</t>
        </is>
      </c>
      <c r="E521" t="inlineStr">
        <is>
          <t>GÄLLIVARE</t>
        </is>
      </c>
      <c r="F521" t="inlineStr">
        <is>
          <t>Allmännings- och besparingsskogar</t>
        </is>
      </c>
      <c r="G521" t="n">
        <v>9.9</v>
      </c>
      <c r="H521" t="n">
        <v>0</v>
      </c>
      <c r="I521" t="n">
        <v>0</v>
      </c>
      <c r="J521" t="n">
        <v>0</v>
      </c>
      <c r="K521" t="n">
        <v>0</v>
      </c>
      <c r="L521" t="n">
        <v>0</v>
      </c>
      <c r="M521" t="n">
        <v>0</v>
      </c>
      <c r="N521" t="n">
        <v>0</v>
      </c>
      <c r="O521" t="n">
        <v>0</v>
      </c>
      <c r="P521" t="n">
        <v>0</v>
      </c>
      <c r="Q521" t="n">
        <v>0</v>
      </c>
      <c r="R521" s="2" t="inlineStr"/>
    </row>
    <row r="522" ht="15" customHeight="1">
      <c r="A522" t="inlineStr">
        <is>
          <t>A 36039-2023</t>
        </is>
      </c>
      <c r="B522" s="1" t="n">
        <v>45148</v>
      </c>
      <c r="C522" s="1" t="n">
        <v>45700</v>
      </c>
      <c r="D522" t="inlineStr">
        <is>
          <t>NORRBOTTENS LÄN</t>
        </is>
      </c>
      <c r="E522" t="inlineStr">
        <is>
          <t>GÄLLIVARE</t>
        </is>
      </c>
      <c r="F522" t="inlineStr">
        <is>
          <t>Allmännings- och besparingsskogar</t>
        </is>
      </c>
      <c r="G522" t="n">
        <v>24.3</v>
      </c>
      <c r="H522" t="n">
        <v>0</v>
      </c>
      <c r="I522" t="n">
        <v>0</v>
      </c>
      <c r="J522" t="n">
        <v>0</v>
      </c>
      <c r="K522" t="n">
        <v>0</v>
      </c>
      <c r="L522" t="n">
        <v>0</v>
      </c>
      <c r="M522" t="n">
        <v>0</v>
      </c>
      <c r="N522" t="n">
        <v>0</v>
      </c>
      <c r="O522" t="n">
        <v>0</v>
      </c>
      <c r="P522" t="n">
        <v>0</v>
      </c>
      <c r="Q522" t="n">
        <v>0</v>
      </c>
      <c r="R522" s="2" t="inlineStr"/>
    </row>
    <row r="523" ht="15" customHeight="1">
      <c r="A523" t="inlineStr">
        <is>
          <t>A 36245-2023</t>
        </is>
      </c>
      <c r="B523" s="1" t="n">
        <v>45150</v>
      </c>
      <c r="C523" s="1" t="n">
        <v>45700</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36249-2023</t>
        </is>
      </c>
      <c r="B524" s="1" t="n">
        <v>45151</v>
      </c>
      <c r="C524" s="1" t="n">
        <v>45700</v>
      </c>
      <c r="D524" t="inlineStr">
        <is>
          <t>NORRBOTTENS LÄN</t>
        </is>
      </c>
      <c r="E524" t="inlineStr">
        <is>
          <t>GÄLLIVARE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36242-2023</t>
        </is>
      </c>
      <c r="B525" s="1" t="n">
        <v>45150</v>
      </c>
      <c r="C525" s="1" t="n">
        <v>45700</v>
      </c>
      <c r="D525" t="inlineStr">
        <is>
          <t>NORRBOTTENS LÄN</t>
        </is>
      </c>
      <c r="E525" t="inlineStr">
        <is>
          <t>GÄLLIVARE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36247-2023</t>
        </is>
      </c>
      <c r="B526" s="1" t="n">
        <v>45151</v>
      </c>
      <c r="C526" s="1" t="n">
        <v>45700</v>
      </c>
      <c r="D526" t="inlineStr">
        <is>
          <t>NORRBOTTENS LÄN</t>
        </is>
      </c>
      <c r="E526" t="inlineStr">
        <is>
          <t>GÄLLIVARE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36251-2023</t>
        </is>
      </c>
      <c r="B527" s="1" t="n">
        <v>45151</v>
      </c>
      <c r="C527" s="1" t="n">
        <v>45700</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36244-2023</t>
        </is>
      </c>
      <c r="B528" s="1" t="n">
        <v>45150</v>
      </c>
      <c r="C528" s="1" t="n">
        <v>45700</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45700</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36250-2023</t>
        </is>
      </c>
      <c r="B530" s="1" t="n">
        <v>45151</v>
      </c>
      <c r="C530" s="1" t="n">
        <v>45700</v>
      </c>
      <c r="D530" t="inlineStr">
        <is>
          <t>NORRBOTTENS LÄN</t>
        </is>
      </c>
      <c r="E530" t="inlineStr">
        <is>
          <t>GÄLLIVARE</t>
        </is>
      </c>
      <c r="F530" t="inlineStr">
        <is>
          <t>SCA</t>
        </is>
      </c>
      <c r="G530" t="n">
        <v>14.6</v>
      </c>
      <c r="H530" t="n">
        <v>0</v>
      </c>
      <c r="I530" t="n">
        <v>0</v>
      </c>
      <c r="J530" t="n">
        <v>0</v>
      </c>
      <c r="K530" t="n">
        <v>0</v>
      </c>
      <c r="L530" t="n">
        <v>0</v>
      </c>
      <c r="M530" t="n">
        <v>0</v>
      </c>
      <c r="N530" t="n">
        <v>0</v>
      </c>
      <c r="O530" t="n">
        <v>0</v>
      </c>
      <c r="P530" t="n">
        <v>0</v>
      </c>
      <c r="Q530" t="n">
        <v>0</v>
      </c>
      <c r="R530" s="2" t="inlineStr"/>
    </row>
    <row r="531" ht="15" customHeight="1">
      <c r="A531" t="inlineStr">
        <is>
          <t>A 36322-2023</t>
        </is>
      </c>
      <c r="B531" s="1" t="n">
        <v>45152</v>
      </c>
      <c r="C531" s="1" t="n">
        <v>45700</v>
      </c>
      <c r="D531" t="inlineStr">
        <is>
          <t>NORRBOTTENS LÄN</t>
        </is>
      </c>
      <c r="E531" t="inlineStr">
        <is>
          <t>GÄLLIVARE</t>
        </is>
      </c>
      <c r="F531" t="inlineStr">
        <is>
          <t>Allmännings- och besparingsskogar</t>
        </is>
      </c>
      <c r="G531" t="n">
        <v>36.8</v>
      </c>
      <c r="H531" t="n">
        <v>0</v>
      </c>
      <c r="I531" t="n">
        <v>0</v>
      </c>
      <c r="J531" t="n">
        <v>0</v>
      </c>
      <c r="K531" t="n">
        <v>0</v>
      </c>
      <c r="L531" t="n">
        <v>0</v>
      </c>
      <c r="M531" t="n">
        <v>0</v>
      </c>
      <c r="N531" t="n">
        <v>0</v>
      </c>
      <c r="O531" t="n">
        <v>0</v>
      </c>
      <c r="P531" t="n">
        <v>0</v>
      </c>
      <c r="Q531" t="n">
        <v>0</v>
      </c>
      <c r="R531" s="2" t="inlineStr"/>
    </row>
    <row r="532" ht="15" customHeight="1">
      <c r="A532" t="inlineStr">
        <is>
          <t>A 36587-2023</t>
        </is>
      </c>
      <c r="B532" s="1" t="n">
        <v>45153</v>
      </c>
      <c r="C532" s="1" t="n">
        <v>45700</v>
      </c>
      <c r="D532" t="inlineStr">
        <is>
          <t>NORRBOTTENS LÄN</t>
        </is>
      </c>
      <c r="E532" t="inlineStr">
        <is>
          <t>GÄLLIVARE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36612-2023</t>
        </is>
      </c>
      <c r="B533" s="1" t="n">
        <v>45153</v>
      </c>
      <c r="C533" s="1" t="n">
        <v>45700</v>
      </c>
      <c r="D533" t="inlineStr">
        <is>
          <t>NORRBOTTENS LÄN</t>
        </is>
      </c>
      <c r="E533" t="inlineStr">
        <is>
          <t>GÄLLIVARE</t>
        </is>
      </c>
      <c r="F533" t="inlineStr">
        <is>
          <t>Sveaskog</t>
        </is>
      </c>
      <c r="G533" t="n">
        <v>27.5</v>
      </c>
      <c r="H533" t="n">
        <v>0</v>
      </c>
      <c r="I533" t="n">
        <v>0</v>
      </c>
      <c r="J533" t="n">
        <v>0</v>
      </c>
      <c r="K533" t="n">
        <v>0</v>
      </c>
      <c r="L533" t="n">
        <v>0</v>
      </c>
      <c r="M533" t="n">
        <v>0</v>
      </c>
      <c r="N533" t="n">
        <v>0</v>
      </c>
      <c r="O533" t="n">
        <v>0</v>
      </c>
      <c r="P533" t="n">
        <v>0</v>
      </c>
      <c r="Q533" t="n">
        <v>0</v>
      </c>
      <c r="R533" s="2" t="inlineStr"/>
    </row>
    <row r="534" ht="15" customHeight="1">
      <c r="A534" t="inlineStr">
        <is>
          <t>A 36591-2023</t>
        </is>
      </c>
      <c r="B534" s="1" t="n">
        <v>45153</v>
      </c>
      <c r="C534" s="1" t="n">
        <v>45700</v>
      </c>
      <c r="D534" t="inlineStr">
        <is>
          <t>NORRBOTTENS LÄN</t>
        </is>
      </c>
      <c r="E534" t="inlineStr">
        <is>
          <t>GÄLLIVARE</t>
        </is>
      </c>
      <c r="F534" t="inlineStr">
        <is>
          <t>Sveaskog</t>
        </is>
      </c>
      <c r="G534" t="n">
        <v>8.5</v>
      </c>
      <c r="H534" t="n">
        <v>0</v>
      </c>
      <c r="I534" t="n">
        <v>0</v>
      </c>
      <c r="J534" t="n">
        <v>0</v>
      </c>
      <c r="K534" t="n">
        <v>0</v>
      </c>
      <c r="L534" t="n">
        <v>0</v>
      </c>
      <c r="M534" t="n">
        <v>0</v>
      </c>
      <c r="N534" t="n">
        <v>0</v>
      </c>
      <c r="O534" t="n">
        <v>0</v>
      </c>
      <c r="P534" t="n">
        <v>0</v>
      </c>
      <c r="Q534" t="n">
        <v>0</v>
      </c>
      <c r="R534" s="2" t="inlineStr"/>
    </row>
    <row r="535" ht="15" customHeight="1">
      <c r="A535" t="inlineStr">
        <is>
          <t>A 36602-2023</t>
        </is>
      </c>
      <c r="B535" s="1" t="n">
        <v>45153</v>
      </c>
      <c r="C535" s="1" t="n">
        <v>45700</v>
      </c>
      <c r="D535" t="inlineStr">
        <is>
          <t>NORRBOTTENS LÄN</t>
        </is>
      </c>
      <c r="E535" t="inlineStr">
        <is>
          <t>GÄLLIVARE</t>
        </is>
      </c>
      <c r="F535" t="inlineStr">
        <is>
          <t>Sveaskog</t>
        </is>
      </c>
      <c r="G535" t="n">
        <v>8.6</v>
      </c>
      <c r="H535" t="n">
        <v>0</v>
      </c>
      <c r="I535" t="n">
        <v>0</v>
      </c>
      <c r="J535" t="n">
        <v>0</v>
      </c>
      <c r="K535" t="n">
        <v>0</v>
      </c>
      <c r="L535" t="n">
        <v>0</v>
      </c>
      <c r="M535" t="n">
        <v>0</v>
      </c>
      <c r="N535" t="n">
        <v>0</v>
      </c>
      <c r="O535" t="n">
        <v>0</v>
      </c>
      <c r="P535" t="n">
        <v>0</v>
      </c>
      <c r="Q535" t="n">
        <v>0</v>
      </c>
      <c r="R535" s="2" t="inlineStr"/>
    </row>
    <row r="536" ht="15" customHeight="1">
      <c r="A536" t="inlineStr">
        <is>
          <t>A 36881-2023</t>
        </is>
      </c>
      <c r="B536" s="1" t="n">
        <v>45154</v>
      </c>
      <c r="C536" s="1" t="n">
        <v>45700</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45155</v>
      </c>
      <c r="C537" s="1" t="n">
        <v>45700</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36980-2023</t>
        </is>
      </c>
      <c r="B538" s="1" t="n">
        <v>45155</v>
      </c>
      <c r="C538" s="1" t="n">
        <v>45700</v>
      </c>
      <c r="D538" t="inlineStr">
        <is>
          <t>NORRBOTTENS LÄN</t>
        </is>
      </c>
      <c r="E538" t="inlineStr">
        <is>
          <t>GÄLLIVARE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45155</v>
      </c>
      <c r="C539" s="1" t="n">
        <v>45700</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36978-2023</t>
        </is>
      </c>
      <c r="B540" s="1" t="n">
        <v>45155</v>
      </c>
      <c r="C540" s="1" t="n">
        <v>45700</v>
      </c>
      <c r="D540" t="inlineStr">
        <is>
          <t>NORRBOTTENS LÄN</t>
        </is>
      </c>
      <c r="E540" t="inlineStr">
        <is>
          <t>GÄLLIVARE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36979-2023</t>
        </is>
      </c>
      <c r="B541" s="1" t="n">
        <v>45155</v>
      </c>
      <c r="C541" s="1" t="n">
        <v>45700</v>
      </c>
      <c r="D541" t="inlineStr">
        <is>
          <t>NORRBOTTENS LÄN</t>
        </is>
      </c>
      <c r="E541" t="inlineStr">
        <is>
          <t>GÄLLIVARE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36983-2023</t>
        </is>
      </c>
      <c r="B542" s="1" t="n">
        <v>45155</v>
      </c>
      <c r="C542" s="1" t="n">
        <v>45700</v>
      </c>
      <c r="D542" t="inlineStr">
        <is>
          <t>NORRBOTTENS LÄN</t>
        </is>
      </c>
      <c r="E542" t="inlineStr">
        <is>
          <t>GÄLLIVARE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37819-2023</t>
        </is>
      </c>
      <c r="B543" s="1" t="n">
        <v>45160</v>
      </c>
      <c r="C543" s="1" t="n">
        <v>45700</v>
      </c>
      <c r="D543" t="inlineStr">
        <is>
          <t>NORRBOTTENS LÄN</t>
        </is>
      </c>
      <c r="E543" t="inlineStr">
        <is>
          <t>GÄLLIVARE</t>
        </is>
      </c>
      <c r="F543" t="inlineStr">
        <is>
          <t>Sveaskog</t>
        </is>
      </c>
      <c r="G543" t="n">
        <v>30.4</v>
      </c>
      <c r="H543" t="n">
        <v>0</v>
      </c>
      <c r="I543" t="n">
        <v>0</v>
      </c>
      <c r="J543" t="n">
        <v>0</v>
      </c>
      <c r="K543" t="n">
        <v>0</v>
      </c>
      <c r="L543" t="n">
        <v>0</v>
      </c>
      <c r="M543" t="n">
        <v>0</v>
      </c>
      <c r="N543" t="n">
        <v>0</v>
      </c>
      <c r="O543" t="n">
        <v>0</v>
      </c>
      <c r="P543" t="n">
        <v>0</v>
      </c>
      <c r="Q543" t="n">
        <v>0</v>
      </c>
      <c r="R543" s="2" t="inlineStr"/>
    </row>
    <row r="544" ht="15" customHeight="1">
      <c r="A544" t="inlineStr">
        <is>
          <t>A 37818-2023</t>
        </is>
      </c>
      <c r="B544" s="1" t="n">
        <v>45160</v>
      </c>
      <c r="C544" s="1" t="n">
        <v>45700</v>
      </c>
      <c r="D544" t="inlineStr">
        <is>
          <t>NORRBOTTENS LÄN</t>
        </is>
      </c>
      <c r="E544" t="inlineStr">
        <is>
          <t>GÄLLIVARE</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38426-2023</t>
        </is>
      </c>
      <c r="B545" s="1" t="n">
        <v>45162</v>
      </c>
      <c r="C545" s="1" t="n">
        <v>45700</v>
      </c>
      <c r="D545" t="inlineStr">
        <is>
          <t>NORRBOTTENS LÄN</t>
        </is>
      </c>
      <c r="E545" t="inlineStr">
        <is>
          <t>GÄLLIVARE</t>
        </is>
      </c>
      <c r="F545" t="inlineStr">
        <is>
          <t>Sveaskog</t>
        </is>
      </c>
      <c r="G545" t="n">
        <v>13.9</v>
      </c>
      <c r="H545" t="n">
        <v>0</v>
      </c>
      <c r="I545" t="n">
        <v>0</v>
      </c>
      <c r="J545" t="n">
        <v>0</v>
      </c>
      <c r="K545" t="n">
        <v>0</v>
      </c>
      <c r="L545" t="n">
        <v>0</v>
      </c>
      <c r="M545" t="n">
        <v>0</v>
      </c>
      <c r="N545" t="n">
        <v>0</v>
      </c>
      <c r="O545" t="n">
        <v>0</v>
      </c>
      <c r="P545" t="n">
        <v>0</v>
      </c>
      <c r="Q545" t="n">
        <v>0</v>
      </c>
      <c r="R545" s="2" t="inlineStr"/>
    </row>
    <row r="546" ht="15" customHeight="1">
      <c r="A546" t="inlineStr">
        <is>
          <t>A 38406-2023</t>
        </is>
      </c>
      <c r="B546" s="1" t="n">
        <v>45162</v>
      </c>
      <c r="C546" s="1" t="n">
        <v>45700</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38598-2023</t>
        </is>
      </c>
      <c r="B547" s="1" t="n">
        <v>45162</v>
      </c>
      <c r="C547" s="1" t="n">
        <v>45700</v>
      </c>
      <c r="D547" t="inlineStr">
        <is>
          <t>NORRBOTTENS LÄN</t>
        </is>
      </c>
      <c r="E547" t="inlineStr">
        <is>
          <t>GÄLLIVARE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39057-2023</t>
        </is>
      </c>
      <c r="B548" s="1" t="n">
        <v>45163</v>
      </c>
      <c r="C548" s="1" t="n">
        <v>45700</v>
      </c>
      <c r="D548" t="inlineStr">
        <is>
          <t>NORRBOTTENS LÄN</t>
        </is>
      </c>
      <c r="E548" t="inlineStr">
        <is>
          <t>GÄLLIVARE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39056-2023</t>
        </is>
      </c>
      <c r="B549" s="1" t="n">
        <v>45163</v>
      </c>
      <c r="C549" s="1" t="n">
        <v>45700</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39060-2023</t>
        </is>
      </c>
      <c r="B550" s="1" t="n">
        <v>45163</v>
      </c>
      <c r="C550" s="1" t="n">
        <v>45700</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40498-2023</t>
        </is>
      </c>
      <c r="B551" s="1" t="n">
        <v>45170</v>
      </c>
      <c r="C551" s="1" t="n">
        <v>45700</v>
      </c>
      <c r="D551" t="inlineStr">
        <is>
          <t>NORRBOTTENS LÄN</t>
        </is>
      </c>
      <c r="E551" t="inlineStr">
        <is>
          <t>GÄLLIVARE</t>
        </is>
      </c>
      <c r="F551" t="inlineStr">
        <is>
          <t>Sveaskog</t>
        </is>
      </c>
      <c r="G551" t="n">
        <v>7.2</v>
      </c>
      <c r="H551" t="n">
        <v>0</v>
      </c>
      <c r="I551" t="n">
        <v>0</v>
      </c>
      <c r="J551" t="n">
        <v>0</v>
      </c>
      <c r="K551" t="n">
        <v>0</v>
      </c>
      <c r="L551" t="n">
        <v>0</v>
      </c>
      <c r="M551" t="n">
        <v>0</v>
      </c>
      <c r="N551" t="n">
        <v>0</v>
      </c>
      <c r="O551" t="n">
        <v>0</v>
      </c>
      <c r="P551" t="n">
        <v>0</v>
      </c>
      <c r="Q551" t="n">
        <v>0</v>
      </c>
      <c r="R551" s="2" t="inlineStr"/>
    </row>
    <row r="552" ht="15" customHeight="1">
      <c r="A552" t="inlineStr">
        <is>
          <t>A 40492-2023</t>
        </is>
      </c>
      <c r="B552" s="1" t="n">
        <v>45170</v>
      </c>
      <c r="C552" s="1" t="n">
        <v>45700</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40816-2023</t>
        </is>
      </c>
      <c r="B553" s="1" t="n">
        <v>45171</v>
      </c>
      <c r="C553" s="1" t="n">
        <v>45700</v>
      </c>
      <c r="D553" t="inlineStr">
        <is>
          <t>NORRBOTTENS LÄN</t>
        </is>
      </c>
      <c r="E553" t="inlineStr">
        <is>
          <t>GÄLLIVARE</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40819-2023</t>
        </is>
      </c>
      <c r="B554" s="1" t="n">
        <v>45171</v>
      </c>
      <c r="C554" s="1" t="n">
        <v>45700</v>
      </c>
      <c r="D554" t="inlineStr">
        <is>
          <t>NORRBOTTENS LÄN</t>
        </is>
      </c>
      <c r="E554" t="inlineStr">
        <is>
          <t>GÄLLIVARE</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40818-2023</t>
        </is>
      </c>
      <c r="B555" s="1" t="n">
        <v>45171</v>
      </c>
      <c r="C555" s="1" t="n">
        <v>45700</v>
      </c>
      <c r="D555" t="inlineStr">
        <is>
          <t>NORRBOTTENS LÄN</t>
        </is>
      </c>
      <c r="E555" t="inlineStr">
        <is>
          <t>GÄLLIVARE</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40817-2023</t>
        </is>
      </c>
      <c r="B556" s="1" t="n">
        <v>45171</v>
      </c>
      <c r="C556" s="1" t="n">
        <v>45700</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40974-2023</t>
        </is>
      </c>
      <c r="B557" s="1" t="n">
        <v>45173</v>
      </c>
      <c r="C557" s="1" t="n">
        <v>45700</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41547-2023</t>
        </is>
      </c>
      <c r="B558" s="1" t="n">
        <v>45173</v>
      </c>
      <c r="C558" s="1" t="n">
        <v>45700</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41560-2023</t>
        </is>
      </c>
      <c r="B559" s="1" t="n">
        <v>45173</v>
      </c>
      <c r="C559" s="1" t="n">
        <v>45700</v>
      </c>
      <c r="D559" t="inlineStr">
        <is>
          <t>NORRBOTTENS LÄN</t>
        </is>
      </c>
      <c r="E559" t="inlineStr">
        <is>
          <t>GÄLLIVARE</t>
        </is>
      </c>
      <c r="G559" t="n">
        <v>9</v>
      </c>
      <c r="H559" t="n">
        <v>0</v>
      </c>
      <c r="I559" t="n">
        <v>0</v>
      </c>
      <c r="J559" t="n">
        <v>0</v>
      </c>
      <c r="K559" t="n">
        <v>0</v>
      </c>
      <c r="L559" t="n">
        <v>0</v>
      </c>
      <c r="M559" t="n">
        <v>0</v>
      </c>
      <c r="N559" t="n">
        <v>0</v>
      </c>
      <c r="O559" t="n">
        <v>0</v>
      </c>
      <c r="P559" t="n">
        <v>0</v>
      </c>
      <c r="Q559" t="n">
        <v>0</v>
      </c>
      <c r="R559" s="2" t="inlineStr"/>
    </row>
    <row r="560" ht="15" customHeight="1">
      <c r="A560" t="inlineStr">
        <is>
          <t>A 41653-2023</t>
        </is>
      </c>
      <c r="B560" s="1" t="n">
        <v>45176</v>
      </c>
      <c r="C560" s="1" t="n">
        <v>45700</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42612-2023</t>
        </is>
      </c>
      <c r="B561" s="1" t="n">
        <v>45176</v>
      </c>
      <c r="C561" s="1" t="n">
        <v>45700</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42158-2023</t>
        </is>
      </c>
      <c r="B562" s="1" t="n">
        <v>45178</v>
      </c>
      <c r="C562" s="1" t="n">
        <v>45700</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42157-2023</t>
        </is>
      </c>
      <c r="B563" s="1" t="n">
        <v>45178</v>
      </c>
      <c r="C563" s="1" t="n">
        <v>45700</v>
      </c>
      <c r="D563" t="inlineStr">
        <is>
          <t>NORRBOTTENS LÄN</t>
        </is>
      </c>
      <c r="E563" t="inlineStr">
        <is>
          <t>GÄLLIVARE</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42546-2023</t>
        </is>
      </c>
      <c r="B564" s="1" t="n">
        <v>45181</v>
      </c>
      <c r="C564" s="1" t="n">
        <v>45700</v>
      </c>
      <c r="D564" t="inlineStr">
        <is>
          <t>NORRBOTTENS LÄN</t>
        </is>
      </c>
      <c r="E564" t="inlineStr">
        <is>
          <t>GÄLLIVARE</t>
        </is>
      </c>
      <c r="F564" t="inlineStr">
        <is>
          <t>Sveaskog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42562-2023</t>
        </is>
      </c>
      <c r="B565" s="1" t="n">
        <v>45181</v>
      </c>
      <c r="C565" s="1" t="n">
        <v>45700</v>
      </c>
      <c r="D565" t="inlineStr">
        <is>
          <t>NORRBOTTENS LÄN</t>
        </is>
      </c>
      <c r="E565" t="inlineStr">
        <is>
          <t>GÄLLIVARE</t>
        </is>
      </c>
      <c r="F565" t="inlineStr">
        <is>
          <t>Sveaskog</t>
        </is>
      </c>
      <c r="G565" t="n">
        <v>32.4</v>
      </c>
      <c r="H565" t="n">
        <v>0</v>
      </c>
      <c r="I565" t="n">
        <v>0</v>
      </c>
      <c r="J565" t="n">
        <v>0</v>
      </c>
      <c r="K565" t="n">
        <v>0</v>
      </c>
      <c r="L565" t="n">
        <v>0</v>
      </c>
      <c r="M565" t="n">
        <v>0</v>
      </c>
      <c r="N565" t="n">
        <v>0</v>
      </c>
      <c r="O565" t="n">
        <v>0</v>
      </c>
      <c r="P565" t="n">
        <v>0</v>
      </c>
      <c r="Q565" t="n">
        <v>0</v>
      </c>
      <c r="R565" s="2" t="inlineStr"/>
    </row>
    <row r="566" ht="15" customHeight="1">
      <c r="A566" t="inlineStr">
        <is>
          <t>A 42568-2023</t>
        </is>
      </c>
      <c r="B566" s="1" t="n">
        <v>45181</v>
      </c>
      <c r="C566" s="1" t="n">
        <v>45700</v>
      </c>
      <c r="D566" t="inlineStr">
        <is>
          <t>NORRBOTTENS LÄN</t>
        </is>
      </c>
      <c r="E566" t="inlineStr">
        <is>
          <t>GÄLLIVARE</t>
        </is>
      </c>
      <c r="F566" t="inlineStr">
        <is>
          <t>Sveaskog</t>
        </is>
      </c>
      <c r="G566" t="n">
        <v>24.6</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45183</v>
      </c>
      <c r="C567" s="1" t="n">
        <v>45700</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43407-2023</t>
        </is>
      </c>
      <c r="B568" s="1" t="n">
        <v>45184</v>
      </c>
      <c r="C568" s="1" t="n">
        <v>45700</v>
      </c>
      <c r="D568" t="inlineStr">
        <is>
          <t>NORRBOTTENS LÄN</t>
        </is>
      </c>
      <c r="E568" t="inlineStr">
        <is>
          <t>GÄLLIVARE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43408-2023</t>
        </is>
      </c>
      <c r="B569" s="1" t="n">
        <v>45183</v>
      </c>
      <c r="C569" s="1" t="n">
        <v>45700</v>
      </c>
      <c r="D569" t="inlineStr">
        <is>
          <t>NORRBOTTENS LÄN</t>
        </is>
      </c>
      <c r="E569" t="inlineStr">
        <is>
          <t>GÄLLIVARE</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43477-2023</t>
        </is>
      </c>
      <c r="B570" s="1" t="n">
        <v>45184</v>
      </c>
      <c r="C570" s="1" t="n">
        <v>45700</v>
      </c>
      <c r="D570" t="inlineStr">
        <is>
          <t>NORRBOTTENS LÄN</t>
        </is>
      </c>
      <c r="E570" t="inlineStr">
        <is>
          <t>GÄLLIVARE</t>
        </is>
      </c>
      <c r="F570" t="inlineStr">
        <is>
          <t>Sveaskog</t>
        </is>
      </c>
      <c r="G570" t="n">
        <v>29.1</v>
      </c>
      <c r="H570" t="n">
        <v>0</v>
      </c>
      <c r="I570" t="n">
        <v>0</v>
      </c>
      <c r="J570" t="n">
        <v>0</v>
      </c>
      <c r="K570" t="n">
        <v>0</v>
      </c>
      <c r="L570" t="n">
        <v>0</v>
      </c>
      <c r="M570" t="n">
        <v>0</v>
      </c>
      <c r="N570" t="n">
        <v>0</v>
      </c>
      <c r="O570" t="n">
        <v>0</v>
      </c>
      <c r="P570" t="n">
        <v>0</v>
      </c>
      <c r="Q570" t="n">
        <v>0</v>
      </c>
      <c r="R570" s="2" t="inlineStr"/>
    </row>
    <row r="571" ht="15" customHeight="1">
      <c r="A571" t="inlineStr">
        <is>
          <t>A 43988-2023</t>
        </is>
      </c>
      <c r="B571" s="1" t="n">
        <v>45187</v>
      </c>
      <c r="C571" s="1" t="n">
        <v>45700</v>
      </c>
      <c r="D571" t="inlineStr">
        <is>
          <t>NORRBOTTENS LÄN</t>
        </is>
      </c>
      <c r="E571" t="inlineStr">
        <is>
          <t>GÄLLIVARE</t>
        </is>
      </c>
      <c r="F571" t="inlineStr">
        <is>
          <t>SCA</t>
        </is>
      </c>
      <c r="G571" t="n">
        <v>10.7</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45700</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44689-2023</t>
        </is>
      </c>
      <c r="B573" s="1" t="n">
        <v>45189</v>
      </c>
      <c r="C573" s="1" t="n">
        <v>45700</v>
      </c>
      <c r="D573" t="inlineStr">
        <is>
          <t>NORRBOTTENS LÄN</t>
        </is>
      </c>
      <c r="E573" t="inlineStr">
        <is>
          <t>GÄLLIVARE</t>
        </is>
      </c>
      <c r="G573" t="n">
        <v>26.1</v>
      </c>
      <c r="H573" t="n">
        <v>0</v>
      </c>
      <c r="I573" t="n">
        <v>0</v>
      </c>
      <c r="J573" t="n">
        <v>0</v>
      </c>
      <c r="K573" t="n">
        <v>0</v>
      </c>
      <c r="L573" t="n">
        <v>0</v>
      </c>
      <c r="M573" t="n">
        <v>0</v>
      </c>
      <c r="N573" t="n">
        <v>0</v>
      </c>
      <c r="O573" t="n">
        <v>0</v>
      </c>
      <c r="P573" t="n">
        <v>0</v>
      </c>
      <c r="Q573" t="n">
        <v>0</v>
      </c>
      <c r="R573" s="2" t="inlineStr"/>
    </row>
    <row r="574" ht="15" customHeight="1">
      <c r="A574" t="inlineStr">
        <is>
          <t>A 44686-2023</t>
        </is>
      </c>
      <c r="B574" s="1" t="n">
        <v>45189</v>
      </c>
      <c r="C574" s="1" t="n">
        <v>45700</v>
      </c>
      <c r="D574" t="inlineStr">
        <is>
          <t>NORRBOTTENS LÄN</t>
        </is>
      </c>
      <c r="E574" t="inlineStr">
        <is>
          <t>GÄLLIVARE</t>
        </is>
      </c>
      <c r="G574" t="n">
        <v>19.4</v>
      </c>
      <c r="H574" t="n">
        <v>0</v>
      </c>
      <c r="I574" t="n">
        <v>0</v>
      </c>
      <c r="J574" t="n">
        <v>0</v>
      </c>
      <c r="K574" t="n">
        <v>0</v>
      </c>
      <c r="L574" t="n">
        <v>0</v>
      </c>
      <c r="M574" t="n">
        <v>0</v>
      </c>
      <c r="N574" t="n">
        <v>0</v>
      </c>
      <c r="O574" t="n">
        <v>0</v>
      </c>
      <c r="P574" t="n">
        <v>0</v>
      </c>
      <c r="Q574" t="n">
        <v>0</v>
      </c>
      <c r="R574" s="2" t="inlineStr"/>
    </row>
    <row r="575" ht="15" customHeight="1">
      <c r="A575" t="inlineStr">
        <is>
          <t>A 44690-2023</t>
        </is>
      </c>
      <c r="B575" s="1" t="n">
        <v>45189</v>
      </c>
      <c r="C575" s="1" t="n">
        <v>45700</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44691-2023</t>
        </is>
      </c>
      <c r="B576" s="1" t="n">
        <v>45189</v>
      </c>
      <c r="C576" s="1" t="n">
        <v>45700</v>
      </c>
      <c r="D576" t="inlineStr">
        <is>
          <t>NORRBOTTENS LÄN</t>
        </is>
      </c>
      <c r="E576" t="inlineStr">
        <is>
          <t>GÄLLIVARE</t>
        </is>
      </c>
      <c r="G576" t="n">
        <v>18.8</v>
      </c>
      <c r="H576" t="n">
        <v>0</v>
      </c>
      <c r="I576" t="n">
        <v>0</v>
      </c>
      <c r="J576" t="n">
        <v>0</v>
      </c>
      <c r="K576" t="n">
        <v>0</v>
      </c>
      <c r="L576" t="n">
        <v>0</v>
      </c>
      <c r="M576" t="n">
        <v>0</v>
      </c>
      <c r="N576" t="n">
        <v>0</v>
      </c>
      <c r="O576" t="n">
        <v>0</v>
      </c>
      <c r="P576" t="n">
        <v>0</v>
      </c>
      <c r="Q576" t="n">
        <v>0</v>
      </c>
      <c r="R576" s="2" t="inlineStr"/>
    </row>
    <row r="577" ht="15" customHeight="1">
      <c r="A577" t="inlineStr">
        <is>
          <t>A 44983-2023</t>
        </is>
      </c>
      <c r="B577" s="1" t="n">
        <v>45190</v>
      </c>
      <c r="C577" s="1" t="n">
        <v>45700</v>
      </c>
      <c r="D577" t="inlineStr">
        <is>
          <t>NORRBOTTENS LÄN</t>
        </is>
      </c>
      <c r="E577" t="inlineStr">
        <is>
          <t>GÄLLIVARE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45191</v>
      </c>
      <c r="C578" s="1" t="n">
        <v>45700</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45026-2023</t>
        </is>
      </c>
      <c r="B579" s="1" t="n">
        <v>45191</v>
      </c>
      <c r="C579" s="1" t="n">
        <v>45700</v>
      </c>
      <c r="D579" t="inlineStr">
        <is>
          <t>NORRBOTTENS LÄN</t>
        </is>
      </c>
      <c r="E579" t="inlineStr">
        <is>
          <t>GÄLLIVARE</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45191</v>
      </c>
      <c r="C580" s="1" t="n">
        <v>45700</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44985-2023</t>
        </is>
      </c>
      <c r="B581" s="1" t="n">
        <v>45191</v>
      </c>
      <c r="C581" s="1" t="n">
        <v>45700</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46056-2023</t>
        </is>
      </c>
      <c r="B582" s="1" t="n">
        <v>45196</v>
      </c>
      <c r="C582" s="1" t="n">
        <v>45700</v>
      </c>
      <c r="D582" t="inlineStr">
        <is>
          <t>NORRBOTTENS LÄN</t>
        </is>
      </c>
      <c r="E582" t="inlineStr">
        <is>
          <t>GÄLLIVARE</t>
        </is>
      </c>
      <c r="G582" t="n">
        <v>3.9</v>
      </c>
      <c r="H582" t="n">
        <v>0</v>
      </c>
      <c r="I582" t="n">
        <v>0</v>
      </c>
      <c r="J582" t="n">
        <v>0</v>
      </c>
      <c r="K582" t="n">
        <v>0</v>
      </c>
      <c r="L582" t="n">
        <v>0</v>
      </c>
      <c r="M582" t="n">
        <v>0</v>
      </c>
      <c r="N582" t="n">
        <v>0</v>
      </c>
      <c r="O582" t="n">
        <v>0</v>
      </c>
      <c r="P582" t="n">
        <v>0</v>
      </c>
      <c r="Q582" t="n">
        <v>0</v>
      </c>
      <c r="R582" s="2" t="inlineStr"/>
    </row>
    <row r="583" ht="15" customHeight="1">
      <c r="A583" t="inlineStr">
        <is>
          <t>A 46271-2023</t>
        </is>
      </c>
      <c r="B583" s="1" t="n">
        <v>45196</v>
      </c>
      <c r="C583" s="1" t="n">
        <v>45700</v>
      </c>
      <c r="D583" t="inlineStr">
        <is>
          <t>NORRBOTTENS LÄN</t>
        </is>
      </c>
      <c r="E583" t="inlineStr">
        <is>
          <t>GÄLLIVARE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47239-2023</t>
        </is>
      </c>
      <c r="B584" s="1" t="n">
        <v>45196</v>
      </c>
      <c r="C584" s="1" t="n">
        <v>45700</v>
      </c>
      <c r="D584" t="inlineStr">
        <is>
          <t>NORRBOTTENS LÄN</t>
        </is>
      </c>
      <c r="E584" t="inlineStr">
        <is>
          <t>GÄLLIVARE</t>
        </is>
      </c>
      <c r="F584" t="inlineStr">
        <is>
          <t>Övriga statliga verk och myndigheter</t>
        </is>
      </c>
      <c r="G584" t="n">
        <v>146</v>
      </c>
      <c r="H584" t="n">
        <v>0</v>
      </c>
      <c r="I584" t="n">
        <v>0</v>
      </c>
      <c r="J584" t="n">
        <v>0</v>
      </c>
      <c r="K584" t="n">
        <v>0</v>
      </c>
      <c r="L584" t="n">
        <v>0</v>
      </c>
      <c r="M584" t="n">
        <v>0</v>
      </c>
      <c r="N584" t="n">
        <v>0</v>
      </c>
      <c r="O584" t="n">
        <v>0</v>
      </c>
      <c r="P584" t="n">
        <v>0</v>
      </c>
      <c r="Q584" t="n">
        <v>0</v>
      </c>
      <c r="R584" s="2" t="inlineStr"/>
    </row>
    <row r="585" ht="15" customHeight="1">
      <c r="A585" t="inlineStr">
        <is>
          <t>A 46334-2023</t>
        </is>
      </c>
      <c r="B585" s="1" t="n">
        <v>45197</v>
      </c>
      <c r="C585" s="1" t="n">
        <v>45700</v>
      </c>
      <c r="D585" t="inlineStr">
        <is>
          <t>NORRBOTTENS LÄN</t>
        </is>
      </c>
      <c r="E585" t="inlineStr">
        <is>
          <t>GÄLLIVARE</t>
        </is>
      </c>
      <c r="F585" t="inlineStr">
        <is>
          <t>Sveaskog</t>
        </is>
      </c>
      <c r="G585" t="n">
        <v>22.9</v>
      </c>
      <c r="H585" t="n">
        <v>0</v>
      </c>
      <c r="I585" t="n">
        <v>0</v>
      </c>
      <c r="J585" t="n">
        <v>0</v>
      </c>
      <c r="K585" t="n">
        <v>0</v>
      </c>
      <c r="L585" t="n">
        <v>0</v>
      </c>
      <c r="M585" t="n">
        <v>0</v>
      </c>
      <c r="N585" t="n">
        <v>0</v>
      </c>
      <c r="O585" t="n">
        <v>0</v>
      </c>
      <c r="P585" t="n">
        <v>0</v>
      </c>
      <c r="Q585" t="n">
        <v>0</v>
      </c>
      <c r="R585" s="2" t="inlineStr"/>
    </row>
    <row r="586" ht="15" customHeight="1">
      <c r="A586" t="inlineStr">
        <is>
          <t>A 46478-2023</t>
        </is>
      </c>
      <c r="B586" s="1" t="n">
        <v>45197</v>
      </c>
      <c r="C586" s="1" t="n">
        <v>45700</v>
      </c>
      <c r="D586" t="inlineStr">
        <is>
          <t>NORRBOTTENS LÄN</t>
        </is>
      </c>
      <c r="E586" t="inlineStr">
        <is>
          <t>GÄLLIVARE</t>
        </is>
      </c>
      <c r="G586" t="n">
        <v>8.4</v>
      </c>
      <c r="H586" t="n">
        <v>0</v>
      </c>
      <c r="I586" t="n">
        <v>0</v>
      </c>
      <c r="J586" t="n">
        <v>0</v>
      </c>
      <c r="K586" t="n">
        <v>0</v>
      </c>
      <c r="L586" t="n">
        <v>0</v>
      </c>
      <c r="M586" t="n">
        <v>0</v>
      </c>
      <c r="N586" t="n">
        <v>0</v>
      </c>
      <c r="O586" t="n">
        <v>0</v>
      </c>
      <c r="P586" t="n">
        <v>0</v>
      </c>
      <c r="Q586" t="n">
        <v>0</v>
      </c>
      <c r="R586" s="2" t="inlineStr"/>
    </row>
    <row r="587" ht="15" customHeight="1">
      <c r="A587" t="inlineStr">
        <is>
          <t>A 46474-2023</t>
        </is>
      </c>
      <c r="B587" s="1" t="n">
        <v>45197</v>
      </c>
      <c r="C587" s="1" t="n">
        <v>45700</v>
      </c>
      <c r="D587" t="inlineStr">
        <is>
          <t>NORRBOTTENS LÄN</t>
        </is>
      </c>
      <c r="E587" t="inlineStr">
        <is>
          <t>GÄLLIVARE</t>
        </is>
      </c>
      <c r="G587" t="n">
        <v>42.7</v>
      </c>
      <c r="H587" t="n">
        <v>0</v>
      </c>
      <c r="I587" t="n">
        <v>0</v>
      </c>
      <c r="J587" t="n">
        <v>0</v>
      </c>
      <c r="K587" t="n">
        <v>0</v>
      </c>
      <c r="L587" t="n">
        <v>0</v>
      </c>
      <c r="M587" t="n">
        <v>0</v>
      </c>
      <c r="N587" t="n">
        <v>0</v>
      </c>
      <c r="O587" t="n">
        <v>0</v>
      </c>
      <c r="P587" t="n">
        <v>0</v>
      </c>
      <c r="Q587" t="n">
        <v>0</v>
      </c>
      <c r="R587" s="2" t="inlineStr"/>
    </row>
    <row r="588" ht="15" customHeight="1">
      <c r="A588" t="inlineStr">
        <is>
          <t>A 46484-2023</t>
        </is>
      </c>
      <c r="B588" s="1" t="n">
        <v>45197</v>
      </c>
      <c r="C588" s="1" t="n">
        <v>45700</v>
      </c>
      <c r="D588" t="inlineStr">
        <is>
          <t>NORRBOTTENS LÄN</t>
        </is>
      </c>
      <c r="E588" t="inlineStr">
        <is>
          <t>GÄLLIVARE</t>
        </is>
      </c>
      <c r="G588" t="n">
        <v>5.8</v>
      </c>
      <c r="H588" t="n">
        <v>0</v>
      </c>
      <c r="I588" t="n">
        <v>0</v>
      </c>
      <c r="J588" t="n">
        <v>0</v>
      </c>
      <c r="K588" t="n">
        <v>0</v>
      </c>
      <c r="L588" t="n">
        <v>0</v>
      </c>
      <c r="M588" t="n">
        <v>0</v>
      </c>
      <c r="N588" t="n">
        <v>0</v>
      </c>
      <c r="O588" t="n">
        <v>0</v>
      </c>
      <c r="P588" t="n">
        <v>0</v>
      </c>
      <c r="Q588" t="n">
        <v>0</v>
      </c>
      <c r="R588" s="2" t="inlineStr"/>
    </row>
    <row r="589" ht="15" customHeight="1">
      <c r="A589" t="inlineStr">
        <is>
          <t>A 47613-2023</t>
        </is>
      </c>
      <c r="B589" s="1" t="n">
        <v>45198</v>
      </c>
      <c r="C589" s="1" t="n">
        <v>45700</v>
      </c>
      <c r="D589" t="inlineStr">
        <is>
          <t>NORRBOTTENS LÄN</t>
        </is>
      </c>
      <c r="E589" t="inlineStr">
        <is>
          <t>GÄLLIVARE</t>
        </is>
      </c>
      <c r="G589" t="n">
        <v>1.9</v>
      </c>
      <c r="H589" t="n">
        <v>0</v>
      </c>
      <c r="I589" t="n">
        <v>0</v>
      </c>
      <c r="J589" t="n">
        <v>0</v>
      </c>
      <c r="K589" t="n">
        <v>0</v>
      </c>
      <c r="L589" t="n">
        <v>0</v>
      </c>
      <c r="M589" t="n">
        <v>0</v>
      </c>
      <c r="N589" t="n">
        <v>0</v>
      </c>
      <c r="O589" t="n">
        <v>0</v>
      </c>
      <c r="P589" t="n">
        <v>0</v>
      </c>
      <c r="Q589" t="n">
        <v>0</v>
      </c>
      <c r="R589" s="2" t="inlineStr"/>
    </row>
    <row r="590" ht="15" customHeight="1">
      <c r="A590" t="inlineStr">
        <is>
          <t>A 46854-2023</t>
        </is>
      </c>
      <c r="B590" s="1" t="n">
        <v>45199</v>
      </c>
      <c r="C590" s="1" t="n">
        <v>45700</v>
      </c>
      <c r="D590" t="inlineStr">
        <is>
          <t>NORRBOTTENS LÄN</t>
        </is>
      </c>
      <c r="E590" t="inlineStr">
        <is>
          <t>GÄLLIVARE</t>
        </is>
      </c>
      <c r="F590" t="inlineStr">
        <is>
          <t>SCA</t>
        </is>
      </c>
      <c r="G590" t="n">
        <v>10.8</v>
      </c>
      <c r="H590" t="n">
        <v>0</v>
      </c>
      <c r="I590" t="n">
        <v>0</v>
      </c>
      <c r="J590" t="n">
        <v>0</v>
      </c>
      <c r="K590" t="n">
        <v>0</v>
      </c>
      <c r="L590" t="n">
        <v>0</v>
      </c>
      <c r="M590" t="n">
        <v>0</v>
      </c>
      <c r="N590" t="n">
        <v>0</v>
      </c>
      <c r="O590" t="n">
        <v>0</v>
      </c>
      <c r="P590" t="n">
        <v>0</v>
      </c>
      <c r="Q590" t="n">
        <v>0</v>
      </c>
      <c r="R590" s="2" t="inlineStr"/>
    </row>
    <row r="591" ht="15" customHeight="1">
      <c r="A591" t="inlineStr">
        <is>
          <t>A 46857-2023</t>
        </is>
      </c>
      <c r="B591" s="1" t="n">
        <v>45200</v>
      </c>
      <c r="C591" s="1" t="n">
        <v>45700</v>
      </c>
      <c r="D591" t="inlineStr">
        <is>
          <t>NORRBOTTENS LÄN</t>
        </is>
      </c>
      <c r="E591" t="inlineStr">
        <is>
          <t>GÄLLIVARE</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46855-2023</t>
        </is>
      </c>
      <c r="B592" s="1" t="n">
        <v>45199</v>
      </c>
      <c r="C592" s="1" t="n">
        <v>45700</v>
      </c>
      <c r="D592" t="inlineStr">
        <is>
          <t>NORRBOTTENS LÄN</t>
        </is>
      </c>
      <c r="E592" t="inlineStr">
        <is>
          <t>GÄLLIVARE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47162-2023</t>
        </is>
      </c>
      <c r="B593" s="1" t="n">
        <v>45201</v>
      </c>
      <c r="C593" s="1" t="n">
        <v>45700</v>
      </c>
      <c r="D593" t="inlineStr">
        <is>
          <t>NORRBOTTENS LÄN</t>
        </is>
      </c>
      <c r="E593" t="inlineStr">
        <is>
          <t>GÄLLIVARE</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45700</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47048-2023</t>
        </is>
      </c>
      <c r="B595" s="1" t="n">
        <v>45201</v>
      </c>
      <c r="C595" s="1" t="n">
        <v>45700</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47271-2023</t>
        </is>
      </c>
      <c r="B596" s="1" t="n">
        <v>45202</v>
      </c>
      <c r="C596" s="1" t="n">
        <v>45700</v>
      </c>
      <c r="D596" t="inlineStr">
        <is>
          <t>NORRBOTTENS LÄN</t>
        </is>
      </c>
      <c r="E596" t="inlineStr">
        <is>
          <t>GÄLLIVARE</t>
        </is>
      </c>
      <c r="F596" t="inlineStr">
        <is>
          <t>Sveaskog</t>
        </is>
      </c>
      <c r="G596" t="n">
        <v>12.7</v>
      </c>
      <c r="H596" t="n">
        <v>0</v>
      </c>
      <c r="I596" t="n">
        <v>0</v>
      </c>
      <c r="J596" t="n">
        <v>0</v>
      </c>
      <c r="K596" t="n">
        <v>0</v>
      </c>
      <c r="L596" t="n">
        <v>0</v>
      </c>
      <c r="M596" t="n">
        <v>0</v>
      </c>
      <c r="N596" t="n">
        <v>0</v>
      </c>
      <c r="O596" t="n">
        <v>0</v>
      </c>
      <c r="P596" t="n">
        <v>0</v>
      </c>
      <c r="Q596" t="n">
        <v>0</v>
      </c>
      <c r="R596" s="2" t="inlineStr"/>
    </row>
    <row r="597" ht="15" customHeight="1">
      <c r="A597" t="inlineStr">
        <is>
          <t>A 49116-2023</t>
        </is>
      </c>
      <c r="B597" s="1" t="n">
        <v>45205</v>
      </c>
      <c r="C597" s="1" t="n">
        <v>45700</v>
      </c>
      <c r="D597" t="inlineStr">
        <is>
          <t>NORRBOTTENS LÄN</t>
        </is>
      </c>
      <c r="E597" t="inlineStr">
        <is>
          <t>GÄLLIVARE</t>
        </is>
      </c>
      <c r="G597" t="n">
        <v>16.2</v>
      </c>
      <c r="H597" t="n">
        <v>0</v>
      </c>
      <c r="I597" t="n">
        <v>0</v>
      </c>
      <c r="J597" t="n">
        <v>0</v>
      </c>
      <c r="K597" t="n">
        <v>0</v>
      </c>
      <c r="L597" t="n">
        <v>0</v>
      </c>
      <c r="M597" t="n">
        <v>0</v>
      </c>
      <c r="N597" t="n">
        <v>0</v>
      </c>
      <c r="O597" t="n">
        <v>0</v>
      </c>
      <c r="P597" t="n">
        <v>0</v>
      </c>
      <c r="Q597" t="n">
        <v>0</v>
      </c>
      <c r="R597" s="2" t="inlineStr"/>
    </row>
    <row r="598" ht="15" customHeight="1">
      <c r="A598" t="inlineStr">
        <is>
          <t>A 48531-2023</t>
        </is>
      </c>
      <c r="B598" s="1" t="n">
        <v>45208</v>
      </c>
      <c r="C598" s="1" t="n">
        <v>45700</v>
      </c>
      <c r="D598" t="inlineStr">
        <is>
          <t>NORRBOTTENS LÄN</t>
        </is>
      </c>
      <c r="E598" t="inlineStr">
        <is>
          <t>GÄLLIVARE</t>
        </is>
      </c>
      <c r="G598" t="n">
        <v>16.5</v>
      </c>
      <c r="H598" t="n">
        <v>0</v>
      </c>
      <c r="I598" t="n">
        <v>0</v>
      </c>
      <c r="J598" t="n">
        <v>0</v>
      </c>
      <c r="K598" t="n">
        <v>0</v>
      </c>
      <c r="L598" t="n">
        <v>0</v>
      </c>
      <c r="M598" t="n">
        <v>0</v>
      </c>
      <c r="N598" t="n">
        <v>0</v>
      </c>
      <c r="O598" t="n">
        <v>0</v>
      </c>
      <c r="P598" t="n">
        <v>0</v>
      </c>
      <c r="Q598" t="n">
        <v>0</v>
      </c>
      <c r="R598" s="2" t="inlineStr"/>
    </row>
    <row r="599" ht="15" customHeight="1">
      <c r="A599" t="inlineStr">
        <is>
          <t>A 48760-2023</t>
        </is>
      </c>
      <c r="B599" s="1" t="n">
        <v>45209</v>
      </c>
      <c r="C599" s="1" t="n">
        <v>45700</v>
      </c>
      <c r="D599" t="inlineStr">
        <is>
          <t>NORRBOTTENS LÄN</t>
        </is>
      </c>
      <c r="E599" t="inlineStr">
        <is>
          <t>GÄLLIVARE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49092-2023</t>
        </is>
      </c>
      <c r="B600" s="1" t="n">
        <v>45210</v>
      </c>
      <c r="C600" s="1" t="n">
        <v>45700</v>
      </c>
      <c r="D600" t="inlineStr">
        <is>
          <t>NORRBOTTENS LÄN</t>
        </is>
      </c>
      <c r="E600" t="inlineStr">
        <is>
          <t>GÄLLIVARE</t>
        </is>
      </c>
      <c r="F600" t="inlineStr">
        <is>
          <t>Sveaskog</t>
        </is>
      </c>
      <c r="G600" t="n">
        <v>6.4</v>
      </c>
      <c r="H600" t="n">
        <v>0</v>
      </c>
      <c r="I600" t="n">
        <v>0</v>
      </c>
      <c r="J600" t="n">
        <v>0</v>
      </c>
      <c r="K600" t="n">
        <v>0</v>
      </c>
      <c r="L600" t="n">
        <v>0</v>
      </c>
      <c r="M600" t="n">
        <v>0</v>
      </c>
      <c r="N600" t="n">
        <v>0</v>
      </c>
      <c r="O600" t="n">
        <v>0</v>
      </c>
      <c r="P600" t="n">
        <v>0</v>
      </c>
      <c r="Q600" t="n">
        <v>0</v>
      </c>
      <c r="R600" s="2" t="inlineStr"/>
    </row>
    <row r="601" ht="15" customHeight="1">
      <c r="A601" t="inlineStr">
        <is>
          <t>A 49314-2023</t>
        </is>
      </c>
      <c r="B601" s="1" t="n">
        <v>45211</v>
      </c>
      <c r="C601" s="1" t="n">
        <v>45700</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49318-2023</t>
        </is>
      </c>
      <c r="B602" s="1" t="n">
        <v>45211</v>
      </c>
      <c r="C602" s="1" t="n">
        <v>45700</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49621-2023</t>
        </is>
      </c>
      <c r="B603" s="1" t="n">
        <v>45211</v>
      </c>
      <c r="C603" s="1" t="n">
        <v>45700</v>
      </c>
      <c r="D603" t="inlineStr">
        <is>
          <t>NORRBOTTENS LÄN</t>
        </is>
      </c>
      <c r="E603" t="inlineStr">
        <is>
          <t>GÄLLIVARE</t>
        </is>
      </c>
      <c r="G603" t="n">
        <v>3.5</v>
      </c>
      <c r="H603" t="n">
        <v>0</v>
      </c>
      <c r="I603" t="n">
        <v>0</v>
      </c>
      <c r="J603" t="n">
        <v>0</v>
      </c>
      <c r="K603" t="n">
        <v>0</v>
      </c>
      <c r="L603" t="n">
        <v>0</v>
      </c>
      <c r="M603" t="n">
        <v>0</v>
      </c>
      <c r="N603" t="n">
        <v>0</v>
      </c>
      <c r="O603" t="n">
        <v>0</v>
      </c>
      <c r="P603" t="n">
        <v>0</v>
      </c>
      <c r="Q603" t="n">
        <v>0</v>
      </c>
      <c r="R603" s="2" t="inlineStr"/>
    </row>
    <row r="604" ht="15" customHeight="1">
      <c r="A604" t="inlineStr">
        <is>
          <t>A 49634-2023</t>
        </is>
      </c>
      <c r="B604" s="1" t="n">
        <v>45211</v>
      </c>
      <c r="C604" s="1" t="n">
        <v>45700</v>
      </c>
      <c r="D604" t="inlineStr">
        <is>
          <t>NORRBOTTENS LÄN</t>
        </is>
      </c>
      <c r="E604" t="inlineStr">
        <is>
          <t>GÄLLIVARE</t>
        </is>
      </c>
      <c r="G604" t="n">
        <v>15.4</v>
      </c>
      <c r="H604" t="n">
        <v>0</v>
      </c>
      <c r="I604" t="n">
        <v>0</v>
      </c>
      <c r="J604" t="n">
        <v>0</v>
      </c>
      <c r="K604" t="n">
        <v>0</v>
      </c>
      <c r="L604" t="n">
        <v>0</v>
      </c>
      <c r="M604" t="n">
        <v>0</v>
      </c>
      <c r="N604" t="n">
        <v>0</v>
      </c>
      <c r="O604" t="n">
        <v>0</v>
      </c>
      <c r="P604" t="n">
        <v>0</v>
      </c>
      <c r="Q604" t="n">
        <v>0</v>
      </c>
      <c r="R604" s="2" t="inlineStr"/>
    </row>
    <row r="605" ht="15" customHeight="1">
      <c r="A605" t="inlineStr">
        <is>
          <t>A 49735-2023</t>
        </is>
      </c>
      <c r="B605" s="1" t="n">
        <v>45212</v>
      </c>
      <c r="C605" s="1" t="n">
        <v>45700</v>
      </c>
      <c r="D605" t="inlineStr">
        <is>
          <t>NORRBOTTENS LÄN</t>
        </is>
      </c>
      <c r="E605" t="inlineStr">
        <is>
          <t>GÄLLIVARE</t>
        </is>
      </c>
      <c r="F605" t="inlineStr">
        <is>
          <t>Sveaskog</t>
        </is>
      </c>
      <c r="G605" t="n">
        <v>11.8</v>
      </c>
      <c r="H605" t="n">
        <v>0</v>
      </c>
      <c r="I605" t="n">
        <v>0</v>
      </c>
      <c r="J605" t="n">
        <v>0</v>
      </c>
      <c r="K605" t="n">
        <v>0</v>
      </c>
      <c r="L605" t="n">
        <v>0</v>
      </c>
      <c r="M605" t="n">
        <v>0</v>
      </c>
      <c r="N605" t="n">
        <v>0</v>
      </c>
      <c r="O605" t="n">
        <v>0</v>
      </c>
      <c r="P605" t="n">
        <v>0</v>
      </c>
      <c r="Q605" t="n">
        <v>0</v>
      </c>
      <c r="R605" s="2" t="inlineStr"/>
    </row>
    <row r="606" ht="15" customHeight="1">
      <c r="A606" t="inlineStr">
        <is>
          <t>A 49740-2023</t>
        </is>
      </c>
      <c r="B606" s="1" t="n">
        <v>45212</v>
      </c>
      <c r="C606" s="1" t="n">
        <v>45700</v>
      </c>
      <c r="D606" t="inlineStr">
        <is>
          <t>NORRBOTTENS LÄN</t>
        </is>
      </c>
      <c r="E606" t="inlineStr">
        <is>
          <t>GÄLLIVARE</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49739-2023</t>
        </is>
      </c>
      <c r="B607" s="1" t="n">
        <v>45212</v>
      </c>
      <c r="C607" s="1" t="n">
        <v>45700</v>
      </c>
      <c r="D607" t="inlineStr">
        <is>
          <t>NORRBOTTENS LÄN</t>
        </is>
      </c>
      <c r="E607" t="inlineStr">
        <is>
          <t>GÄLLIVARE</t>
        </is>
      </c>
      <c r="F607" t="inlineStr">
        <is>
          <t>Sveaskog</t>
        </is>
      </c>
      <c r="G607" t="n">
        <v>12.2</v>
      </c>
      <c r="H607" t="n">
        <v>0</v>
      </c>
      <c r="I607" t="n">
        <v>0</v>
      </c>
      <c r="J607" t="n">
        <v>0</v>
      </c>
      <c r="K607" t="n">
        <v>0</v>
      </c>
      <c r="L607" t="n">
        <v>0</v>
      </c>
      <c r="M607" t="n">
        <v>0</v>
      </c>
      <c r="N607" t="n">
        <v>0</v>
      </c>
      <c r="O607" t="n">
        <v>0</v>
      </c>
      <c r="P607" t="n">
        <v>0</v>
      </c>
      <c r="Q607" t="n">
        <v>0</v>
      </c>
      <c r="R607" s="2" t="inlineStr"/>
    </row>
    <row r="608" ht="15" customHeight="1">
      <c r="A608" t="inlineStr">
        <is>
          <t>A 49748-2023</t>
        </is>
      </c>
      <c r="B608" s="1" t="n">
        <v>45212</v>
      </c>
      <c r="C608" s="1" t="n">
        <v>45700</v>
      </c>
      <c r="D608" t="inlineStr">
        <is>
          <t>NORRBOTTENS LÄN</t>
        </is>
      </c>
      <c r="E608" t="inlineStr">
        <is>
          <t>GÄLLIVARE</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49742-2023</t>
        </is>
      </c>
      <c r="B609" s="1" t="n">
        <v>45212</v>
      </c>
      <c r="C609" s="1" t="n">
        <v>45700</v>
      </c>
      <c r="D609" t="inlineStr">
        <is>
          <t>NORRBOTTENS LÄN</t>
        </is>
      </c>
      <c r="E609" t="inlineStr">
        <is>
          <t>GÄLLIVARE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49746-2023</t>
        </is>
      </c>
      <c r="B610" s="1" t="n">
        <v>45212</v>
      </c>
      <c r="C610" s="1" t="n">
        <v>45700</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49750-2023</t>
        </is>
      </c>
      <c r="B611" s="1" t="n">
        <v>45212</v>
      </c>
      <c r="C611" s="1" t="n">
        <v>45700</v>
      </c>
      <c r="D611" t="inlineStr">
        <is>
          <t>NORRBOTTENS LÄN</t>
        </is>
      </c>
      <c r="E611" t="inlineStr">
        <is>
          <t>GÄLLIVARE</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49873-2023</t>
        </is>
      </c>
      <c r="B612" s="1" t="n">
        <v>45212</v>
      </c>
      <c r="C612" s="1" t="n">
        <v>45700</v>
      </c>
      <c r="D612" t="inlineStr">
        <is>
          <t>NORRBOTTENS LÄN</t>
        </is>
      </c>
      <c r="E612" t="inlineStr">
        <is>
          <t>GÄLLIVARE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49877-2023</t>
        </is>
      </c>
      <c r="B613" s="1" t="n">
        <v>45213</v>
      </c>
      <c r="C613" s="1" t="n">
        <v>45700</v>
      </c>
      <c r="D613" t="inlineStr">
        <is>
          <t>NORRBOTTENS LÄN</t>
        </is>
      </c>
      <c r="E613" t="inlineStr">
        <is>
          <t>GÄLLIVARE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51243-2023</t>
        </is>
      </c>
      <c r="B614" s="1" t="n">
        <v>45212</v>
      </c>
      <c r="C614" s="1" t="n">
        <v>45700</v>
      </c>
      <c r="D614" t="inlineStr">
        <is>
          <t>NORRBOTTENS LÄN</t>
        </is>
      </c>
      <c r="E614" t="inlineStr">
        <is>
          <t>GÄLLIVARE</t>
        </is>
      </c>
      <c r="G614" t="n">
        <v>3.2</v>
      </c>
      <c r="H614" t="n">
        <v>0</v>
      </c>
      <c r="I614" t="n">
        <v>0</v>
      </c>
      <c r="J614" t="n">
        <v>0</v>
      </c>
      <c r="K614" t="n">
        <v>0</v>
      </c>
      <c r="L614" t="n">
        <v>0</v>
      </c>
      <c r="M614" t="n">
        <v>0</v>
      </c>
      <c r="N614" t="n">
        <v>0</v>
      </c>
      <c r="O614" t="n">
        <v>0</v>
      </c>
      <c r="P614" t="n">
        <v>0</v>
      </c>
      <c r="Q614" t="n">
        <v>0</v>
      </c>
      <c r="R614" s="2" t="inlineStr"/>
    </row>
    <row r="615" ht="15" customHeight="1">
      <c r="A615" t="inlineStr">
        <is>
          <t>A 51217-2023</t>
        </is>
      </c>
      <c r="B615" s="1" t="n">
        <v>45212</v>
      </c>
      <c r="C615" s="1" t="n">
        <v>45700</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49875-2023</t>
        </is>
      </c>
      <c r="B616" s="1" t="n">
        <v>45212</v>
      </c>
      <c r="C616" s="1" t="n">
        <v>45700</v>
      </c>
      <c r="D616" t="inlineStr">
        <is>
          <t>NORRBOTTENS LÄN</t>
        </is>
      </c>
      <c r="E616" t="inlineStr">
        <is>
          <t>GÄLLIVARE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51451-2023</t>
        </is>
      </c>
      <c r="B617" s="1" t="n">
        <v>45215</v>
      </c>
      <c r="C617" s="1" t="n">
        <v>45700</v>
      </c>
      <c r="D617" t="inlineStr">
        <is>
          <t>NORRBOTTENS LÄN</t>
        </is>
      </c>
      <c r="E617" t="inlineStr">
        <is>
          <t>GÄLLIVARE</t>
        </is>
      </c>
      <c r="G617" t="n">
        <v>4.1</v>
      </c>
      <c r="H617" t="n">
        <v>0</v>
      </c>
      <c r="I617" t="n">
        <v>0</v>
      </c>
      <c r="J617" t="n">
        <v>0</v>
      </c>
      <c r="K617" t="n">
        <v>0</v>
      </c>
      <c r="L617" t="n">
        <v>0</v>
      </c>
      <c r="M617" t="n">
        <v>0</v>
      </c>
      <c r="N617" t="n">
        <v>0</v>
      </c>
      <c r="O617" t="n">
        <v>0</v>
      </c>
      <c r="P617" t="n">
        <v>0</v>
      </c>
      <c r="Q617" t="n">
        <v>0</v>
      </c>
      <c r="R617" s="2" t="inlineStr"/>
    </row>
    <row r="618" ht="15" customHeight="1">
      <c r="A618" t="inlineStr">
        <is>
          <t>A 50498-2023</t>
        </is>
      </c>
      <c r="B618" s="1" t="n">
        <v>45216</v>
      </c>
      <c r="C618" s="1" t="n">
        <v>45700</v>
      </c>
      <c r="D618" t="inlineStr">
        <is>
          <t>NORRBOTTENS LÄN</t>
        </is>
      </c>
      <c r="E618" t="inlineStr">
        <is>
          <t>GÄLLIVARE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50240-2023</t>
        </is>
      </c>
      <c r="B619" s="1" t="n">
        <v>45216</v>
      </c>
      <c r="C619" s="1" t="n">
        <v>45700</v>
      </c>
      <c r="D619" t="inlineStr">
        <is>
          <t>NORRBOTTENS LÄN</t>
        </is>
      </c>
      <c r="E619" t="inlineStr">
        <is>
          <t>GÄLLIVARE</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50577-2023</t>
        </is>
      </c>
      <c r="B620" s="1" t="n">
        <v>45217</v>
      </c>
      <c r="C620" s="1" t="n">
        <v>45700</v>
      </c>
      <c r="D620" t="inlineStr">
        <is>
          <t>NORRBOTTENS LÄN</t>
        </is>
      </c>
      <c r="E620" t="inlineStr">
        <is>
          <t>GÄLLIVARE</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52887-2023</t>
        </is>
      </c>
      <c r="B621" s="1" t="n">
        <v>45219</v>
      </c>
      <c r="C621" s="1" t="n">
        <v>45700</v>
      </c>
      <c r="D621" t="inlineStr">
        <is>
          <t>NORRBOTTENS LÄN</t>
        </is>
      </c>
      <c r="E621" t="inlineStr">
        <is>
          <t>GÄLLIVARE</t>
        </is>
      </c>
      <c r="F621" t="inlineStr">
        <is>
          <t>Övriga statliga verk och myndigheter</t>
        </is>
      </c>
      <c r="G621" t="n">
        <v>23.1</v>
      </c>
      <c r="H621" t="n">
        <v>0</v>
      </c>
      <c r="I621" t="n">
        <v>0</v>
      </c>
      <c r="J621" t="n">
        <v>0</v>
      </c>
      <c r="K621" t="n">
        <v>0</v>
      </c>
      <c r="L621" t="n">
        <v>0</v>
      </c>
      <c r="M621" t="n">
        <v>0</v>
      </c>
      <c r="N621" t="n">
        <v>0</v>
      </c>
      <c r="O621" t="n">
        <v>0</v>
      </c>
      <c r="P621" t="n">
        <v>0</v>
      </c>
      <c r="Q621" t="n">
        <v>0</v>
      </c>
      <c r="R621" s="2" t="inlineStr"/>
    </row>
    <row r="622" ht="15" customHeight="1">
      <c r="A622" t="inlineStr">
        <is>
          <t>A 52947-2023</t>
        </is>
      </c>
      <c r="B622" s="1" t="n">
        <v>45219</v>
      </c>
      <c r="C622" s="1" t="n">
        <v>45700</v>
      </c>
      <c r="D622" t="inlineStr">
        <is>
          <t>NORRBOTTENS LÄN</t>
        </is>
      </c>
      <c r="E622" t="inlineStr">
        <is>
          <t>GÄLLIVARE</t>
        </is>
      </c>
      <c r="F622" t="inlineStr">
        <is>
          <t>Övriga statliga verk och myndigheter</t>
        </is>
      </c>
      <c r="G622" t="n">
        <v>36.3</v>
      </c>
      <c r="H622" t="n">
        <v>0</v>
      </c>
      <c r="I622" t="n">
        <v>0</v>
      </c>
      <c r="J622" t="n">
        <v>0</v>
      </c>
      <c r="K622" t="n">
        <v>0</v>
      </c>
      <c r="L622" t="n">
        <v>0</v>
      </c>
      <c r="M622" t="n">
        <v>0</v>
      </c>
      <c r="N622" t="n">
        <v>0</v>
      </c>
      <c r="O622" t="n">
        <v>0</v>
      </c>
      <c r="P622" t="n">
        <v>0</v>
      </c>
      <c r="Q622" t="n">
        <v>0</v>
      </c>
      <c r="R622" s="2" t="inlineStr"/>
    </row>
    <row r="623" ht="15" customHeight="1">
      <c r="A623" t="inlineStr">
        <is>
          <t>A 51604-2023</t>
        </is>
      </c>
      <c r="B623" s="1" t="n">
        <v>45222</v>
      </c>
      <c r="C623" s="1" t="n">
        <v>45700</v>
      </c>
      <c r="D623" t="inlineStr">
        <is>
          <t>NORRBOTTENS LÄN</t>
        </is>
      </c>
      <c r="E623" t="inlineStr">
        <is>
          <t>GÄLLIVARE</t>
        </is>
      </c>
      <c r="F623" t="inlineStr">
        <is>
          <t>Sveaskog</t>
        </is>
      </c>
      <c r="G623" t="n">
        <v>25.2</v>
      </c>
      <c r="H623" t="n">
        <v>0</v>
      </c>
      <c r="I623" t="n">
        <v>0</v>
      </c>
      <c r="J623" t="n">
        <v>0</v>
      </c>
      <c r="K623" t="n">
        <v>0</v>
      </c>
      <c r="L623" t="n">
        <v>0</v>
      </c>
      <c r="M623" t="n">
        <v>0</v>
      </c>
      <c r="N623" t="n">
        <v>0</v>
      </c>
      <c r="O623" t="n">
        <v>0</v>
      </c>
      <c r="P623" t="n">
        <v>0</v>
      </c>
      <c r="Q623" t="n">
        <v>0</v>
      </c>
      <c r="R623" s="2" t="inlineStr"/>
    </row>
    <row r="624" ht="15" customHeight="1">
      <c r="A624" t="inlineStr">
        <is>
          <t>A 51615-2023</t>
        </is>
      </c>
      <c r="B624" s="1" t="n">
        <v>45222</v>
      </c>
      <c r="C624" s="1" t="n">
        <v>45700</v>
      </c>
      <c r="D624" t="inlineStr">
        <is>
          <t>NORRBOTTENS LÄN</t>
        </is>
      </c>
      <c r="E624" t="inlineStr">
        <is>
          <t>GÄLLIVARE</t>
        </is>
      </c>
      <c r="F624" t="inlineStr">
        <is>
          <t>Sveaskog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51950-2023</t>
        </is>
      </c>
      <c r="B625" s="1" t="n">
        <v>45223</v>
      </c>
      <c r="C625" s="1" t="n">
        <v>45700</v>
      </c>
      <c r="D625" t="inlineStr">
        <is>
          <t>NORRBOTTENS LÄN</t>
        </is>
      </c>
      <c r="E625" t="inlineStr">
        <is>
          <t>GÄLLIVARE</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52728-2023</t>
        </is>
      </c>
      <c r="B626" s="1" t="n">
        <v>45225</v>
      </c>
      <c r="C626" s="1" t="n">
        <v>45700</v>
      </c>
      <c r="D626" t="inlineStr">
        <is>
          <t>NORRBOTTENS LÄN</t>
        </is>
      </c>
      <c r="E626" t="inlineStr">
        <is>
          <t>GÄLLIVARE</t>
        </is>
      </c>
      <c r="G626" t="n">
        <v>2.9</v>
      </c>
      <c r="H626" t="n">
        <v>0</v>
      </c>
      <c r="I626" t="n">
        <v>0</v>
      </c>
      <c r="J626" t="n">
        <v>0</v>
      </c>
      <c r="K626" t="n">
        <v>0</v>
      </c>
      <c r="L626" t="n">
        <v>0</v>
      </c>
      <c r="M626" t="n">
        <v>0</v>
      </c>
      <c r="N626" t="n">
        <v>0</v>
      </c>
      <c r="O626" t="n">
        <v>0</v>
      </c>
      <c r="P626" t="n">
        <v>0</v>
      </c>
      <c r="Q626" t="n">
        <v>0</v>
      </c>
      <c r="R626" s="2" t="inlineStr"/>
    </row>
    <row r="627" ht="15" customHeight="1">
      <c r="A627" t="inlineStr">
        <is>
          <t>A 52660-2023</t>
        </is>
      </c>
      <c r="B627" s="1" t="n">
        <v>45225</v>
      </c>
      <c r="C627" s="1" t="n">
        <v>45700</v>
      </c>
      <c r="D627" t="inlineStr">
        <is>
          <t>NORRBOTTENS LÄN</t>
        </is>
      </c>
      <c r="E627" t="inlineStr">
        <is>
          <t>GÄLLIVARE</t>
        </is>
      </c>
      <c r="G627" t="n">
        <v>2.4</v>
      </c>
      <c r="H627" t="n">
        <v>0</v>
      </c>
      <c r="I627" t="n">
        <v>0</v>
      </c>
      <c r="J627" t="n">
        <v>0</v>
      </c>
      <c r="K627" t="n">
        <v>0</v>
      </c>
      <c r="L627" t="n">
        <v>0</v>
      </c>
      <c r="M627" t="n">
        <v>0</v>
      </c>
      <c r="N627" t="n">
        <v>0</v>
      </c>
      <c r="O627" t="n">
        <v>0</v>
      </c>
      <c r="P627" t="n">
        <v>0</v>
      </c>
      <c r="Q627" t="n">
        <v>0</v>
      </c>
      <c r="R627" s="2" t="inlineStr"/>
    </row>
    <row r="628" ht="15" customHeight="1">
      <c r="A628" t="inlineStr">
        <is>
          <t>A 52827-2023</t>
        </is>
      </c>
      <c r="B628" s="1" t="n">
        <v>45226</v>
      </c>
      <c r="C628" s="1" t="n">
        <v>45700</v>
      </c>
      <c r="D628" t="inlineStr">
        <is>
          <t>NORRBOTTENS LÄN</t>
        </is>
      </c>
      <c r="E628" t="inlineStr">
        <is>
          <t>GÄLLIVARE</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52821-2023</t>
        </is>
      </c>
      <c r="B629" s="1" t="n">
        <v>45226</v>
      </c>
      <c r="C629" s="1" t="n">
        <v>45700</v>
      </c>
      <c r="D629" t="inlineStr">
        <is>
          <t>NORRBOTTENS LÄN</t>
        </is>
      </c>
      <c r="E629" t="inlineStr">
        <is>
          <t>GÄLLIVARE</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54725-2023</t>
        </is>
      </c>
      <c r="B630" s="1" t="n">
        <v>45229</v>
      </c>
      <c r="C630" s="1" t="n">
        <v>45700</v>
      </c>
      <c r="D630" t="inlineStr">
        <is>
          <t>NORRBOTTENS LÄN</t>
        </is>
      </c>
      <c r="E630" t="inlineStr">
        <is>
          <t>GÄLLIVARE</t>
        </is>
      </c>
      <c r="G630" t="n">
        <v>2.5</v>
      </c>
      <c r="H630" t="n">
        <v>0</v>
      </c>
      <c r="I630" t="n">
        <v>0</v>
      </c>
      <c r="J630" t="n">
        <v>0</v>
      </c>
      <c r="K630" t="n">
        <v>0</v>
      </c>
      <c r="L630" t="n">
        <v>0</v>
      </c>
      <c r="M630" t="n">
        <v>0</v>
      </c>
      <c r="N630" t="n">
        <v>0</v>
      </c>
      <c r="O630" t="n">
        <v>0</v>
      </c>
      <c r="P630" t="n">
        <v>0</v>
      </c>
      <c r="Q630" t="n">
        <v>0</v>
      </c>
      <c r="R630" s="2" t="inlineStr"/>
    </row>
    <row r="631" ht="15" customHeight="1">
      <c r="A631" t="inlineStr">
        <is>
          <t>A 55394-2023</t>
        </is>
      </c>
      <c r="B631" s="1" t="n">
        <v>45231</v>
      </c>
      <c r="C631" s="1" t="n">
        <v>45700</v>
      </c>
      <c r="D631" t="inlineStr">
        <is>
          <t>NORRBOTTENS LÄN</t>
        </is>
      </c>
      <c r="E631" t="inlineStr">
        <is>
          <t>GÄLLIVARE</t>
        </is>
      </c>
      <c r="G631" t="n">
        <v>1.4</v>
      </c>
      <c r="H631" t="n">
        <v>0</v>
      </c>
      <c r="I631" t="n">
        <v>0</v>
      </c>
      <c r="J631" t="n">
        <v>0</v>
      </c>
      <c r="K631" t="n">
        <v>0</v>
      </c>
      <c r="L631" t="n">
        <v>0</v>
      </c>
      <c r="M631" t="n">
        <v>0</v>
      </c>
      <c r="N631" t="n">
        <v>0</v>
      </c>
      <c r="O631" t="n">
        <v>0</v>
      </c>
      <c r="P631" t="n">
        <v>0</v>
      </c>
      <c r="Q631" t="n">
        <v>0</v>
      </c>
      <c r="R631" s="2" t="inlineStr"/>
    </row>
    <row r="632" ht="15" customHeight="1">
      <c r="A632" t="inlineStr">
        <is>
          <t>A 55407-2023</t>
        </is>
      </c>
      <c r="B632" s="1" t="n">
        <v>45231</v>
      </c>
      <c r="C632" s="1" t="n">
        <v>45700</v>
      </c>
      <c r="D632" t="inlineStr">
        <is>
          <t>NORRBOTTENS LÄN</t>
        </is>
      </c>
      <c r="E632" t="inlineStr">
        <is>
          <t>GÄLLIVARE</t>
        </is>
      </c>
      <c r="G632" t="n">
        <v>6.3</v>
      </c>
      <c r="H632" t="n">
        <v>0</v>
      </c>
      <c r="I632" t="n">
        <v>0</v>
      </c>
      <c r="J632" t="n">
        <v>0</v>
      </c>
      <c r="K632" t="n">
        <v>0</v>
      </c>
      <c r="L632" t="n">
        <v>0</v>
      </c>
      <c r="M632" t="n">
        <v>0</v>
      </c>
      <c r="N632" t="n">
        <v>0</v>
      </c>
      <c r="O632" t="n">
        <v>0</v>
      </c>
      <c r="P632" t="n">
        <v>0</v>
      </c>
      <c r="Q632" t="n">
        <v>0</v>
      </c>
      <c r="R632" s="2" t="inlineStr"/>
    </row>
    <row r="633" ht="15" customHeight="1">
      <c r="A633" t="inlineStr">
        <is>
          <t>A 55410-2023</t>
        </is>
      </c>
      <c r="B633" s="1" t="n">
        <v>45231</v>
      </c>
      <c r="C633" s="1" t="n">
        <v>45700</v>
      </c>
      <c r="D633" t="inlineStr">
        <is>
          <t>NORRBOTTENS LÄN</t>
        </is>
      </c>
      <c r="E633" t="inlineStr">
        <is>
          <t>GÄLLIVARE</t>
        </is>
      </c>
      <c r="G633" t="n">
        <v>1.7</v>
      </c>
      <c r="H633" t="n">
        <v>0</v>
      </c>
      <c r="I633" t="n">
        <v>0</v>
      </c>
      <c r="J633" t="n">
        <v>0</v>
      </c>
      <c r="K633" t="n">
        <v>0</v>
      </c>
      <c r="L633" t="n">
        <v>0</v>
      </c>
      <c r="M633" t="n">
        <v>0</v>
      </c>
      <c r="N633" t="n">
        <v>0</v>
      </c>
      <c r="O633" t="n">
        <v>0</v>
      </c>
      <c r="P633" t="n">
        <v>0</v>
      </c>
      <c r="Q633" t="n">
        <v>0</v>
      </c>
      <c r="R633" s="2" t="inlineStr"/>
    </row>
    <row r="634" ht="15" customHeight="1">
      <c r="A634" t="inlineStr">
        <is>
          <t>A 54410-2023</t>
        </is>
      </c>
      <c r="B634" s="1" t="n">
        <v>45233</v>
      </c>
      <c r="C634" s="1" t="n">
        <v>45700</v>
      </c>
      <c r="D634" t="inlineStr">
        <is>
          <t>NORRBOTTENS LÄN</t>
        </is>
      </c>
      <c r="E634" t="inlineStr">
        <is>
          <t>GÄLLIVARE</t>
        </is>
      </c>
      <c r="F634" t="inlineStr">
        <is>
          <t>Sveaskog</t>
        </is>
      </c>
      <c r="G634" t="n">
        <v>5.6</v>
      </c>
      <c r="H634" t="n">
        <v>0</v>
      </c>
      <c r="I634" t="n">
        <v>0</v>
      </c>
      <c r="J634" t="n">
        <v>0</v>
      </c>
      <c r="K634" t="n">
        <v>0</v>
      </c>
      <c r="L634" t="n">
        <v>0</v>
      </c>
      <c r="M634" t="n">
        <v>0</v>
      </c>
      <c r="N634" t="n">
        <v>0</v>
      </c>
      <c r="O634" t="n">
        <v>0</v>
      </c>
      <c r="P634" t="n">
        <v>0</v>
      </c>
      <c r="Q634" t="n">
        <v>0</v>
      </c>
      <c r="R634" s="2" t="inlineStr"/>
    </row>
    <row r="635" ht="15" customHeight="1">
      <c r="A635" t="inlineStr">
        <is>
          <t>A 54937-2023</t>
        </is>
      </c>
      <c r="B635" s="1" t="n">
        <v>45236</v>
      </c>
      <c r="C635" s="1" t="n">
        <v>45700</v>
      </c>
      <c r="D635" t="inlineStr">
        <is>
          <t>NORRBOTTENS LÄN</t>
        </is>
      </c>
      <c r="E635" t="inlineStr">
        <is>
          <t>GÄLLIVARE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55034-2023</t>
        </is>
      </c>
      <c r="B636" s="1" t="n">
        <v>45237</v>
      </c>
      <c r="C636" s="1" t="n">
        <v>45700</v>
      </c>
      <c r="D636" t="inlineStr">
        <is>
          <t>NORRBOTTENS LÄN</t>
        </is>
      </c>
      <c r="E636" t="inlineStr">
        <is>
          <t>GÄLLIVARE</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55044-2023</t>
        </is>
      </c>
      <c r="B637" s="1" t="n">
        <v>45237</v>
      </c>
      <c r="C637" s="1" t="n">
        <v>45700</v>
      </c>
      <c r="D637" t="inlineStr">
        <is>
          <t>NORRBOTTENS LÄN</t>
        </is>
      </c>
      <c r="E637" t="inlineStr">
        <is>
          <t>GÄLLIVARE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55118-2023</t>
        </is>
      </c>
      <c r="B638" s="1" t="n">
        <v>45237</v>
      </c>
      <c r="C638" s="1" t="n">
        <v>45700</v>
      </c>
      <c r="D638" t="inlineStr">
        <is>
          <t>NORRBOTTENS LÄN</t>
        </is>
      </c>
      <c r="E638" t="inlineStr">
        <is>
          <t>GÄLLIVARE</t>
        </is>
      </c>
      <c r="F638" t="inlineStr">
        <is>
          <t>Sveaskog</t>
        </is>
      </c>
      <c r="G638" t="n">
        <v>30</v>
      </c>
      <c r="H638" t="n">
        <v>0</v>
      </c>
      <c r="I638" t="n">
        <v>0</v>
      </c>
      <c r="J638" t="n">
        <v>0</v>
      </c>
      <c r="K638" t="n">
        <v>0</v>
      </c>
      <c r="L638" t="n">
        <v>0</v>
      </c>
      <c r="M638" t="n">
        <v>0</v>
      </c>
      <c r="N638" t="n">
        <v>0</v>
      </c>
      <c r="O638" t="n">
        <v>0</v>
      </c>
      <c r="P638" t="n">
        <v>0</v>
      </c>
      <c r="Q638" t="n">
        <v>0</v>
      </c>
      <c r="R638" s="2" t="inlineStr"/>
    </row>
    <row r="639" ht="15" customHeight="1">
      <c r="A639" t="inlineStr">
        <is>
          <t>A 55050-2023</t>
        </is>
      </c>
      <c r="B639" s="1" t="n">
        <v>45237</v>
      </c>
      <c r="C639" s="1" t="n">
        <v>45700</v>
      </c>
      <c r="D639" t="inlineStr">
        <is>
          <t>NORRBOTTENS LÄN</t>
        </is>
      </c>
      <c r="E639" t="inlineStr">
        <is>
          <t>GÄLLIVARE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55429-2023</t>
        </is>
      </c>
      <c r="B640" s="1" t="n">
        <v>45238</v>
      </c>
      <c r="C640" s="1" t="n">
        <v>45700</v>
      </c>
      <c r="D640" t="inlineStr">
        <is>
          <t>NORRBOTTENS LÄN</t>
        </is>
      </c>
      <c r="E640" t="inlineStr">
        <is>
          <t>GÄLLIVARE</t>
        </is>
      </c>
      <c r="G640" t="n">
        <v>3.2</v>
      </c>
      <c r="H640" t="n">
        <v>0</v>
      </c>
      <c r="I640" t="n">
        <v>0</v>
      </c>
      <c r="J640" t="n">
        <v>0</v>
      </c>
      <c r="K640" t="n">
        <v>0</v>
      </c>
      <c r="L640" t="n">
        <v>0</v>
      </c>
      <c r="M640" t="n">
        <v>0</v>
      </c>
      <c r="N640" t="n">
        <v>0</v>
      </c>
      <c r="O640" t="n">
        <v>0</v>
      </c>
      <c r="P640" t="n">
        <v>0</v>
      </c>
      <c r="Q640" t="n">
        <v>0</v>
      </c>
      <c r="R640" s="2" t="inlineStr"/>
    </row>
    <row r="641" ht="15" customHeight="1">
      <c r="A641" t="inlineStr">
        <is>
          <t>A 55584-2023</t>
        </is>
      </c>
      <c r="B641" s="1" t="n">
        <v>45238</v>
      </c>
      <c r="C641" s="1" t="n">
        <v>45700</v>
      </c>
      <c r="D641" t="inlineStr">
        <is>
          <t>NORRBOTTENS LÄN</t>
        </is>
      </c>
      <c r="E641" t="inlineStr">
        <is>
          <t>GÄLLIVARE</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55606-2023</t>
        </is>
      </c>
      <c r="B642" s="1" t="n">
        <v>45238</v>
      </c>
      <c r="C642" s="1" t="n">
        <v>45700</v>
      </c>
      <c r="D642" t="inlineStr">
        <is>
          <t>NORRBOTTENS LÄN</t>
        </is>
      </c>
      <c r="E642" t="inlineStr">
        <is>
          <t>GÄLLIVARE</t>
        </is>
      </c>
      <c r="G642" t="n">
        <v>2.4</v>
      </c>
      <c r="H642" t="n">
        <v>0</v>
      </c>
      <c r="I642" t="n">
        <v>0</v>
      </c>
      <c r="J642" t="n">
        <v>0</v>
      </c>
      <c r="K642" t="n">
        <v>0</v>
      </c>
      <c r="L642" t="n">
        <v>0</v>
      </c>
      <c r="M642" t="n">
        <v>0</v>
      </c>
      <c r="N642" t="n">
        <v>0</v>
      </c>
      <c r="O642" t="n">
        <v>0</v>
      </c>
      <c r="P642" t="n">
        <v>0</v>
      </c>
      <c r="Q642" t="n">
        <v>0</v>
      </c>
      <c r="R642" s="2" t="inlineStr"/>
    </row>
    <row r="643" ht="15" customHeight="1">
      <c r="A643" t="inlineStr">
        <is>
          <t>A 55588-2023</t>
        </is>
      </c>
      <c r="B643" s="1" t="n">
        <v>45238</v>
      </c>
      <c r="C643" s="1" t="n">
        <v>45700</v>
      </c>
      <c r="D643" t="inlineStr">
        <is>
          <t>NORRBOTTENS LÄN</t>
        </is>
      </c>
      <c r="E643" t="inlineStr">
        <is>
          <t>GÄLLIVARE</t>
        </is>
      </c>
      <c r="G643" t="n">
        <v>4.1</v>
      </c>
      <c r="H643" t="n">
        <v>0</v>
      </c>
      <c r="I643" t="n">
        <v>0</v>
      </c>
      <c r="J643" t="n">
        <v>0</v>
      </c>
      <c r="K643" t="n">
        <v>0</v>
      </c>
      <c r="L643" t="n">
        <v>0</v>
      </c>
      <c r="M643" t="n">
        <v>0</v>
      </c>
      <c r="N643" t="n">
        <v>0</v>
      </c>
      <c r="O643" t="n">
        <v>0</v>
      </c>
      <c r="P643" t="n">
        <v>0</v>
      </c>
      <c r="Q643" t="n">
        <v>0</v>
      </c>
      <c r="R643" s="2" t="inlineStr"/>
    </row>
    <row r="644" ht="15" customHeight="1">
      <c r="A644" t="inlineStr">
        <is>
          <t>A 55644-2023</t>
        </is>
      </c>
      <c r="B644" s="1" t="n">
        <v>45238</v>
      </c>
      <c r="C644" s="1" t="n">
        <v>45700</v>
      </c>
      <c r="D644" t="inlineStr">
        <is>
          <t>NORRBOTTENS LÄN</t>
        </is>
      </c>
      <c r="E644" t="inlineStr">
        <is>
          <t>GÄLLIVARE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55466-2023</t>
        </is>
      </c>
      <c r="B645" s="1" t="n">
        <v>45238</v>
      </c>
      <c r="C645" s="1" t="n">
        <v>45700</v>
      </c>
      <c r="D645" t="inlineStr">
        <is>
          <t>NORRBOTTENS LÄN</t>
        </is>
      </c>
      <c r="E645" t="inlineStr">
        <is>
          <t>GÄLLIVARE</t>
        </is>
      </c>
      <c r="G645" t="n">
        <v>5.1</v>
      </c>
      <c r="H645" t="n">
        <v>0</v>
      </c>
      <c r="I645" t="n">
        <v>0</v>
      </c>
      <c r="J645" t="n">
        <v>0</v>
      </c>
      <c r="K645" t="n">
        <v>0</v>
      </c>
      <c r="L645" t="n">
        <v>0</v>
      </c>
      <c r="M645" t="n">
        <v>0</v>
      </c>
      <c r="N645" t="n">
        <v>0</v>
      </c>
      <c r="O645" t="n">
        <v>0</v>
      </c>
      <c r="P645" t="n">
        <v>0</v>
      </c>
      <c r="Q645" t="n">
        <v>0</v>
      </c>
      <c r="R645" s="2" t="inlineStr"/>
    </row>
    <row r="646" ht="15" customHeight="1">
      <c r="A646" t="inlineStr">
        <is>
          <t>A 56259-2023</t>
        </is>
      </c>
      <c r="B646" s="1" t="n">
        <v>45240</v>
      </c>
      <c r="C646" s="1" t="n">
        <v>45700</v>
      </c>
      <c r="D646" t="inlineStr">
        <is>
          <t>NORRBOTTENS LÄN</t>
        </is>
      </c>
      <c r="E646" t="inlineStr">
        <is>
          <t>GÄLLIVARE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57909-2023</t>
        </is>
      </c>
      <c r="B647" s="1" t="n">
        <v>45244</v>
      </c>
      <c r="C647" s="1" t="n">
        <v>45700</v>
      </c>
      <c r="D647" t="inlineStr">
        <is>
          <t>NORRBOTTENS LÄN</t>
        </is>
      </c>
      <c r="E647" t="inlineStr">
        <is>
          <t>GÄLLIVARE</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60584-2023</t>
        </is>
      </c>
      <c r="B648" s="1" t="n">
        <v>45259</v>
      </c>
      <c r="C648" s="1" t="n">
        <v>45700</v>
      </c>
      <c r="D648" t="inlineStr">
        <is>
          <t>NORRBOTTENS LÄN</t>
        </is>
      </c>
      <c r="E648" t="inlineStr">
        <is>
          <t>GÄLLIVARE</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60856-2023</t>
        </is>
      </c>
      <c r="B649" s="1" t="n">
        <v>45260</v>
      </c>
      <c r="C649" s="1" t="n">
        <v>45700</v>
      </c>
      <c r="D649" t="inlineStr">
        <is>
          <t>NORRBOTTENS LÄN</t>
        </is>
      </c>
      <c r="E649" t="inlineStr">
        <is>
          <t>GÄLLIVARE</t>
        </is>
      </c>
      <c r="G649" t="n">
        <v>6.8</v>
      </c>
      <c r="H649" t="n">
        <v>0</v>
      </c>
      <c r="I649" t="n">
        <v>0</v>
      </c>
      <c r="J649" t="n">
        <v>0</v>
      </c>
      <c r="K649" t="n">
        <v>0</v>
      </c>
      <c r="L649" t="n">
        <v>0</v>
      </c>
      <c r="M649" t="n">
        <v>0</v>
      </c>
      <c r="N649" t="n">
        <v>0</v>
      </c>
      <c r="O649" t="n">
        <v>0</v>
      </c>
      <c r="P649" t="n">
        <v>0</v>
      </c>
      <c r="Q649" t="n">
        <v>0</v>
      </c>
      <c r="R649" s="2" t="inlineStr"/>
    </row>
    <row r="650" ht="15" customHeight="1">
      <c r="A650" t="inlineStr">
        <is>
          <t>A 60868-2023</t>
        </is>
      </c>
      <c r="B650" s="1" t="n">
        <v>45260</v>
      </c>
      <c r="C650" s="1" t="n">
        <v>45700</v>
      </c>
      <c r="D650" t="inlineStr">
        <is>
          <t>NORRBOTTENS LÄN</t>
        </is>
      </c>
      <c r="E650" t="inlineStr">
        <is>
          <t>GÄLLIVARE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61139-2023</t>
        </is>
      </c>
      <c r="B651" s="1" t="n">
        <v>45261</v>
      </c>
      <c r="C651" s="1" t="n">
        <v>45700</v>
      </c>
      <c r="D651" t="inlineStr">
        <is>
          <t>NORRBOTTENS LÄN</t>
        </is>
      </c>
      <c r="E651" t="inlineStr">
        <is>
          <t>GÄLLIVARE</t>
        </is>
      </c>
      <c r="G651" t="n">
        <v>11.4</v>
      </c>
      <c r="H651" t="n">
        <v>0</v>
      </c>
      <c r="I651" t="n">
        <v>0</v>
      </c>
      <c r="J651" t="n">
        <v>0</v>
      </c>
      <c r="K651" t="n">
        <v>0</v>
      </c>
      <c r="L651" t="n">
        <v>0</v>
      </c>
      <c r="M651" t="n">
        <v>0</v>
      </c>
      <c r="N651" t="n">
        <v>0</v>
      </c>
      <c r="O651" t="n">
        <v>0</v>
      </c>
      <c r="P651" t="n">
        <v>0</v>
      </c>
      <c r="Q651" t="n">
        <v>0</v>
      </c>
      <c r="R651" s="2" t="inlineStr"/>
    </row>
    <row r="652" ht="15" customHeight="1">
      <c r="A652" t="inlineStr">
        <is>
          <t>A 61158-2023</t>
        </is>
      </c>
      <c r="B652" s="1" t="n">
        <v>45262</v>
      </c>
      <c r="C652" s="1" t="n">
        <v>45700</v>
      </c>
      <c r="D652" t="inlineStr">
        <is>
          <t>NORRBOTTENS LÄN</t>
        </is>
      </c>
      <c r="E652" t="inlineStr">
        <is>
          <t>GÄLLIVARE</t>
        </is>
      </c>
      <c r="G652" t="n">
        <v>2.3</v>
      </c>
      <c r="H652" t="n">
        <v>0</v>
      </c>
      <c r="I652" t="n">
        <v>0</v>
      </c>
      <c r="J652" t="n">
        <v>0</v>
      </c>
      <c r="K652" t="n">
        <v>0</v>
      </c>
      <c r="L652" t="n">
        <v>0</v>
      </c>
      <c r="M652" t="n">
        <v>0</v>
      </c>
      <c r="N652" t="n">
        <v>0</v>
      </c>
      <c r="O652" t="n">
        <v>0</v>
      </c>
      <c r="P652" t="n">
        <v>0</v>
      </c>
      <c r="Q652" t="n">
        <v>0</v>
      </c>
      <c r="R652" s="2" t="inlineStr"/>
    </row>
    <row r="653" ht="15" customHeight="1">
      <c r="A653" t="inlineStr">
        <is>
          <t>A 61190-2023</t>
        </is>
      </c>
      <c r="B653" s="1" t="n">
        <v>45264</v>
      </c>
      <c r="C653" s="1" t="n">
        <v>45700</v>
      </c>
      <c r="D653" t="inlineStr">
        <is>
          <t>NORRBOTTENS LÄN</t>
        </is>
      </c>
      <c r="E653" t="inlineStr">
        <is>
          <t>GÄLLIVARE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61187-2023</t>
        </is>
      </c>
      <c r="B654" s="1" t="n">
        <v>45264</v>
      </c>
      <c r="C654" s="1" t="n">
        <v>45700</v>
      </c>
      <c r="D654" t="inlineStr">
        <is>
          <t>NORRBOTTENS LÄN</t>
        </is>
      </c>
      <c r="E654" t="inlineStr">
        <is>
          <t>GÄLLIVARE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61192-2023</t>
        </is>
      </c>
      <c r="B655" s="1" t="n">
        <v>45264</v>
      </c>
      <c r="C655" s="1" t="n">
        <v>45700</v>
      </c>
      <c r="D655" t="inlineStr">
        <is>
          <t>NORRBOTTENS LÄN</t>
        </is>
      </c>
      <c r="E655" t="inlineStr">
        <is>
          <t>GÄLLIVARE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61986-2023</t>
        </is>
      </c>
      <c r="B656" s="1" t="n">
        <v>45265</v>
      </c>
      <c r="C656" s="1" t="n">
        <v>45700</v>
      </c>
      <c r="D656" t="inlineStr">
        <is>
          <t>NORRBOTTENS LÄN</t>
        </is>
      </c>
      <c r="E656" t="inlineStr">
        <is>
          <t>GÄLLIVARE</t>
        </is>
      </c>
      <c r="G656" t="n">
        <v>18.6</v>
      </c>
      <c r="H656" t="n">
        <v>0</v>
      </c>
      <c r="I656" t="n">
        <v>0</v>
      </c>
      <c r="J656" t="n">
        <v>0</v>
      </c>
      <c r="K656" t="n">
        <v>0</v>
      </c>
      <c r="L656" t="n">
        <v>0</v>
      </c>
      <c r="M656" t="n">
        <v>0</v>
      </c>
      <c r="N656" t="n">
        <v>0</v>
      </c>
      <c r="O656" t="n">
        <v>0</v>
      </c>
      <c r="P656" t="n">
        <v>0</v>
      </c>
      <c r="Q656" t="n">
        <v>0</v>
      </c>
      <c r="R656" s="2" t="inlineStr"/>
    </row>
    <row r="657" ht="15" customHeight="1">
      <c r="A657" t="inlineStr">
        <is>
          <t>A 61783-2023</t>
        </is>
      </c>
      <c r="B657" s="1" t="n">
        <v>45265</v>
      </c>
      <c r="C657" s="1" t="n">
        <v>45700</v>
      </c>
      <c r="D657" t="inlineStr">
        <is>
          <t>NORRBOTTENS LÄN</t>
        </is>
      </c>
      <c r="E657" t="inlineStr">
        <is>
          <t>GÄLLIVARE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61982-2023</t>
        </is>
      </c>
      <c r="B658" s="1" t="n">
        <v>45266</v>
      </c>
      <c r="C658" s="1" t="n">
        <v>45700</v>
      </c>
      <c r="D658" t="inlineStr">
        <is>
          <t>NORRBOTTENS LÄN</t>
        </is>
      </c>
      <c r="E658" t="inlineStr">
        <is>
          <t>GÄLLIVARE</t>
        </is>
      </c>
      <c r="G658" t="n">
        <v>20.2</v>
      </c>
      <c r="H658" t="n">
        <v>0</v>
      </c>
      <c r="I658" t="n">
        <v>0</v>
      </c>
      <c r="J658" t="n">
        <v>0</v>
      </c>
      <c r="K658" t="n">
        <v>0</v>
      </c>
      <c r="L658" t="n">
        <v>0</v>
      </c>
      <c r="M658" t="n">
        <v>0</v>
      </c>
      <c r="N658" t="n">
        <v>0</v>
      </c>
      <c r="O658" t="n">
        <v>0</v>
      </c>
      <c r="P658" t="n">
        <v>0</v>
      </c>
      <c r="Q658" t="n">
        <v>0</v>
      </c>
      <c r="R658" s="2" t="inlineStr"/>
    </row>
    <row r="659" ht="15" customHeight="1">
      <c r="A659" t="inlineStr">
        <is>
          <t>A 62788-2023</t>
        </is>
      </c>
      <c r="B659" s="1" t="n">
        <v>45271</v>
      </c>
      <c r="C659" s="1" t="n">
        <v>45700</v>
      </c>
      <c r="D659" t="inlineStr">
        <is>
          <t>NORRBOTTENS LÄN</t>
        </is>
      </c>
      <c r="E659" t="inlineStr">
        <is>
          <t>GÄLLIVARE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62949-2023</t>
        </is>
      </c>
      <c r="B660" s="1" t="n">
        <v>45272</v>
      </c>
      <c r="C660" s="1" t="n">
        <v>45700</v>
      </c>
      <c r="D660" t="inlineStr">
        <is>
          <t>NORRBOTTENS LÄN</t>
        </is>
      </c>
      <c r="E660" t="inlineStr">
        <is>
          <t>GÄLLIVARE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64238-2023</t>
        </is>
      </c>
      <c r="B661" s="1" t="n">
        <v>45279</v>
      </c>
      <c r="C661" s="1" t="n">
        <v>45700</v>
      </c>
      <c r="D661" t="inlineStr">
        <is>
          <t>NORRBOTTENS LÄN</t>
        </is>
      </c>
      <c r="E661" t="inlineStr">
        <is>
          <t>GÄLLIVARE</t>
        </is>
      </c>
      <c r="G661" t="n">
        <v>5.5</v>
      </c>
      <c r="H661" t="n">
        <v>0</v>
      </c>
      <c r="I661" t="n">
        <v>0</v>
      </c>
      <c r="J661" t="n">
        <v>0</v>
      </c>
      <c r="K661" t="n">
        <v>0</v>
      </c>
      <c r="L661" t="n">
        <v>0</v>
      </c>
      <c r="M661" t="n">
        <v>0</v>
      </c>
      <c r="N661" t="n">
        <v>0</v>
      </c>
      <c r="O661" t="n">
        <v>0</v>
      </c>
      <c r="P661" t="n">
        <v>0</v>
      </c>
      <c r="Q661" t="n">
        <v>0</v>
      </c>
      <c r="R661" s="2" t="inlineStr"/>
    </row>
    <row r="662" ht="15" customHeight="1">
      <c r="A662" t="inlineStr">
        <is>
          <t>A 64237-2023</t>
        </is>
      </c>
      <c r="B662" s="1" t="n">
        <v>45279</v>
      </c>
      <c r="C662" s="1" t="n">
        <v>45700</v>
      </c>
      <c r="D662" t="inlineStr">
        <is>
          <t>NORRBOTTENS LÄN</t>
        </is>
      </c>
      <c r="E662" t="inlineStr">
        <is>
          <t>GÄLLIVARE</t>
        </is>
      </c>
      <c r="G662" t="n">
        <v>3.1</v>
      </c>
      <c r="H662" t="n">
        <v>0</v>
      </c>
      <c r="I662" t="n">
        <v>0</v>
      </c>
      <c r="J662" t="n">
        <v>0</v>
      </c>
      <c r="K662" t="n">
        <v>0</v>
      </c>
      <c r="L662" t="n">
        <v>0</v>
      </c>
      <c r="M662" t="n">
        <v>0</v>
      </c>
      <c r="N662" t="n">
        <v>0</v>
      </c>
      <c r="O662" t="n">
        <v>0</v>
      </c>
      <c r="P662" t="n">
        <v>0</v>
      </c>
      <c r="Q662" t="n">
        <v>0</v>
      </c>
      <c r="R662" s="2" t="inlineStr"/>
    </row>
    <row r="663" ht="15" customHeight="1">
      <c r="A663" t="inlineStr">
        <is>
          <t>A 64239-2023</t>
        </is>
      </c>
      <c r="B663" s="1" t="n">
        <v>45279</v>
      </c>
      <c r="C663" s="1" t="n">
        <v>45700</v>
      </c>
      <c r="D663" t="inlineStr">
        <is>
          <t>NORRBOTTENS LÄN</t>
        </is>
      </c>
      <c r="E663" t="inlineStr">
        <is>
          <t>GÄLLIVARE</t>
        </is>
      </c>
      <c r="G663" t="n">
        <v>11.1</v>
      </c>
      <c r="H663" t="n">
        <v>0</v>
      </c>
      <c r="I663" t="n">
        <v>0</v>
      </c>
      <c r="J663" t="n">
        <v>0</v>
      </c>
      <c r="K663" t="n">
        <v>0</v>
      </c>
      <c r="L663" t="n">
        <v>0</v>
      </c>
      <c r="M663" t="n">
        <v>0</v>
      </c>
      <c r="N663" t="n">
        <v>0</v>
      </c>
      <c r="O663" t="n">
        <v>0</v>
      </c>
      <c r="P663" t="n">
        <v>0</v>
      </c>
      <c r="Q663" t="n">
        <v>0</v>
      </c>
      <c r="R663" s="2" t="inlineStr"/>
    </row>
    <row r="664" ht="15" customHeight="1">
      <c r="A664" t="inlineStr">
        <is>
          <t>A 64261-2023</t>
        </is>
      </c>
      <c r="B664" s="1" t="n">
        <v>45279</v>
      </c>
      <c r="C664" s="1" t="n">
        <v>45700</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64232-2023</t>
        </is>
      </c>
      <c r="B665" s="1" t="n">
        <v>45279</v>
      </c>
      <c r="C665" s="1" t="n">
        <v>45700</v>
      </c>
      <c r="D665" t="inlineStr">
        <is>
          <t>NORRBOTTENS LÄN</t>
        </is>
      </c>
      <c r="E665" t="inlineStr">
        <is>
          <t>GÄLLIVARE</t>
        </is>
      </c>
      <c r="G665" t="n">
        <v>1</v>
      </c>
      <c r="H665" t="n">
        <v>0</v>
      </c>
      <c r="I665" t="n">
        <v>0</v>
      </c>
      <c r="J665" t="n">
        <v>0</v>
      </c>
      <c r="K665" t="n">
        <v>0</v>
      </c>
      <c r="L665" t="n">
        <v>0</v>
      </c>
      <c r="M665" t="n">
        <v>0</v>
      </c>
      <c r="N665" t="n">
        <v>0</v>
      </c>
      <c r="O665" t="n">
        <v>0</v>
      </c>
      <c r="P665" t="n">
        <v>0</v>
      </c>
      <c r="Q665" t="n">
        <v>0</v>
      </c>
      <c r="R665" s="2" t="inlineStr"/>
    </row>
    <row r="666" ht="15" customHeight="1">
      <c r="A666" t="inlineStr">
        <is>
          <t>A 64262-2023</t>
        </is>
      </c>
      <c r="B666" s="1" t="n">
        <v>45279</v>
      </c>
      <c r="C666" s="1" t="n">
        <v>45700</v>
      </c>
      <c r="D666" t="inlineStr">
        <is>
          <t>NORRBOTTENS LÄN</t>
        </is>
      </c>
      <c r="E666" t="inlineStr">
        <is>
          <t>GÄLLIVARE</t>
        </is>
      </c>
      <c r="G666" t="n">
        <v>3.5</v>
      </c>
      <c r="H666" t="n">
        <v>0</v>
      </c>
      <c r="I666" t="n">
        <v>0</v>
      </c>
      <c r="J666" t="n">
        <v>0</v>
      </c>
      <c r="K666" t="n">
        <v>0</v>
      </c>
      <c r="L666" t="n">
        <v>0</v>
      </c>
      <c r="M666" t="n">
        <v>0</v>
      </c>
      <c r="N666" t="n">
        <v>0</v>
      </c>
      <c r="O666" t="n">
        <v>0</v>
      </c>
      <c r="P666" t="n">
        <v>0</v>
      </c>
      <c r="Q666" t="n">
        <v>0</v>
      </c>
      <c r="R666" s="2" t="inlineStr"/>
    </row>
    <row r="667" ht="15" customHeight="1">
      <c r="A667" t="inlineStr">
        <is>
          <t>A 64260-2023</t>
        </is>
      </c>
      <c r="B667" s="1" t="n">
        <v>45279</v>
      </c>
      <c r="C667" s="1" t="n">
        <v>45700</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64360-2023</t>
        </is>
      </c>
      <c r="B668" s="1" t="n">
        <v>45280</v>
      </c>
      <c r="C668" s="1" t="n">
        <v>45700</v>
      </c>
      <c r="D668" t="inlineStr">
        <is>
          <t>NORRBOTTENS LÄN</t>
        </is>
      </c>
      <c r="E668" t="inlineStr">
        <is>
          <t>GÄLLIVARE</t>
        </is>
      </c>
      <c r="G668" t="n">
        <v>2.1</v>
      </c>
      <c r="H668" t="n">
        <v>0</v>
      </c>
      <c r="I668" t="n">
        <v>0</v>
      </c>
      <c r="J668" t="n">
        <v>0</v>
      </c>
      <c r="K668" t="n">
        <v>0</v>
      </c>
      <c r="L668" t="n">
        <v>0</v>
      </c>
      <c r="M668" t="n">
        <v>0</v>
      </c>
      <c r="N668" t="n">
        <v>0</v>
      </c>
      <c r="O668" t="n">
        <v>0</v>
      </c>
      <c r="P668" t="n">
        <v>0</v>
      </c>
      <c r="Q668" t="n">
        <v>0</v>
      </c>
      <c r="R668" s="2" t="inlineStr"/>
    </row>
    <row r="669" ht="15" customHeight="1">
      <c r="A669" t="inlineStr">
        <is>
          <t>A 64372-2023</t>
        </is>
      </c>
      <c r="B669" s="1" t="n">
        <v>45280</v>
      </c>
      <c r="C669" s="1" t="n">
        <v>45700</v>
      </c>
      <c r="D669" t="inlineStr">
        <is>
          <t>NORRBOTTENS LÄN</t>
        </is>
      </c>
      <c r="E669" t="inlineStr">
        <is>
          <t>GÄLLIVARE</t>
        </is>
      </c>
      <c r="G669" t="n">
        <v>3.3</v>
      </c>
      <c r="H669" t="n">
        <v>0</v>
      </c>
      <c r="I669" t="n">
        <v>0</v>
      </c>
      <c r="J669" t="n">
        <v>0</v>
      </c>
      <c r="K669" t="n">
        <v>0</v>
      </c>
      <c r="L669" t="n">
        <v>0</v>
      </c>
      <c r="M669" t="n">
        <v>0</v>
      </c>
      <c r="N669" t="n">
        <v>0</v>
      </c>
      <c r="O669" t="n">
        <v>0</v>
      </c>
      <c r="P669" t="n">
        <v>0</v>
      </c>
      <c r="Q669" t="n">
        <v>0</v>
      </c>
      <c r="R669" s="2" t="inlineStr"/>
    </row>
    <row r="670" ht="15" customHeight="1">
      <c r="A670" t="inlineStr">
        <is>
          <t>A 246-2024</t>
        </is>
      </c>
      <c r="B670" s="1" t="n">
        <v>45294</v>
      </c>
      <c r="C670" s="1" t="n">
        <v>45700</v>
      </c>
      <c r="D670" t="inlineStr">
        <is>
          <t>NORRBOTTENS LÄN</t>
        </is>
      </c>
      <c r="E670" t="inlineStr">
        <is>
          <t>GÄLLIVARE</t>
        </is>
      </c>
      <c r="G670" t="n">
        <v>6.6</v>
      </c>
      <c r="H670" t="n">
        <v>0</v>
      </c>
      <c r="I670" t="n">
        <v>0</v>
      </c>
      <c r="J670" t="n">
        <v>0</v>
      </c>
      <c r="K670" t="n">
        <v>0</v>
      </c>
      <c r="L670" t="n">
        <v>0</v>
      </c>
      <c r="M670" t="n">
        <v>0</v>
      </c>
      <c r="N670" t="n">
        <v>0</v>
      </c>
      <c r="O670" t="n">
        <v>0</v>
      </c>
      <c r="P670" t="n">
        <v>0</v>
      </c>
      <c r="Q670" t="n">
        <v>0</v>
      </c>
      <c r="R670" s="2" t="inlineStr"/>
    </row>
    <row r="671" ht="15" customHeight="1">
      <c r="A671" t="inlineStr">
        <is>
          <t>A 243-2024</t>
        </is>
      </c>
      <c r="B671" s="1" t="n">
        <v>45294</v>
      </c>
      <c r="C671" s="1" t="n">
        <v>45700</v>
      </c>
      <c r="D671" t="inlineStr">
        <is>
          <t>NORRBOTTENS LÄN</t>
        </is>
      </c>
      <c r="E671" t="inlineStr">
        <is>
          <t>GÄLLIVARE</t>
        </is>
      </c>
      <c r="G671" t="n">
        <v>9</v>
      </c>
      <c r="H671" t="n">
        <v>0</v>
      </c>
      <c r="I671" t="n">
        <v>0</v>
      </c>
      <c r="J671" t="n">
        <v>0</v>
      </c>
      <c r="K671" t="n">
        <v>0</v>
      </c>
      <c r="L671" t="n">
        <v>0</v>
      </c>
      <c r="M671" t="n">
        <v>0</v>
      </c>
      <c r="N671" t="n">
        <v>0</v>
      </c>
      <c r="O671" t="n">
        <v>0</v>
      </c>
      <c r="P671" t="n">
        <v>0</v>
      </c>
      <c r="Q671" t="n">
        <v>0</v>
      </c>
      <c r="R671" s="2" t="inlineStr"/>
    </row>
    <row r="672" ht="15" customHeight="1">
      <c r="A672" t="inlineStr">
        <is>
          <t>A 1622-2024</t>
        </is>
      </c>
      <c r="B672" s="1" t="n">
        <v>45306</v>
      </c>
      <c r="C672" s="1" t="n">
        <v>45700</v>
      </c>
      <c r="D672" t="inlineStr">
        <is>
          <t>NORRBOTTENS LÄN</t>
        </is>
      </c>
      <c r="E672" t="inlineStr">
        <is>
          <t>GÄLLIVARE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1621-2024</t>
        </is>
      </c>
      <c r="B673" s="1" t="n">
        <v>45306</v>
      </c>
      <c r="C673" s="1" t="n">
        <v>45700</v>
      </c>
      <c r="D673" t="inlineStr">
        <is>
          <t>NORRBOTTENS LÄN</t>
        </is>
      </c>
      <c r="E673" t="inlineStr">
        <is>
          <t>GÄLLIVARE</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2135-2024</t>
        </is>
      </c>
      <c r="B674" s="1" t="n">
        <v>45309</v>
      </c>
      <c r="C674" s="1" t="n">
        <v>45700</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3025-2024</t>
        </is>
      </c>
      <c r="B675" s="1" t="n">
        <v>45316</v>
      </c>
      <c r="C675" s="1" t="n">
        <v>45700</v>
      </c>
      <c r="D675" t="inlineStr">
        <is>
          <t>NORRBOTTENS LÄN</t>
        </is>
      </c>
      <c r="E675" t="inlineStr">
        <is>
          <t>GÄLLIVARE</t>
        </is>
      </c>
      <c r="F675" t="inlineStr">
        <is>
          <t>Sveaskog</t>
        </is>
      </c>
      <c r="G675" t="n">
        <v>16.9</v>
      </c>
      <c r="H675" t="n">
        <v>0</v>
      </c>
      <c r="I675" t="n">
        <v>0</v>
      </c>
      <c r="J675" t="n">
        <v>0</v>
      </c>
      <c r="K675" t="n">
        <v>0</v>
      </c>
      <c r="L675" t="n">
        <v>0</v>
      </c>
      <c r="M675" t="n">
        <v>0</v>
      </c>
      <c r="N675" t="n">
        <v>0</v>
      </c>
      <c r="O675" t="n">
        <v>0</v>
      </c>
      <c r="P675" t="n">
        <v>0</v>
      </c>
      <c r="Q675" t="n">
        <v>0</v>
      </c>
      <c r="R675" s="2" t="inlineStr"/>
    </row>
    <row r="676" ht="15" customHeight="1">
      <c r="A676" t="inlineStr">
        <is>
          <t>A 3096-2024</t>
        </is>
      </c>
      <c r="B676" s="1" t="n">
        <v>45316</v>
      </c>
      <c r="C676" s="1" t="n">
        <v>45700</v>
      </c>
      <c r="D676" t="inlineStr">
        <is>
          <t>NORRBOTTENS LÄN</t>
        </is>
      </c>
      <c r="E676" t="inlineStr">
        <is>
          <t>GÄLLIVARE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3542-2024</t>
        </is>
      </c>
      <c r="B677" s="1" t="n">
        <v>45320</v>
      </c>
      <c r="C677" s="1" t="n">
        <v>45700</v>
      </c>
      <c r="D677" t="inlineStr">
        <is>
          <t>NORRBOTTENS LÄN</t>
        </is>
      </c>
      <c r="E677" t="inlineStr">
        <is>
          <t>GÄLLIVARE</t>
        </is>
      </c>
      <c r="G677" t="n">
        <v>5.7</v>
      </c>
      <c r="H677" t="n">
        <v>0</v>
      </c>
      <c r="I677" t="n">
        <v>0</v>
      </c>
      <c r="J677" t="n">
        <v>0</v>
      </c>
      <c r="K677" t="n">
        <v>0</v>
      </c>
      <c r="L677" t="n">
        <v>0</v>
      </c>
      <c r="M677" t="n">
        <v>0</v>
      </c>
      <c r="N677" t="n">
        <v>0</v>
      </c>
      <c r="O677" t="n">
        <v>0</v>
      </c>
      <c r="P677" t="n">
        <v>0</v>
      </c>
      <c r="Q677" t="n">
        <v>0</v>
      </c>
      <c r="R677" s="2" t="inlineStr"/>
    </row>
    <row r="678" ht="15" customHeight="1">
      <c r="A678" t="inlineStr">
        <is>
          <t>A 3574-2024</t>
        </is>
      </c>
      <c r="B678" s="1" t="n">
        <v>45320</v>
      </c>
      <c r="C678" s="1" t="n">
        <v>45700</v>
      </c>
      <c r="D678" t="inlineStr">
        <is>
          <t>NORRBOTTENS LÄN</t>
        </is>
      </c>
      <c r="E678" t="inlineStr">
        <is>
          <t>GÄLLIVARE</t>
        </is>
      </c>
      <c r="G678" t="n">
        <v>1.5</v>
      </c>
      <c r="H678" t="n">
        <v>0</v>
      </c>
      <c r="I678" t="n">
        <v>0</v>
      </c>
      <c r="J678" t="n">
        <v>0</v>
      </c>
      <c r="K678" t="n">
        <v>0</v>
      </c>
      <c r="L678" t="n">
        <v>0</v>
      </c>
      <c r="M678" t="n">
        <v>0</v>
      </c>
      <c r="N678" t="n">
        <v>0</v>
      </c>
      <c r="O678" t="n">
        <v>0</v>
      </c>
      <c r="P678" t="n">
        <v>0</v>
      </c>
      <c r="Q678" t="n">
        <v>0</v>
      </c>
      <c r="R678" s="2" t="inlineStr"/>
    </row>
    <row r="679" ht="15" customHeight="1">
      <c r="A679" t="inlineStr">
        <is>
          <t>A 4091-2024</t>
        </is>
      </c>
      <c r="B679" s="1" t="n">
        <v>45323</v>
      </c>
      <c r="C679" s="1" t="n">
        <v>45700</v>
      </c>
      <c r="D679" t="inlineStr">
        <is>
          <t>NORRBOTTENS LÄN</t>
        </is>
      </c>
      <c r="E679" t="inlineStr">
        <is>
          <t>GÄLLIVARE</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4109-2024</t>
        </is>
      </c>
      <c r="B680" s="1" t="n">
        <v>45323</v>
      </c>
      <c r="C680" s="1" t="n">
        <v>45700</v>
      </c>
      <c r="D680" t="inlineStr">
        <is>
          <t>NORRBOTTENS LÄN</t>
        </is>
      </c>
      <c r="E680" t="inlineStr">
        <is>
          <t>GÄLLIVARE</t>
        </is>
      </c>
      <c r="F680" t="inlineStr">
        <is>
          <t>Sveaskog</t>
        </is>
      </c>
      <c r="G680" t="n">
        <v>32.7</v>
      </c>
      <c r="H680" t="n">
        <v>0</v>
      </c>
      <c r="I680" t="n">
        <v>0</v>
      </c>
      <c r="J680" t="n">
        <v>0</v>
      </c>
      <c r="K680" t="n">
        <v>0</v>
      </c>
      <c r="L680" t="n">
        <v>0</v>
      </c>
      <c r="M680" t="n">
        <v>0</v>
      </c>
      <c r="N680" t="n">
        <v>0</v>
      </c>
      <c r="O680" t="n">
        <v>0</v>
      </c>
      <c r="P680" t="n">
        <v>0</v>
      </c>
      <c r="Q680" t="n">
        <v>0</v>
      </c>
      <c r="R680" s="2" t="inlineStr"/>
    </row>
    <row r="681" ht="15" customHeight="1">
      <c r="A681" t="inlineStr">
        <is>
          <t>A 4726-2024</t>
        </is>
      </c>
      <c r="B681" s="1" t="n">
        <v>45328</v>
      </c>
      <c r="C681" s="1" t="n">
        <v>45700</v>
      </c>
      <c r="D681" t="inlineStr">
        <is>
          <t>NORRBOTTENS LÄN</t>
        </is>
      </c>
      <c r="E681" t="inlineStr">
        <is>
          <t>GÄLLIVARE</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4720-2024</t>
        </is>
      </c>
      <c r="B682" s="1" t="n">
        <v>45328</v>
      </c>
      <c r="C682" s="1" t="n">
        <v>45700</v>
      </c>
      <c r="D682" t="inlineStr">
        <is>
          <t>NORRBOTTENS LÄN</t>
        </is>
      </c>
      <c r="E682" t="inlineStr">
        <is>
          <t>GÄLLIVARE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5624-2024</t>
        </is>
      </c>
      <c r="B683" s="1" t="n">
        <v>45334</v>
      </c>
      <c r="C683" s="1" t="n">
        <v>45700</v>
      </c>
      <c r="D683" t="inlineStr">
        <is>
          <t>NORRBOTTENS LÄN</t>
        </is>
      </c>
      <c r="E683" t="inlineStr">
        <is>
          <t>GÄLLIVARE</t>
        </is>
      </c>
      <c r="G683" t="n">
        <v>13.8</v>
      </c>
      <c r="H683" t="n">
        <v>0</v>
      </c>
      <c r="I683" t="n">
        <v>0</v>
      </c>
      <c r="J683" t="n">
        <v>0</v>
      </c>
      <c r="K683" t="n">
        <v>0</v>
      </c>
      <c r="L683" t="n">
        <v>0</v>
      </c>
      <c r="M683" t="n">
        <v>0</v>
      </c>
      <c r="N683" t="n">
        <v>0</v>
      </c>
      <c r="O683" t="n">
        <v>0</v>
      </c>
      <c r="P683" t="n">
        <v>0</v>
      </c>
      <c r="Q683" t="n">
        <v>0</v>
      </c>
      <c r="R683" s="2" t="inlineStr"/>
    </row>
    <row r="684" ht="15" customHeight="1">
      <c r="A684" t="inlineStr">
        <is>
          <t>A 5632-2024</t>
        </is>
      </c>
      <c r="B684" s="1" t="n">
        <v>45334</v>
      </c>
      <c r="C684" s="1" t="n">
        <v>45700</v>
      </c>
      <c r="D684" t="inlineStr">
        <is>
          <t>NORRBOTTENS LÄN</t>
        </is>
      </c>
      <c r="E684" t="inlineStr">
        <is>
          <t>GÄLLIVARE</t>
        </is>
      </c>
      <c r="G684" t="n">
        <v>7.3</v>
      </c>
      <c r="H684" t="n">
        <v>0</v>
      </c>
      <c r="I684" t="n">
        <v>0</v>
      </c>
      <c r="J684" t="n">
        <v>0</v>
      </c>
      <c r="K684" t="n">
        <v>0</v>
      </c>
      <c r="L684" t="n">
        <v>0</v>
      </c>
      <c r="M684" t="n">
        <v>0</v>
      </c>
      <c r="N684" t="n">
        <v>0</v>
      </c>
      <c r="O684" t="n">
        <v>0</v>
      </c>
      <c r="P684" t="n">
        <v>0</v>
      </c>
      <c r="Q684" t="n">
        <v>0</v>
      </c>
      <c r="R684" s="2" t="inlineStr"/>
    </row>
    <row r="685" ht="15" customHeight="1">
      <c r="A685" t="inlineStr">
        <is>
          <t>A 6268-2024</t>
        </is>
      </c>
      <c r="B685" s="1" t="n">
        <v>45337</v>
      </c>
      <c r="C685" s="1" t="n">
        <v>45700</v>
      </c>
      <c r="D685" t="inlineStr">
        <is>
          <t>NORRBOTTENS LÄN</t>
        </is>
      </c>
      <c r="E685" t="inlineStr">
        <is>
          <t>GÄLLIVARE</t>
        </is>
      </c>
      <c r="G685" t="n">
        <v>10.1</v>
      </c>
      <c r="H685" t="n">
        <v>0</v>
      </c>
      <c r="I685" t="n">
        <v>0</v>
      </c>
      <c r="J685" t="n">
        <v>0</v>
      </c>
      <c r="K685" t="n">
        <v>0</v>
      </c>
      <c r="L685" t="n">
        <v>0</v>
      </c>
      <c r="M685" t="n">
        <v>0</v>
      </c>
      <c r="N685" t="n">
        <v>0</v>
      </c>
      <c r="O685" t="n">
        <v>0</v>
      </c>
      <c r="P685" t="n">
        <v>0</v>
      </c>
      <c r="Q685" t="n">
        <v>0</v>
      </c>
      <c r="R685" s="2" t="inlineStr"/>
    </row>
    <row r="686" ht="15" customHeight="1">
      <c r="A686" t="inlineStr">
        <is>
          <t>A 6272-2024</t>
        </is>
      </c>
      <c r="B686" s="1" t="n">
        <v>45337</v>
      </c>
      <c r="C686" s="1" t="n">
        <v>45700</v>
      </c>
      <c r="D686" t="inlineStr">
        <is>
          <t>NORRBOTTENS LÄN</t>
        </is>
      </c>
      <c r="E686" t="inlineStr">
        <is>
          <t>GÄLLIVARE</t>
        </is>
      </c>
      <c r="G686" t="n">
        <v>5.3</v>
      </c>
      <c r="H686" t="n">
        <v>0</v>
      </c>
      <c r="I686" t="n">
        <v>0</v>
      </c>
      <c r="J686" t="n">
        <v>0</v>
      </c>
      <c r="K686" t="n">
        <v>0</v>
      </c>
      <c r="L686" t="n">
        <v>0</v>
      </c>
      <c r="M686" t="n">
        <v>0</v>
      </c>
      <c r="N686" t="n">
        <v>0</v>
      </c>
      <c r="O686" t="n">
        <v>0</v>
      </c>
      <c r="P686" t="n">
        <v>0</v>
      </c>
      <c r="Q686" t="n">
        <v>0</v>
      </c>
      <c r="R686" s="2" t="inlineStr"/>
    </row>
    <row r="687" ht="15" customHeight="1">
      <c r="A687" t="inlineStr">
        <is>
          <t>A 6271-2024</t>
        </is>
      </c>
      <c r="B687" s="1" t="n">
        <v>45337</v>
      </c>
      <c r="C687" s="1" t="n">
        <v>45700</v>
      </c>
      <c r="D687" t="inlineStr">
        <is>
          <t>NORRBOTTENS LÄN</t>
        </is>
      </c>
      <c r="E687" t="inlineStr">
        <is>
          <t>GÄLLIVARE</t>
        </is>
      </c>
      <c r="G687" t="n">
        <v>14.7</v>
      </c>
      <c r="H687" t="n">
        <v>0</v>
      </c>
      <c r="I687" t="n">
        <v>0</v>
      </c>
      <c r="J687" t="n">
        <v>0</v>
      </c>
      <c r="K687" t="n">
        <v>0</v>
      </c>
      <c r="L687" t="n">
        <v>0</v>
      </c>
      <c r="M687" t="n">
        <v>0</v>
      </c>
      <c r="N687" t="n">
        <v>0</v>
      </c>
      <c r="O687" t="n">
        <v>0</v>
      </c>
      <c r="P687" t="n">
        <v>0</v>
      </c>
      <c r="Q687" t="n">
        <v>0</v>
      </c>
      <c r="R687" s="2" t="inlineStr"/>
    </row>
    <row r="688" ht="15" customHeight="1">
      <c r="A688" t="inlineStr">
        <is>
          <t>A 6621-2024</t>
        </is>
      </c>
      <c r="B688" s="1" t="n">
        <v>45341</v>
      </c>
      <c r="C688" s="1" t="n">
        <v>45700</v>
      </c>
      <c r="D688" t="inlineStr">
        <is>
          <t>NORRBOTTENS LÄN</t>
        </is>
      </c>
      <c r="E688" t="inlineStr">
        <is>
          <t>GÄLLIVARE</t>
        </is>
      </c>
      <c r="G688" t="n">
        <v>0.5</v>
      </c>
      <c r="H688" t="n">
        <v>0</v>
      </c>
      <c r="I688" t="n">
        <v>0</v>
      </c>
      <c r="J688" t="n">
        <v>0</v>
      </c>
      <c r="K688" t="n">
        <v>0</v>
      </c>
      <c r="L688" t="n">
        <v>0</v>
      </c>
      <c r="M688" t="n">
        <v>0</v>
      </c>
      <c r="N688" t="n">
        <v>0</v>
      </c>
      <c r="O688" t="n">
        <v>0</v>
      </c>
      <c r="P688" t="n">
        <v>0</v>
      </c>
      <c r="Q688" t="n">
        <v>0</v>
      </c>
      <c r="R688" s="2" t="inlineStr"/>
    </row>
    <row r="689" ht="15" customHeight="1">
      <c r="A689" t="inlineStr">
        <is>
          <t>A 7197-2024</t>
        </is>
      </c>
      <c r="B689" s="1" t="n">
        <v>45344</v>
      </c>
      <c r="C689" s="1" t="n">
        <v>45700</v>
      </c>
      <c r="D689" t="inlineStr">
        <is>
          <t>NORRBOTTENS LÄN</t>
        </is>
      </c>
      <c r="E689" t="inlineStr">
        <is>
          <t>GÄLLIVARE</t>
        </is>
      </c>
      <c r="G689" t="n">
        <v>4.2</v>
      </c>
      <c r="H689" t="n">
        <v>0</v>
      </c>
      <c r="I689" t="n">
        <v>0</v>
      </c>
      <c r="J689" t="n">
        <v>0</v>
      </c>
      <c r="K689" t="n">
        <v>0</v>
      </c>
      <c r="L689" t="n">
        <v>0</v>
      </c>
      <c r="M689" t="n">
        <v>0</v>
      </c>
      <c r="N689" t="n">
        <v>0</v>
      </c>
      <c r="O689" t="n">
        <v>0</v>
      </c>
      <c r="P689" t="n">
        <v>0</v>
      </c>
      <c r="Q689" t="n">
        <v>0</v>
      </c>
      <c r="R689" s="2" t="inlineStr"/>
    </row>
    <row r="690" ht="15" customHeight="1">
      <c r="A690" t="inlineStr">
        <is>
          <t>A 7242-2024</t>
        </is>
      </c>
      <c r="B690" s="1" t="n">
        <v>45344</v>
      </c>
      <c r="C690" s="1" t="n">
        <v>45700</v>
      </c>
      <c r="D690" t="inlineStr">
        <is>
          <t>NORRBOTTENS LÄN</t>
        </is>
      </c>
      <c r="E690" t="inlineStr">
        <is>
          <t>GÄLLIVARE</t>
        </is>
      </c>
      <c r="G690" t="n">
        <v>11.7</v>
      </c>
      <c r="H690" t="n">
        <v>0</v>
      </c>
      <c r="I690" t="n">
        <v>0</v>
      </c>
      <c r="J690" t="n">
        <v>0</v>
      </c>
      <c r="K690" t="n">
        <v>0</v>
      </c>
      <c r="L690" t="n">
        <v>0</v>
      </c>
      <c r="M690" t="n">
        <v>0</v>
      </c>
      <c r="N690" t="n">
        <v>0</v>
      </c>
      <c r="O690" t="n">
        <v>0</v>
      </c>
      <c r="P690" t="n">
        <v>0</v>
      </c>
      <c r="Q690" t="n">
        <v>0</v>
      </c>
      <c r="R690" s="2" t="inlineStr"/>
    </row>
    <row r="691" ht="15" customHeight="1">
      <c r="A691" t="inlineStr">
        <is>
          <t>A 8352-2024</t>
        </is>
      </c>
      <c r="B691" s="1" t="n">
        <v>45351</v>
      </c>
      <c r="C691" s="1" t="n">
        <v>45700</v>
      </c>
      <c r="D691" t="inlineStr">
        <is>
          <t>NORRBOTTENS LÄN</t>
        </is>
      </c>
      <c r="E691" t="inlineStr">
        <is>
          <t>GÄLLIVARE</t>
        </is>
      </c>
      <c r="G691" t="n">
        <v>5.6</v>
      </c>
      <c r="H691" t="n">
        <v>0</v>
      </c>
      <c r="I691" t="n">
        <v>0</v>
      </c>
      <c r="J691" t="n">
        <v>0</v>
      </c>
      <c r="K691" t="n">
        <v>0</v>
      </c>
      <c r="L691" t="n">
        <v>0</v>
      </c>
      <c r="M691" t="n">
        <v>0</v>
      </c>
      <c r="N691" t="n">
        <v>0</v>
      </c>
      <c r="O691" t="n">
        <v>0</v>
      </c>
      <c r="P691" t="n">
        <v>0</v>
      </c>
      <c r="Q691" t="n">
        <v>0</v>
      </c>
      <c r="R691" s="2" t="inlineStr"/>
    </row>
    <row r="692" ht="15" customHeight="1">
      <c r="A692" t="inlineStr">
        <is>
          <t>A 8359-2024</t>
        </is>
      </c>
      <c r="B692" s="1" t="n">
        <v>45351</v>
      </c>
      <c r="C692" s="1" t="n">
        <v>45700</v>
      </c>
      <c r="D692" t="inlineStr">
        <is>
          <t>NORRBOTTENS LÄN</t>
        </is>
      </c>
      <c r="E692" t="inlineStr">
        <is>
          <t>GÄLLIVARE</t>
        </is>
      </c>
      <c r="G692" t="n">
        <v>7.8</v>
      </c>
      <c r="H692" t="n">
        <v>0</v>
      </c>
      <c r="I692" t="n">
        <v>0</v>
      </c>
      <c r="J692" t="n">
        <v>0</v>
      </c>
      <c r="K692" t="n">
        <v>0</v>
      </c>
      <c r="L692" t="n">
        <v>0</v>
      </c>
      <c r="M692" t="n">
        <v>0</v>
      </c>
      <c r="N692" t="n">
        <v>0</v>
      </c>
      <c r="O692" t="n">
        <v>0</v>
      </c>
      <c r="P692" t="n">
        <v>0</v>
      </c>
      <c r="Q692" t="n">
        <v>0</v>
      </c>
      <c r="R692" s="2" t="inlineStr"/>
    </row>
    <row r="693" ht="15" customHeight="1">
      <c r="A693" t="inlineStr">
        <is>
          <t>A 8348-2024</t>
        </is>
      </c>
      <c r="B693" s="1" t="n">
        <v>45351</v>
      </c>
      <c r="C693" s="1" t="n">
        <v>45700</v>
      </c>
      <c r="D693" t="inlineStr">
        <is>
          <t>NORRBOTTENS LÄN</t>
        </is>
      </c>
      <c r="E693" t="inlineStr">
        <is>
          <t>GÄLLIVARE</t>
        </is>
      </c>
      <c r="G693" t="n">
        <v>2.7</v>
      </c>
      <c r="H693" t="n">
        <v>0</v>
      </c>
      <c r="I693" t="n">
        <v>0</v>
      </c>
      <c r="J693" t="n">
        <v>0</v>
      </c>
      <c r="K693" t="n">
        <v>0</v>
      </c>
      <c r="L693" t="n">
        <v>0</v>
      </c>
      <c r="M693" t="n">
        <v>0</v>
      </c>
      <c r="N693" t="n">
        <v>0</v>
      </c>
      <c r="O693" t="n">
        <v>0</v>
      </c>
      <c r="P693" t="n">
        <v>0</v>
      </c>
      <c r="Q693" t="n">
        <v>0</v>
      </c>
      <c r="R693" s="2" t="inlineStr"/>
    </row>
    <row r="694" ht="15" customHeight="1">
      <c r="A694" t="inlineStr">
        <is>
          <t>A 8937-2024</t>
        </is>
      </c>
      <c r="B694" s="1" t="n">
        <v>45357</v>
      </c>
      <c r="C694" s="1" t="n">
        <v>45700</v>
      </c>
      <c r="D694" t="inlineStr">
        <is>
          <t>NORRBOTTENS LÄN</t>
        </is>
      </c>
      <c r="E694" t="inlineStr">
        <is>
          <t>GÄLLIVARE</t>
        </is>
      </c>
      <c r="G694" t="n">
        <v>1.9</v>
      </c>
      <c r="H694" t="n">
        <v>0</v>
      </c>
      <c r="I694" t="n">
        <v>0</v>
      </c>
      <c r="J694" t="n">
        <v>0</v>
      </c>
      <c r="K694" t="n">
        <v>0</v>
      </c>
      <c r="L694" t="n">
        <v>0</v>
      </c>
      <c r="M694" t="n">
        <v>0</v>
      </c>
      <c r="N694" t="n">
        <v>0</v>
      </c>
      <c r="O694" t="n">
        <v>0</v>
      </c>
      <c r="P694" t="n">
        <v>0</v>
      </c>
      <c r="Q694" t="n">
        <v>0</v>
      </c>
      <c r="R694" s="2" t="inlineStr"/>
    </row>
    <row r="695" ht="15" customHeight="1">
      <c r="A695" t="inlineStr">
        <is>
          <t>A 9650-2024</t>
        </is>
      </c>
      <c r="B695" s="1" t="n">
        <v>45362</v>
      </c>
      <c r="C695" s="1" t="n">
        <v>45700</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9655-2024</t>
        </is>
      </c>
      <c r="B696" s="1" t="n">
        <v>45362</v>
      </c>
      <c r="C696" s="1" t="n">
        <v>45700</v>
      </c>
      <c r="D696" t="inlineStr">
        <is>
          <t>NORRBOTTENS LÄN</t>
        </is>
      </c>
      <c r="E696" t="inlineStr">
        <is>
          <t>GÄLLIVARE</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10219-2024</t>
        </is>
      </c>
      <c r="B697" s="1" t="n">
        <v>45364</v>
      </c>
      <c r="C697" s="1" t="n">
        <v>45700</v>
      </c>
      <c r="D697" t="inlineStr">
        <is>
          <t>NORRBOTTENS LÄN</t>
        </is>
      </c>
      <c r="E697" t="inlineStr">
        <is>
          <t>GÄLLIVARE</t>
        </is>
      </c>
      <c r="F697" t="inlineStr">
        <is>
          <t>SCA</t>
        </is>
      </c>
      <c r="G697" t="n">
        <v>16.5</v>
      </c>
      <c r="H697" t="n">
        <v>0</v>
      </c>
      <c r="I697" t="n">
        <v>0</v>
      </c>
      <c r="J697" t="n">
        <v>0</v>
      </c>
      <c r="K697" t="n">
        <v>0</v>
      </c>
      <c r="L697" t="n">
        <v>0</v>
      </c>
      <c r="M697" t="n">
        <v>0</v>
      </c>
      <c r="N697" t="n">
        <v>0</v>
      </c>
      <c r="O697" t="n">
        <v>0</v>
      </c>
      <c r="P697" t="n">
        <v>0</v>
      </c>
      <c r="Q697" t="n">
        <v>0</v>
      </c>
      <c r="R697" s="2" t="inlineStr"/>
    </row>
    <row r="698" ht="15" customHeight="1">
      <c r="A698" t="inlineStr">
        <is>
          <t>A 11335-2024</t>
        </is>
      </c>
      <c r="B698" s="1" t="n">
        <v>45372</v>
      </c>
      <c r="C698" s="1" t="n">
        <v>45700</v>
      </c>
      <c r="D698" t="inlineStr">
        <is>
          <t>NORRBOTTENS LÄN</t>
        </is>
      </c>
      <c r="E698" t="inlineStr">
        <is>
          <t>GÄLLIVARE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12202-2024</t>
        </is>
      </c>
      <c r="B699" s="1" t="n">
        <v>45377</v>
      </c>
      <c r="C699" s="1" t="n">
        <v>45700</v>
      </c>
      <c r="D699" t="inlineStr">
        <is>
          <t>NORRBOTTENS LÄN</t>
        </is>
      </c>
      <c r="E699" t="inlineStr">
        <is>
          <t>GÄLLIVARE</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12222-2024</t>
        </is>
      </c>
      <c r="B700" s="1" t="n">
        <v>45378</v>
      </c>
      <c r="C700" s="1" t="n">
        <v>45700</v>
      </c>
      <c r="D700" t="inlineStr">
        <is>
          <t>NORRBOTTENS LÄN</t>
        </is>
      </c>
      <c r="E700" t="inlineStr">
        <is>
          <t>GÄLLIVARE</t>
        </is>
      </c>
      <c r="F700" t="inlineStr">
        <is>
          <t>Sveaskog</t>
        </is>
      </c>
      <c r="G700" t="n">
        <v>40.8</v>
      </c>
      <c r="H700" t="n">
        <v>0</v>
      </c>
      <c r="I700" t="n">
        <v>0</v>
      </c>
      <c r="J700" t="n">
        <v>0</v>
      </c>
      <c r="K700" t="n">
        <v>0</v>
      </c>
      <c r="L700" t="n">
        <v>0</v>
      </c>
      <c r="M700" t="n">
        <v>0</v>
      </c>
      <c r="N700" t="n">
        <v>0</v>
      </c>
      <c r="O700" t="n">
        <v>0</v>
      </c>
      <c r="P700" t="n">
        <v>0</v>
      </c>
      <c r="Q700" t="n">
        <v>0</v>
      </c>
      <c r="R700" s="2" t="inlineStr"/>
    </row>
    <row r="701" ht="15" customHeight="1">
      <c r="A701" t="inlineStr">
        <is>
          <t>A 12510-2024</t>
        </is>
      </c>
      <c r="B701" s="1" t="n">
        <v>45379</v>
      </c>
      <c r="C701" s="1" t="n">
        <v>45700</v>
      </c>
      <c r="D701" t="inlineStr">
        <is>
          <t>NORRBOTTENS LÄN</t>
        </is>
      </c>
      <c r="E701" t="inlineStr">
        <is>
          <t>GÄLLIVARE</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12517-2024</t>
        </is>
      </c>
      <c r="B702" s="1" t="n">
        <v>45379</v>
      </c>
      <c r="C702" s="1" t="n">
        <v>45700</v>
      </c>
      <c r="D702" t="inlineStr">
        <is>
          <t>NORRBOTTENS LÄN</t>
        </is>
      </c>
      <c r="E702" t="inlineStr">
        <is>
          <t>GÄLLIVARE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12516-2024</t>
        </is>
      </c>
      <c r="B703" s="1" t="n">
        <v>45379</v>
      </c>
      <c r="C703" s="1" t="n">
        <v>45700</v>
      </c>
      <c r="D703" t="inlineStr">
        <is>
          <t>NORRBOTTENS LÄN</t>
        </is>
      </c>
      <c r="E703" t="inlineStr">
        <is>
          <t>GÄLLIVARE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14999-2024</t>
        </is>
      </c>
      <c r="B704" s="1" t="n">
        <v>45399</v>
      </c>
      <c r="C704" s="1" t="n">
        <v>45700</v>
      </c>
      <c r="D704" t="inlineStr">
        <is>
          <t>NORRBOTTENS LÄN</t>
        </is>
      </c>
      <c r="E704" t="inlineStr">
        <is>
          <t>GÄLLIVARE</t>
        </is>
      </c>
      <c r="G704" t="n">
        <v>12.5</v>
      </c>
      <c r="H704" t="n">
        <v>0</v>
      </c>
      <c r="I704" t="n">
        <v>0</v>
      </c>
      <c r="J704" t="n">
        <v>0</v>
      </c>
      <c r="K704" t="n">
        <v>0</v>
      </c>
      <c r="L704" t="n">
        <v>0</v>
      </c>
      <c r="M704" t="n">
        <v>0</v>
      </c>
      <c r="N704" t="n">
        <v>0</v>
      </c>
      <c r="O704" t="n">
        <v>0</v>
      </c>
      <c r="P704" t="n">
        <v>0</v>
      </c>
      <c r="Q704" t="n">
        <v>0</v>
      </c>
      <c r="R704" s="2" t="inlineStr"/>
    </row>
    <row r="705" ht="15" customHeight="1">
      <c r="A705" t="inlineStr">
        <is>
          <t>A 15373-2024</t>
        </is>
      </c>
      <c r="B705" s="1" t="n">
        <v>45400</v>
      </c>
      <c r="C705" s="1" t="n">
        <v>45700</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16127-2024</t>
        </is>
      </c>
      <c r="B706" s="1" t="n">
        <v>45406</v>
      </c>
      <c r="C706" s="1" t="n">
        <v>45700</v>
      </c>
      <c r="D706" t="inlineStr">
        <is>
          <t>NORRBOTTENS LÄN</t>
        </is>
      </c>
      <c r="E706" t="inlineStr">
        <is>
          <t>GÄLLIVARE</t>
        </is>
      </c>
      <c r="G706" t="n">
        <v>4.6</v>
      </c>
      <c r="H706" t="n">
        <v>0</v>
      </c>
      <c r="I706" t="n">
        <v>0</v>
      </c>
      <c r="J706" t="n">
        <v>0</v>
      </c>
      <c r="K706" t="n">
        <v>0</v>
      </c>
      <c r="L706" t="n">
        <v>0</v>
      </c>
      <c r="M706" t="n">
        <v>0</v>
      </c>
      <c r="N706" t="n">
        <v>0</v>
      </c>
      <c r="O706" t="n">
        <v>0</v>
      </c>
      <c r="P706" t="n">
        <v>0</v>
      </c>
      <c r="Q706" t="n">
        <v>0</v>
      </c>
      <c r="R706" s="2" t="inlineStr"/>
    </row>
    <row r="707" ht="15" customHeight="1">
      <c r="A707" t="inlineStr">
        <is>
          <t>A 16461-2024</t>
        </is>
      </c>
      <c r="B707" s="1" t="n">
        <v>45408</v>
      </c>
      <c r="C707" s="1" t="n">
        <v>45700</v>
      </c>
      <c r="D707" t="inlineStr">
        <is>
          <t>NORRBOTTENS LÄN</t>
        </is>
      </c>
      <c r="E707" t="inlineStr">
        <is>
          <t>GÄLLIVARE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16473-2024</t>
        </is>
      </c>
      <c r="B708" s="1" t="n">
        <v>45408</v>
      </c>
      <c r="C708" s="1" t="n">
        <v>45700</v>
      </c>
      <c r="D708" t="inlineStr">
        <is>
          <t>NORRBOTTENS LÄN</t>
        </is>
      </c>
      <c r="E708" t="inlineStr">
        <is>
          <t>GÄLLIVARE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16851-2024</t>
        </is>
      </c>
      <c r="B709" s="1" t="n">
        <v>45411</v>
      </c>
      <c r="C709" s="1" t="n">
        <v>45700</v>
      </c>
      <c r="D709" t="inlineStr">
        <is>
          <t>NORRBOTTENS LÄN</t>
        </is>
      </c>
      <c r="E709" t="inlineStr">
        <is>
          <t>GÄLLIVARE</t>
        </is>
      </c>
      <c r="G709" t="n">
        <v>11.9</v>
      </c>
      <c r="H709" t="n">
        <v>0</v>
      </c>
      <c r="I709" t="n">
        <v>0</v>
      </c>
      <c r="J709" t="n">
        <v>0</v>
      </c>
      <c r="K709" t="n">
        <v>0</v>
      </c>
      <c r="L709" t="n">
        <v>0</v>
      </c>
      <c r="M709" t="n">
        <v>0</v>
      </c>
      <c r="N709" t="n">
        <v>0</v>
      </c>
      <c r="O709" t="n">
        <v>0</v>
      </c>
      <c r="P709" t="n">
        <v>0</v>
      </c>
      <c r="Q709" t="n">
        <v>0</v>
      </c>
      <c r="R709" s="2" t="inlineStr"/>
    </row>
    <row r="710" ht="15" customHeight="1">
      <c r="A710" t="inlineStr">
        <is>
          <t>A 17205-2024</t>
        </is>
      </c>
      <c r="B710" s="1" t="n">
        <v>45413</v>
      </c>
      <c r="C710" s="1" t="n">
        <v>45700</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17201-2024</t>
        </is>
      </c>
      <c r="B711" s="1" t="n">
        <v>45413</v>
      </c>
      <c r="C711" s="1" t="n">
        <v>45700</v>
      </c>
      <c r="D711" t="inlineStr">
        <is>
          <t>NORRBOTTENS LÄN</t>
        </is>
      </c>
      <c r="E711" t="inlineStr">
        <is>
          <t>GÄLLIVARE</t>
        </is>
      </c>
      <c r="G711" t="n">
        <v>3.1</v>
      </c>
      <c r="H711" t="n">
        <v>0</v>
      </c>
      <c r="I711" t="n">
        <v>0</v>
      </c>
      <c r="J711" t="n">
        <v>0</v>
      </c>
      <c r="K711" t="n">
        <v>0</v>
      </c>
      <c r="L711" t="n">
        <v>0</v>
      </c>
      <c r="M711" t="n">
        <v>0</v>
      </c>
      <c r="N711" t="n">
        <v>0</v>
      </c>
      <c r="O711" t="n">
        <v>0</v>
      </c>
      <c r="P711" t="n">
        <v>0</v>
      </c>
      <c r="Q711" t="n">
        <v>0</v>
      </c>
      <c r="R711" s="2" t="inlineStr"/>
    </row>
    <row r="712" ht="15" customHeight="1">
      <c r="A712" t="inlineStr">
        <is>
          <t>A 17204-2024</t>
        </is>
      </c>
      <c r="B712" s="1" t="n">
        <v>45413</v>
      </c>
      <c r="C712" s="1" t="n">
        <v>45700</v>
      </c>
      <c r="D712" t="inlineStr">
        <is>
          <t>NORRBOTTENS LÄN</t>
        </is>
      </c>
      <c r="E712" t="inlineStr">
        <is>
          <t>GÄLLIVARE</t>
        </is>
      </c>
      <c r="G712" t="n">
        <v>2.6</v>
      </c>
      <c r="H712" t="n">
        <v>0</v>
      </c>
      <c r="I712" t="n">
        <v>0</v>
      </c>
      <c r="J712" t="n">
        <v>0</v>
      </c>
      <c r="K712" t="n">
        <v>0</v>
      </c>
      <c r="L712" t="n">
        <v>0</v>
      </c>
      <c r="M712" t="n">
        <v>0</v>
      </c>
      <c r="N712" t="n">
        <v>0</v>
      </c>
      <c r="O712" t="n">
        <v>0</v>
      </c>
      <c r="P712" t="n">
        <v>0</v>
      </c>
      <c r="Q712" t="n">
        <v>0</v>
      </c>
      <c r="R712" s="2" t="inlineStr"/>
    </row>
    <row r="713" ht="15" customHeight="1">
      <c r="A713" t="inlineStr">
        <is>
          <t>A 17203-2024</t>
        </is>
      </c>
      <c r="B713" s="1" t="n">
        <v>45413</v>
      </c>
      <c r="C713" s="1" t="n">
        <v>45700</v>
      </c>
      <c r="D713" t="inlineStr">
        <is>
          <t>NORRBOTTENS LÄN</t>
        </is>
      </c>
      <c r="E713" t="inlineStr">
        <is>
          <t>GÄLLIVARE</t>
        </is>
      </c>
      <c r="G713" t="n">
        <v>1.6</v>
      </c>
      <c r="H713" t="n">
        <v>0</v>
      </c>
      <c r="I713" t="n">
        <v>0</v>
      </c>
      <c r="J713" t="n">
        <v>0</v>
      </c>
      <c r="K713" t="n">
        <v>0</v>
      </c>
      <c r="L713" t="n">
        <v>0</v>
      </c>
      <c r="M713" t="n">
        <v>0</v>
      </c>
      <c r="N713" t="n">
        <v>0</v>
      </c>
      <c r="O713" t="n">
        <v>0</v>
      </c>
      <c r="P713" t="n">
        <v>0</v>
      </c>
      <c r="Q713" t="n">
        <v>0</v>
      </c>
      <c r="R713" s="2" t="inlineStr"/>
    </row>
    <row r="714" ht="15" customHeight="1">
      <c r="A714" t="inlineStr">
        <is>
          <t>A 17202-2024</t>
        </is>
      </c>
      <c r="B714" s="1" t="n">
        <v>45413</v>
      </c>
      <c r="C714" s="1" t="n">
        <v>45700</v>
      </c>
      <c r="D714" t="inlineStr">
        <is>
          <t>NORRBOTTENS LÄN</t>
        </is>
      </c>
      <c r="E714" t="inlineStr">
        <is>
          <t>GÄLLIVARE</t>
        </is>
      </c>
      <c r="G714" t="n">
        <v>1.6</v>
      </c>
      <c r="H714" t="n">
        <v>0</v>
      </c>
      <c r="I714" t="n">
        <v>0</v>
      </c>
      <c r="J714" t="n">
        <v>0</v>
      </c>
      <c r="K714" t="n">
        <v>0</v>
      </c>
      <c r="L714" t="n">
        <v>0</v>
      </c>
      <c r="M714" t="n">
        <v>0</v>
      </c>
      <c r="N714" t="n">
        <v>0</v>
      </c>
      <c r="O714" t="n">
        <v>0</v>
      </c>
      <c r="P714" t="n">
        <v>0</v>
      </c>
      <c r="Q714" t="n">
        <v>0</v>
      </c>
      <c r="R714" s="2" t="inlineStr"/>
    </row>
    <row r="715" ht="15" customHeight="1">
      <c r="A715" t="inlineStr">
        <is>
          <t>A 17418-2024</t>
        </is>
      </c>
      <c r="B715" s="1" t="n">
        <v>45414</v>
      </c>
      <c r="C715" s="1" t="n">
        <v>45700</v>
      </c>
      <c r="D715" t="inlineStr">
        <is>
          <t>NORRBOTTENS LÄN</t>
        </is>
      </c>
      <c r="E715" t="inlineStr">
        <is>
          <t>GÄLLIVARE</t>
        </is>
      </c>
      <c r="F715" t="inlineStr">
        <is>
          <t>SCA</t>
        </is>
      </c>
      <c r="G715" t="n">
        <v>48.6</v>
      </c>
      <c r="H715" t="n">
        <v>0</v>
      </c>
      <c r="I715" t="n">
        <v>0</v>
      </c>
      <c r="J715" t="n">
        <v>0</v>
      </c>
      <c r="K715" t="n">
        <v>0</v>
      </c>
      <c r="L715" t="n">
        <v>0</v>
      </c>
      <c r="M715" t="n">
        <v>0</v>
      </c>
      <c r="N715" t="n">
        <v>0</v>
      </c>
      <c r="O715" t="n">
        <v>0</v>
      </c>
      <c r="P715" t="n">
        <v>0</v>
      </c>
      <c r="Q715" t="n">
        <v>0</v>
      </c>
      <c r="R715" s="2" t="inlineStr"/>
    </row>
    <row r="716" ht="15" customHeight="1">
      <c r="A716" t="inlineStr">
        <is>
          <t>A 17575-2024</t>
        </is>
      </c>
      <c r="B716" s="1" t="n">
        <v>45415</v>
      </c>
      <c r="C716" s="1" t="n">
        <v>45700</v>
      </c>
      <c r="D716" t="inlineStr">
        <is>
          <t>NORRBOTTENS LÄN</t>
        </is>
      </c>
      <c r="E716" t="inlineStr">
        <is>
          <t>GÄLLIVARE</t>
        </is>
      </c>
      <c r="G716" t="n">
        <v>22.6</v>
      </c>
      <c r="H716" t="n">
        <v>0</v>
      </c>
      <c r="I716" t="n">
        <v>0</v>
      </c>
      <c r="J716" t="n">
        <v>0</v>
      </c>
      <c r="K716" t="n">
        <v>0</v>
      </c>
      <c r="L716" t="n">
        <v>0</v>
      </c>
      <c r="M716" t="n">
        <v>0</v>
      </c>
      <c r="N716" t="n">
        <v>0</v>
      </c>
      <c r="O716" t="n">
        <v>0</v>
      </c>
      <c r="P716" t="n">
        <v>0</v>
      </c>
      <c r="Q716" t="n">
        <v>0</v>
      </c>
      <c r="R716" s="2" t="inlineStr"/>
    </row>
    <row r="717" ht="15" customHeight="1">
      <c r="A717" t="inlineStr">
        <is>
          <t>A 17802-2024</t>
        </is>
      </c>
      <c r="B717" s="1" t="n">
        <v>45418</v>
      </c>
      <c r="C717" s="1" t="n">
        <v>45700</v>
      </c>
      <c r="D717" t="inlineStr">
        <is>
          <t>NORRBOTTENS LÄN</t>
        </is>
      </c>
      <c r="E717" t="inlineStr">
        <is>
          <t>GÄLLIVARE</t>
        </is>
      </c>
      <c r="G717" t="n">
        <v>12.7</v>
      </c>
      <c r="H717" t="n">
        <v>0</v>
      </c>
      <c r="I717" t="n">
        <v>0</v>
      </c>
      <c r="J717" t="n">
        <v>0</v>
      </c>
      <c r="K717" t="n">
        <v>0</v>
      </c>
      <c r="L717" t="n">
        <v>0</v>
      </c>
      <c r="M717" t="n">
        <v>0</v>
      </c>
      <c r="N717" t="n">
        <v>0</v>
      </c>
      <c r="O717" t="n">
        <v>0</v>
      </c>
      <c r="P717" t="n">
        <v>0</v>
      </c>
      <c r="Q717" t="n">
        <v>0</v>
      </c>
      <c r="R717" s="2" t="inlineStr"/>
    </row>
    <row r="718" ht="15" customHeight="1">
      <c r="A718" t="inlineStr">
        <is>
          <t>A 18222-2024</t>
        </is>
      </c>
      <c r="B718" s="1" t="n">
        <v>45420</v>
      </c>
      <c r="C718" s="1" t="n">
        <v>45700</v>
      </c>
      <c r="D718" t="inlineStr">
        <is>
          <t>NORRBOTTENS LÄN</t>
        </is>
      </c>
      <c r="E718" t="inlineStr">
        <is>
          <t>GÄLLIVARE</t>
        </is>
      </c>
      <c r="G718" t="n">
        <v>0.7</v>
      </c>
      <c r="H718" t="n">
        <v>0</v>
      </c>
      <c r="I718" t="n">
        <v>0</v>
      </c>
      <c r="J718" t="n">
        <v>0</v>
      </c>
      <c r="K718" t="n">
        <v>0</v>
      </c>
      <c r="L718" t="n">
        <v>0</v>
      </c>
      <c r="M718" t="n">
        <v>0</v>
      </c>
      <c r="N718" t="n">
        <v>0</v>
      </c>
      <c r="O718" t="n">
        <v>0</v>
      </c>
      <c r="P718" t="n">
        <v>0</v>
      </c>
      <c r="Q718" t="n">
        <v>0</v>
      </c>
      <c r="R718" s="2" t="inlineStr"/>
    </row>
    <row r="719" ht="15" customHeight="1">
      <c r="A719" t="inlineStr">
        <is>
          <t>A 18730-2024</t>
        </is>
      </c>
      <c r="B719" s="1" t="n">
        <v>45426</v>
      </c>
      <c r="C719" s="1" t="n">
        <v>45700</v>
      </c>
      <c r="D719" t="inlineStr">
        <is>
          <t>NORRBOTTENS LÄN</t>
        </is>
      </c>
      <c r="E719" t="inlineStr">
        <is>
          <t>GÄLLIVARE</t>
        </is>
      </c>
      <c r="G719" t="n">
        <v>3.3</v>
      </c>
      <c r="H719" t="n">
        <v>0</v>
      </c>
      <c r="I719" t="n">
        <v>0</v>
      </c>
      <c r="J719" t="n">
        <v>0</v>
      </c>
      <c r="K719" t="n">
        <v>0</v>
      </c>
      <c r="L719" t="n">
        <v>0</v>
      </c>
      <c r="M719" t="n">
        <v>0</v>
      </c>
      <c r="N719" t="n">
        <v>0</v>
      </c>
      <c r="O719" t="n">
        <v>0</v>
      </c>
      <c r="P719" t="n">
        <v>0</v>
      </c>
      <c r="Q719" t="n">
        <v>0</v>
      </c>
      <c r="R719" s="2" t="inlineStr"/>
    </row>
    <row r="720" ht="15" customHeight="1">
      <c r="A720" t="inlineStr">
        <is>
          <t>A 19798-2024</t>
        </is>
      </c>
      <c r="B720" s="1" t="n">
        <v>45432</v>
      </c>
      <c r="C720" s="1" t="n">
        <v>45700</v>
      </c>
      <c r="D720" t="inlineStr">
        <is>
          <t>NORRBOTTENS LÄN</t>
        </is>
      </c>
      <c r="E720" t="inlineStr">
        <is>
          <t>GÄLLIVARE</t>
        </is>
      </c>
      <c r="G720" t="n">
        <v>2</v>
      </c>
      <c r="H720" t="n">
        <v>0</v>
      </c>
      <c r="I720" t="n">
        <v>0</v>
      </c>
      <c r="J720" t="n">
        <v>0</v>
      </c>
      <c r="K720" t="n">
        <v>0</v>
      </c>
      <c r="L720" t="n">
        <v>0</v>
      </c>
      <c r="M720" t="n">
        <v>0</v>
      </c>
      <c r="N720" t="n">
        <v>0</v>
      </c>
      <c r="O720" t="n">
        <v>0</v>
      </c>
      <c r="P720" t="n">
        <v>0</v>
      </c>
      <c r="Q720" t="n">
        <v>0</v>
      </c>
      <c r="R720" s="2" t="inlineStr"/>
    </row>
    <row r="721" ht="15" customHeight="1">
      <c r="A721" t="inlineStr">
        <is>
          <t>A 21033-2024</t>
        </is>
      </c>
      <c r="B721" s="1" t="n">
        <v>45439</v>
      </c>
      <c r="C721" s="1" t="n">
        <v>45700</v>
      </c>
      <c r="D721" t="inlineStr">
        <is>
          <t>NORRBOTTENS LÄN</t>
        </is>
      </c>
      <c r="E721" t="inlineStr">
        <is>
          <t>GÄLLIVARE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21912-2024</t>
        </is>
      </c>
      <c r="B722" s="1" t="n">
        <v>45443</v>
      </c>
      <c r="C722" s="1" t="n">
        <v>45700</v>
      </c>
      <c r="D722" t="inlineStr">
        <is>
          <t>NORRBOTTENS LÄN</t>
        </is>
      </c>
      <c r="E722" t="inlineStr">
        <is>
          <t>GÄLLIVARE</t>
        </is>
      </c>
      <c r="F722" t="inlineStr">
        <is>
          <t>Sveaskog</t>
        </is>
      </c>
      <c r="G722" t="n">
        <v>25.2</v>
      </c>
      <c r="H722" t="n">
        <v>0</v>
      </c>
      <c r="I722" t="n">
        <v>0</v>
      </c>
      <c r="J722" t="n">
        <v>0</v>
      </c>
      <c r="K722" t="n">
        <v>0</v>
      </c>
      <c r="L722" t="n">
        <v>0</v>
      </c>
      <c r="M722" t="n">
        <v>0</v>
      </c>
      <c r="N722" t="n">
        <v>0</v>
      </c>
      <c r="O722" t="n">
        <v>0</v>
      </c>
      <c r="P722" t="n">
        <v>0</v>
      </c>
      <c r="Q722" t="n">
        <v>0</v>
      </c>
      <c r="R722" s="2" t="inlineStr"/>
    </row>
    <row r="723" ht="15" customHeight="1">
      <c r="A723" t="inlineStr">
        <is>
          <t>A 23110-2024</t>
        </is>
      </c>
      <c r="B723" s="1" t="n">
        <v>45450</v>
      </c>
      <c r="C723" s="1" t="n">
        <v>45700</v>
      </c>
      <c r="D723" t="inlineStr">
        <is>
          <t>NORRBOTTENS LÄN</t>
        </is>
      </c>
      <c r="E723" t="inlineStr">
        <is>
          <t>GÄLLIVARE</t>
        </is>
      </c>
      <c r="F723" t="inlineStr">
        <is>
          <t>Sveaskog</t>
        </is>
      </c>
      <c r="G723" t="n">
        <v>22.6</v>
      </c>
      <c r="H723" t="n">
        <v>0</v>
      </c>
      <c r="I723" t="n">
        <v>0</v>
      </c>
      <c r="J723" t="n">
        <v>0</v>
      </c>
      <c r="K723" t="n">
        <v>0</v>
      </c>
      <c r="L723" t="n">
        <v>0</v>
      </c>
      <c r="M723" t="n">
        <v>0</v>
      </c>
      <c r="N723" t="n">
        <v>0</v>
      </c>
      <c r="O723" t="n">
        <v>0</v>
      </c>
      <c r="P723" t="n">
        <v>0</v>
      </c>
      <c r="Q723" t="n">
        <v>0</v>
      </c>
      <c r="R723" s="2" t="inlineStr"/>
    </row>
    <row r="724" ht="15" customHeight="1">
      <c r="A724" t="inlineStr">
        <is>
          <t>A 23478-2024</t>
        </is>
      </c>
      <c r="B724" s="1" t="n">
        <v>45453</v>
      </c>
      <c r="C724" s="1" t="n">
        <v>45700</v>
      </c>
      <c r="D724" t="inlineStr">
        <is>
          <t>NORRBOTTENS LÄN</t>
        </is>
      </c>
      <c r="E724" t="inlineStr">
        <is>
          <t>GÄLLIVARE</t>
        </is>
      </c>
      <c r="F724" t="inlineStr">
        <is>
          <t>SCA</t>
        </is>
      </c>
      <c r="G724" t="n">
        <v>23.3</v>
      </c>
      <c r="H724" t="n">
        <v>0</v>
      </c>
      <c r="I724" t="n">
        <v>0</v>
      </c>
      <c r="J724" t="n">
        <v>0</v>
      </c>
      <c r="K724" t="n">
        <v>0</v>
      </c>
      <c r="L724" t="n">
        <v>0</v>
      </c>
      <c r="M724" t="n">
        <v>0</v>
      </c>
      <c r="N724" t="n">
        <v>0</v>
      </c>
      <c r="O724" t="n">
        <v>0</v>
      </c>
      <c r="P724" t="n">
        <v>0</v>
      </c>
      <c r="Q724" t="n">
        <v>0</v>
      </c>
      <c r="R724" s="2" t="inlineStr"/>
    </row>
    <row r="725" ht="15" customHeight="1">
      <c r="A725" t="inlineStr">
        <is>
          <t>A 23398-2024</t>
        </is>
      </c>
      <c r="B725" s="1" t="n">
        <v>45453</v>
      </c>
      <c r="C725" s="1" t="n">
        <v>45700</v>
      </c>
      <c r="D725" t="inlineStr">
        <is>
          <t>NORRBOTTENS LÄN</t>
        </is>
      </c>
      <c r="E725" t="inlineStr">
        <is>
          <t>GÄLLIVARE</t>
        </is>
      </c>
      <c r="F725" t="inlineStr">
        <is>
          <t>Allmännings- och besparingsskogar</t>
        </is>
      </c>
      <c r="G725" t="n">
        <v>12.3</v>
      </c>
      <c r="H725" t="n">
        <v>0</v>
      </c>
      <c r="I725" t="n">
        <v>0</v>
      </c>
      <c r="J725" t="n">
        <v>0</v>
      </c>
      <c r="K725" t="n">
        <v>0</v>
      </c>
      <c r="L725" t="n">
        <v>0</v>
      </c>
      <c r="M725" t="n">
        <v>0</v>
      </c>
      <c r="N725" t="n">
        <v>0</v>
      </c>
      <c r="O725" t="n">
        <v>0</v>
      </c>
      <c r="P725" t="n">
        <v>0</v>
      </c>
      <c r="Q725" t="n">
        <v>0</v>
      </c>
      <c r="R725" s="2" t="inlineStr"/>
    </row>
    <row r="726" ht="15" customHeight="1">
      <c r="A726" t="inlineStr">
        <is>
          <t>A 23357-2024</t>
        </is>
      </c>
      <c r="B726" s="1" t="n">
        <v>45453</v>
      </c>
      <c r="C726" s="1" t="n">
        <v>45700</v>
      </c>
      <c r="D726" t="inlineStr">
        <is>
          <t>NORRBOTTENS LÄN</t>
        </is>
      </c>
      <c r="E726" t="inlineStr">
        <is>
          <t>GÄLLIVARE</t>
        </is>
      </c>
      <c r="F726" t="inlineStr">
        <is>
          <t>Allmännings- och besparingsskogar</t>
        </is>
      </c>
      <c r="G726" t="n">
        <v>16.5</v>
      </c>
      <c r="H726" t="n">
        <v>0</v>
      </c>
      <c r="I726" t="n">
        <v>0</v>
      </c>
      <c r="J726" t="n">
        <v>0</v>
      </c>
      <c r="K726" t="n">
        <v>0</v>
      </c>
      <c r="L726" t="n">
        <v>0</v>
      </c>
      <c r="M726" t="n">
        <v>0</v>
      </c>
      <c r="N726" t="n">
        <v>0</v>
      </c>
      <c r="O726" t="n">
        <v>0</v>
      </c>
      <c r="P726" t="n">
        <v>0</v>
      </c>
      <c r="Q726" t="n">
        <v>0</v>
      </c>
      <c r="R726" s="2" t="inlineStr"/>
    </row>
    <row r="727" ht="15" customHeight="1">
      <c r="A727" t="inlineStr">
        <is>
          <t>A 23484-2024</t>
        </is>
      </c>
      <c r="B727" s="1" t="n">
        <v>45453</v>
      </c>
      <c r="C727" s="1" t="n">
        <v>45700</v>
      </c>
      <c r="D727" t="inlineStr">
        <is>
          <t>NORRBOTTENS LÄN</t>
        </is>
      </c>
      <c r="E727" t="inlineStr">
        <is>
          <t>GÄLLIVARE</t>
        </is>
      </c>
      <c r="F727" t="inlineStr">
        <is>
          <t>SCA</t>
        </is>
      </c>
      <c r="G727" t="n">
        <v>22.4</v>
      </c>
      <c r="H727" t="n">
        <v>0</v>
      </c>
      <c r="I727" t="n">
        <v>0</v>
      </c>
      <c r="J727" t="n">
        <v>0</v>
      </c>
      <c r="K727" t="n">
        <v>0</v>
      </c>
      <c r="L727" t="n">
        <v>0</v>
      </c>
      <c r="M727" t="n">
        <v>0</v>
      </c>
      <c r="N727" t="n">
        <v>0</v>
      </c>
      <c r="O727" t="n">
        <v>0</v>
      </c>
      <c r="P727" t="n">
        <v>0</v>
      </c>
      <c r="Q727" t="n">
        <v>0</v>
      </c>
      <c r="R727" s="2" t="inlineStr"/>
    </row>
    <row r="728" ht="15" customHeight="1">
      <c r="A728" t="inlineStr">
        <is>
          <t>A 23475-2024</t>
        </is>
      </c>
      <c r="B728" s="1" t="n">
        <v>45453</v>
      </c>
      <c r="C728" s="1" t="n">
        <v>45700</v>
      </c>
      <c r="D728" t="inlineStr">
        <is>
          <t>NORRBOTTENS LÄN</t>
        </is>
      </c>
      <c r="E728" t="inlineStr">
        <is>
          <t>GÄLLIVARE</t>
        </is>
      </c>
      <c r="F728" t="inlineStr">
        <is>
          <t>SCA</t>
        </is>
      </c>
      <c r="G728" t="n">
        <v>32.5</v>
      </c>
      <c r="H728" t="n">
        <v>0</v>
      </c>
      <c r="I728" t="n">
        <v>0</v>
      </c>
      <c r="J728" t="n">
        <v>0</v>
      </c>
      <c r="K728" t="n">
        <v>0</v>
      </c>
      <c r="L728" t="n">
        <v>0</v>
      </c>
      <c r="M728" t="n">
        <v>0</v>
      </c>
      <c r="N728" t="n">
        <v>0</v>
      </c>
      <c r="O728" t="n">
        <v>0</v>
      </c>
      <c r="P728" t="n">
        <v>0</v>
      </c>
      <c r="Q728" t="n">
        <v>0</v>
      </c>
      <c r="R728" s="2" t="inlineStr"/>
    </row>
    <row r="729" ht="15" customHeight="1">
      <c r="A729" t="inlineStr">
        <is>
          <t>A 23487-2024</t>
        </is>
      </c>
      <c r="B729" s="1" t="n">
        <v>45453</v>
      </c>
      <c r="C729" s="1" t="n">
        <v>45700</v>
      </c>
      <c r="D729" t="inlineStr">
        <is>
          <t>NORRBOTTENS LÄN</t>
        </is>
      </c>
      <c r="E729" t="inlineStr">
        <is>
          <t>GÄLLIVARE</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23495-2024</t>
        </is>
      </c>
      <c r="B730" s="1" t="n">
        <v>45453</v>
      </c>
      <c r="C730" s="1" t="n">
        <v>45700</v>
      </c>
      <c r="D730" t="inlineStr">
        <is>
          <t>NORRBOTTENS LÄN</t>
        </is>
      </c>
      <c r="E730" t="inlineStr">
        <is>
          <t>GÄLLIVARE</t>
        </is>
      </c>
      <c r="F730" t="inlineStr">
        <is>
          <t>Allmännings- och besparingsskogar</t>
        </is>
      </c>
      <c r="G730" t="n">
        <v>15.4</v>
      </c>
      <c r="H730" t="n">
        <v>0</v>
      </c>
      <c r="I730" t="n">
        <v>0</v>
      </c>
      <c r="J730" t="n">
        <v>0</v>
      </c>
      <c r="K730" t="n">
        <v>0</v>
      </c>
      <c r="L730" t="n">
        <v>0</v>
      </c>
      <c r="M730" t="n">
        <v>0</v>
      </c>
      <c r="N730" t="n">
        <v>0</v>
      </c>
      <c r="O730" t="n">
        <v>0</v>
      </c>
      <c r="P730" t="n">
        <v>0</v>
      </c>
      <c r="Q730" t="n">
        <v>0</v>
      </c>
      <c r="R730" s="2" t="inlineStr"/>
    </row>
    <row r="731" ht="15" customHeight="1">
      <c r="A731" t="inlineStr">
        <is>
          <t>A 23481-2024</t>
        </is>
      </c>
      <c r="B731" s="1" t="n">
        <v>45453</v>
      </c>
      <c r="C731" s="1" t="n">
        <v>45700</v>
      </c>
      <c r="D731" t="inlineStr">
        <is>
          <t>NORRBOTTENS LÄN</t>
        </is>
      </c>
      <c r="E731" t="inlineStr">
        <is>
          <t>GÄLLIVARE</t>
        </is>
      </c>
      <c r="F731" t="inlineStr">
        <is>
          <t>SCA</t>
        </is>
      </c>
      <c r="G731" t="n">
        <v>40.5</v>
      </c>
      <c r="H731" t="n">
        <v>0</v>
      </c>
      <c r="I731" t="n">
        <v>0</v>
      </c>
      <c r="J731" t="n">
        <v>0</v>
      </c>
      <c r="K731" t="n">
        <v>0</v>
      </c>
      <c r="L731" t="n">
        <v>0</v>
      </c>
      <c r="M731" t="n">
        <v>0</v>
      </c>
      <c r="N731" t="n">
        <v>0</v>
      </c>
      <c r="O731" t="n">
        <v>0</v>
      </c>
      <c r="P731" t="n">
        <v>0</v>
      </c>
      <c r="Q731" t="n">
        <v>0</v>
      </c>
      <c r="R731" s="2" t="inlineStr"/>
    </row>
    <row r="732" ht="15" customHeight="1">
      <c r="A732" t="inlineStr">
        <is>
          <t>A 23237-2024</t>
        </is>
      </c>
      <c r="B732" s="1" t="n">
        <v>45453</v>
      </c>
      <c r="C732" s="1" t="n">
        <v>45700</v>
      </c>
      <c r="D732" t="inlineStr">
        <is>
          <t>NORRBOTTENS LÄN</t>
        </is>
      </c>
      <c r="E732" t="inlineStr">
        <is>
          <t>GÄLLIVARE</t>
        </is>
      </c>
      <c r="F732" t="inlineStr">
        <is>
          <t>Sveaskog</t>
        </is>
      </c>
      <c r="G732" t="n">
        <v>28.7</v>
      </c>
      <c r="H732" t="n">
        <v>0</v>
      </c>
      <c r="I732" t="n">
        <v>0</v>
      </c>
      <c r="J732" t="n">
        <v>0</v>
      </c>
      <c r="K732" t="n">
        <v>0</v>
      </c>
      <c r="L732" t="n">
        <v>0</v>
      </c>
      <c r="M732" t="n">
        <v>0</v>
      </c>
      <c r="N732" t="n">
        <v>0</v>
      </c>
      <c r="O732" t="n">
        <v>0</v>
      </c>
      <c r="P732" t="n">
        <v>0</v>
      </c>
      <c r="Q732" t="n">
        <v>0</v>
      </c>
      <c r="R732" s="2" t="inlineStr"/>
    </row>
    <row r="733" ht="15" customHeight="1">
      <c r="A733" t="inlineStr">
        <is>
          <t>A 23613-2024</t>
        </is>
      </c>
      <c r="B733" s="1" t="n">
        <v>45454</v>
      </c>
      <c r="C733" s="1" t="n">
        <v>45700</v>
      </c>
      <c r="D733" t="inlineStr">
        <is>
          <t>NORRBOTTENS LÄN</t>
        </is>
      </c>
      <c r="E733" t="inlineStr">
        <is>
          <t>GÄLLIVARE</t>
        </is>
      </c>
      <c r="G733" t="n">
        <v>2.9</v>
      </c>
      <c r="H733" t="n">
        <v>0</v>
      </c>
      <c r="I733" t="n">
        <v>0</v>
      </c>
      <c r="J733" t="n">
        <v>0</v>
      </c>
      <c r="K733" t="n">
        <v>0</v>
      </c>
      <c r="L733" t="n">
        <v>0</v>
      </c>
      <c r="M733" t="n">
        <v>0</v>
      </c>
      <c r="N733" t="n">
        <v>0</v>
      </c>
      <c r="O733" t="n">
        <v>0</v>
      </c>
      <c r="P733" t="n">
        <v>0</v>
      </c>
      <c r="Q733" t="n">
        <v>0</v>
      </c>
      <c r="R733" s="2" t="inlineStr"/>
    </row>
    <row r="734" ht="15" customHeight="1">
      <c r="A734" t="inlineStr">
        <is>
          <t>A 23608-2024</t>
        </is>
      </c>
      <c r="B734" s="1" t="n">
        <v>45454</v>
      </c>
      <c r="C734" s="1" t="n">
        <v>45700</v>
      </c>
      <c r="D734" t="inlineStr">
        <is>
          <t>NORRBOTTENS LÄN</t>
        </is>
      </c>
      <c r="E734" t="inlineStr">
        <is>
          <t>GÄLLIVARE</t>
        </is>
      </c>
      <c r="F734" t="inlineStr">
        <is>
          <t>Sveaskog</t>
        </is>
      </c>
      <c r="G734" t="n">
        <v>12.5</v>
      </c>
      <c r="H734" t="n">
        <v>0</v>
      </c>
      <c r="I734" t="n">
        <v>0</v>
      </c>
      <c r="J734" t="n">
        <v>0</v>
      </c>
      <c r="K734" t="n">
        <v>0</v>
      </c>
      <c r="L734" t="n">
        <v>0</v>
      </c>
      <c r="M734" t="n">
        <v>0</v>
      </c>
      <c r="N734" t="n">
        <v>0</v>
      </c>
      <c r="O734" t="n">
        <v>0</v>
      </c>
      <c r="P734" t="n">
        <v>0</v>
      </c>
      <c r="Q734" t="n">
        <v>0</v>
      </c>
      <c r="R734" s="2" t="inlineStr"/>
    </row>
    <row r="735" ht="15" customHeight="1">
      <c r="A735" t="inlineStr">
        <is>
          <t>A 23870-2024</t>
        </is>
      </c>
      <c r="B735" s="1" t="n">
        <v>45455</v>
      </c>
      <c r="C735" s="1" t="n">
        <v>45700</v>
      </c>
      <c r="D735" t="inlineStr">
        <is>
          <t>NORRBOTTENS LÄN</t>
        </is>
      </c>
      <c r="E735" t="inlineStr">
        <is>
          <t>GÄLLIVARE</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23876-2024</t>
        </is>
      </c>
      <c r="B736" s="1" t="n">
        <v>45455</v>
      </c>
      <c r="C736" s="1" t="n">
        <v>45700</v>
      </c>
      <c r="D736" t="inlineStr">
        <is>
          <t>NORRBOTTENS LÄN</t>
        </is>
      </c>
      <c r="E736" t="inlineStr">
        <is>
          <t>GÄLLIVARE</t>
        </is>
      </c>
      <c r="F736" t="inlineStr">
        <is>
          <t>Allmännings- och besparingsskogar</t>
        </is>
      </c>
      <c r="G736" t="n">
        <v>56.1</v>
      </c>
      <c r="H736" t="n">
        <v>0</v>
      </c>
      <c r="I736" t="n">
        <v>0</v>
      </c>
      <c r="J736" t="n">
        <v>0</v>
      </c>
      <c r="K736" t="n">
        <v>0</v>
      </c>
      <c r="L736" t="n">
        <v>0</v>
      </c>
      <c r="M736" t="n">
        <v>0</v>
      </c>
      <c r="N736" t="n">
        <v>0</v>
      </c>
      <c r="O736" t="n">
        <v>0</v>
      </c>
      <c r="P736" t="n">
        <v>0</v>
      </c>
      <c r="Q736" t="n">
        <v>0</v>
      </c>
      <c r="R736" s="2" t="inlineStr"/>
    </row>
    <row r="737" ht="15" customHeight="1">
      <c r="A737" t="inlineStr">
        <is>
          <t>A 24036-2024</t>
        </is>
      </c>
      <c r="B737" s="1" t="n">
        <v>45456</v>
      </c>
      <c r="C737" s="1" t="n">
        <v>45700</v>
      </c>
      <c r="D737" t="inlineStr">
        <is>
          <t>NORRBOTTENS LÄN</t>
        </is>
      </c>
      <c r="E737" t="inlineStr">
        <is>
          <t>GÄLLIVARE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24153-2024</t>
        </is>
      </c>
      <c r="B738" s="1" t="n">
        <v>45456</v>
      </c>
      <c r="C738" s="1" t="n">
        <v>45700</v>
      </c>
      <c r="D738" t="inlineStr">
        <is>
          <t>NORRBOTTENS LÄN</t>
        </is>
      </c>
      <c r="E738" t="inlineStr">
        <is>
          <t>GÄLLIVARE</t>
        </is>
      </c>
      <c r="F738" t="inlineStr">
        <is>
          <t>Sveaskog</t>
        </is>
      </c>
      <c r="G738" t="n">
        <v>12.8</v>
      </c>
      <c r="H738" t="n">
        <v>0</v>
      </c>
      <c r="I738" t="n">
        <v>0</v>
      </c>
      <c r="J738" t="n">
        <v>0</v>
      </c>
      <c r="K738" t="n">
        <v>0</v>
      </c>
      <c r="L738" t="n">
        <v>0</v>
      </c>
      <c r="M738" t="n">
        <v>0</v>
      </c>
      <c r="N738" t="n">
        <v>0</v>
      </c>
      <c r="O738" t="n">
        <v>0</v>
      </c>
      <c r="P738" t="n">
        <v>0</v>
      </c>
      <c r="Q738" t="n">
        <v>0</v>
      </c>
      <c r="R738" s="2" t="inlineStr"/>
    </row>
    <row r="739" ht="15" customHeight="1">
      <c r="A739" t="inlineStr">
        <is>
          <t>A 24030-2024</t>
        </is>
      </c>
      <c r="B739" s="1" t="n">
        <v>45456</v>
      </c>
      <c r="C739" s="1" t="n">
        <v>45700</v>
      </c>
      <c r="D739" t="inlineStr">
        <is>
          <t>NORRBOTTENS LÄN</t>
        </is>
      </c>
      <c r="E739" t="inlineStr">
        <is>
          <t>GÄLLIVARE</t>
        </is>
      </c>
      <c r="F739" t="inlineStr">
        <is>
          <t>Sveaskog</t>
        </is>
      </c>
      <c r="G739" t="n">
        <v>8.6</v>
      </c>
      <c r="H739" t="n">
        <v>0</v>
      </c>
      <c r="I739" t="n">
        <v>0</v>
      </c>
      <c r="J739" t="n">
        <v>0</v>
      </c>
      <c r="K739" t="n">
        <v>0</v>
      </c>
      <c r="L739" t="n">
        <v>0</v>
      </c>
      <c r="M739" t="n">
        <v>0</v>
      </c>
      <c r="N739" t="n">
        <v>0</v>
      </c>
      <c r="O739" t="n">
        <v>0</v>
      </c>
      <c r="P739" t="n">
        <v>0</v>
      </c>
      <c r="Q739" t="n">
        <v>0</v>
      </c>
      <c r="R739" s="2" t="inlineStr"/>
    </row>
    <row r="740" ht="15" customHeight="1">
      <c r="A740" t="inlineStr">
        <is>
          <t>A 24740-2024</t>
        </is>
      </c>
      <c r="B740" s="1" t="n">
        <v>45460</v>
      </c>
      <c r="C740" s="1" t="n">
        <v>45700</v>
      </c>
      <c r="D740" t="inlineStr">
        <is>
          <t>NORRBOTTENS LÄN</t>
        </is>
      </c>
      <c r="E740" t="inlineStr">
        <is>
          <t>GÄLLIVARE</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24591-2024</t>
        </is>
      </c>
      <c r="B741" s="1" t="n">
        <v>45460</v>
      </c>
      <c r="C741" s="1" t="n">
        <v>45700</v>
      </c>
      <c r="D741" t="inlineStr">
        <is>
          <t>NORRBOTTENS LÄN</t>
        </is>
      </c>
      <c r="E741" t="inlineStr">
        <is>
          <t>GÄLLIVARE</t>
        </is>
      </c>
      <c r="F741" t="inlineStr">
        <is>
          <t>Allmännings- och besparingsskogar</t>
        </is>
      </c>
      <c r="G741" t="n">
        <v>25.5</v>
      </c>
      <c r="H741" t="n">
        <v>0</v>
      </c>
      <c r="I741" t="n">
        <v>0</v>
      </c>
      <c r="J741" t="n">
        <v>0</v>
      </c>
      <c r="K741" t="n">
        <v>0</v>
      </c>
      <c r="L741" t="n">
        <v>0</v>
      </c>
      <c r="M741" t="n">
        <v>0</v>
      </c>
      <c r="N741" t="n">
        <v>0</v>
      </c>
      <c r="O741" t="n">
        <v>0</v>
      </c>
      <c r="P741" t="n">
        <v>0</v>
      </c>
      <c r="Q741" t="n">
        <v>0</v>
      </c>
      <c r="R741" s="2" t="inlineStr"/>
    </row>
    <row r="742" ht="15" customHeight="1">
      <c r="A742" t="inlineStr">
        <is>
          <t>A 24574-2024</t>
        </is>
      </c>
      <c r="B742" s="1" t="n">
        <v>45460</v>
      </c>
      <c r="C742" s="1" t="n">
        <v>45700</v>
      </c>
      <c r="D742" t="inlineStr">
        <is>
          <t>NORRBOTTENS LÄN</t>
        </is>
      </c>
      <c r="E742" t="inlineStr">
        <is>
          <t>GÄLLIVARE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24633-2024</t>
        </is>
      </c>
      <c r="B743" s="1" t="n">
        <v>45460</v>
      </c>
      <c r="C743" s="1" t="n">
        <v>45700</v>
      </c>
      <c r="D743" t="inlineStr">
        <is>
          <t>NORRBOTTENS LÄN</t>
        </is>
      </c>
      <c r="E743" t="inlineStr">
        <is>
          <t>GÄLLIVARE</t>
        </is>
      </c>
      <c r="F743" t="inlineStr">
        <is>
          <t>Allmännings- och besparingsskogar</t>
        </is>
      </c>
      <c r="G743" t="n">
        <v>7.4</v>
      </c>
      <c r="H743" t="n">
        <v>0</v>
      </c>
      <c r="I743" t="n">
        <v>0</v>
      </c>
      <c r="J743" t="n">
        <v>0</v>
      </c>
      <c r="K743" t="n">
        <v>0</v>
      </c>
      <c r="L743" t="n">
        <v>0</v>
      </c>
      <c r="M743" t="n">
        <v>0</v>
      </c>
      <c r="N743" t="n">
        <v>0</v>
      </c>
      <c r="O743" t="n">
        <v>0</v>
      </c>
      <c r="P743" t="n">
        <v>0</v>
      </c>
      <c r="Q743" t="n">
        <v>0</v>
      </c>
      <c r="R743" s="2" t="inlineStr"/>
    </row>
    <row r="744" ht="15" customHeight="1">
      <c r="A744" t="inlineStr">
        <is>
          <t>A 24734-2024</t>
        </is>
      </c>
      <c r="B744" s="1" t="n">
        <v>45460</v>
      </c>
      <c r="C744" s="1" t="n">
        <v>45700</v>
      </c>
      <c r="D744" t="inlineStr">
        <is>
          <t>NORRBOTTENS LÄN</t>
        </is>
      </c>
      <c r="E744" t="inlineStr">
        <is>
          <t>GÄLLIVARE</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24926-2024</t>
        </is>
      </c>
      <c r="B745" s="1" t="n">
        <v>45461</v>
      </c>
      <c r="C745" s="1" t="n">
        <v>45700</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25493-2024</t>
        </is>
      </c>
      <c r="B746" s="1" t="n">
        <v>45463</v>
      </c>
      <c r="C746" s="1" t="n">
        <v>45700</v>
      </c>
      <c r="D746" t="inlineStr">
        <is>
          <t>NORRBOTTENS LÄN</t>
        </is>
      </c>
      <c r="E746" t="inlineStr">
        <is>
          <t>GÄLLIVARE</t>
        </is>
      </c>
      <c r="G746" t="n">
        <v>5.5</v>
      </c>
      <c r="H746" t="n">
        <v>0</v>
      </c>
      <c r="I746" t="n">
        <v>0</v>
      </c>
      <c r="J746" t="n">
        <v>0</v>
      </c>
      <c r="K746" t="n">
        <v>0</v>
      </c>
      <c r="L746" t="n">
        <v>0</v>
      </c>
      <c r="M746" t="n">
        <v>0</v>
      </c>
      <c r="N746" t="n">
        <v>0</v>
      </c>
      <c r="O746" t="n">
        <v>0</v>
      </c>
      <c r="P746" t="n">
        <v>0</v>
      </c>
      <c r="Q746" t="n">
        <v>0</v>
      </c>
      <c r="R746" s="2" t="inlineStr"/>
    </row>
    <row r="747" ht="15" customHeight="1">
      <c r="A747" t="inlineStr">
        <is>
          <t>A 25488-2024</t>
        </is>
      </c>
      <c r="B747" s="1" t="n">
        <v>45463</v>
      </c>
      <c r="C747" s="1" t="n">
        <v>45700</v>
      </c>
      <c r="D747" t="inlineStr">
        <is>
          <t>NORRBOTTENS LÄN</t>
        </is>
      </c>
      <c r="E747" t="inlineStr">
        <is>
          <t>GÄLLIVARE</t>
        </is>
      </c>
      <c r="G747" t="n">
        <v>13.6</v>
      </c>
      <c r="H747" t="n">
        <v>0</v>
      </c>
      <c r="I747" t="n">
        <v>0</v>
      </c>
      <c r="J747" t="n">
        <v>0</v>
      </c>
      <c r="K747" t="n">
        <v>0</v>
      </c>
      <c r="L747" t="n">
        <v>0</v>
      </c>
      <c r="M747" t="n">
        <v>0</v>
      </c>
      <c r="N747" t="n">
        <v>0</v>
      </c>
      <c r="O747" t="n">
        <v>0</v>
      </c>
      <c r="P747" t="n">
        <v>0</v>
      </c>
      <c r="Q747" t="n">
        <v>0</v>
      </c>
      <c r="R747" s="2" t="inlineStr"/>
    </row>
    <row r="748" ht="15" customHeight="1">
      <c r="A748" t="inlineStr">
        <is>
          <t>A 25503-2024</t>
        </is>
      </c>
      <c r="B748" s="1" t="n">
        <v>45463</v>
      </c>
      <c r="C748" s="1" t="n">
        <v>45700</v>
      </c>
      <c r="D748" t="inlineStr">
        <is>
          <t>NORRBOTTENS LÄN</t>
        </is>
      </c>
      <c r="E748" t="inlineStr">
        <is>
          <t>GÄLLIVARE</t>
        </is>
      </c>
      <c r="G748" t="n">
        <v>3.2</v>
      </c>
      <c r="H748" t="n">
        <v>0</v>
      </c>
      <c r="I748" t="n">
        <v>0</v>
      </c>
      <c r="J748" t="n">
        <v>0</v>
      </c>
      <c r="K748" t="n">
        <v>0</v>
      </c>
      <c r="L748" t="n">
        <v>0</v>
      </c>
      <c r="M748" t="n">
        <v>0</v>
      </c>
      <c r="N748" t="n">
        <v>0</v>
      </c>
      <c r="O748" t="n">
        <v>0</v>
      </c>
      <c r="P748" t="n">
        <v>0</v>
      </c>
      <c r="Q748" t="n">
        <v>0</v>
      </c>
      <c r="R748" s="2" t="inlineStr"/>
    </row>
    <row r="749" ht="15" customHeight="1">
      <c r="A749" t="inlineStr">
        <is>
          <t>A 25467-2024</t>
        </is>
      </c>
      <c r="B749" s="1" t="n">
        <v>45463</v>
      </c>
      <c r="C749" s="1" t="n">
        <v>45700</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25905-2024</t>
        </is>
      </c>
      <c r="B750" s="1" t="n">
        <v>45467</v>
      </c>
      <c r="C750" s="1" t="n">
        <v>45700</v>
      </c>
      <c r="D750" t="inlineStr">
        <is>
          <t>NORRBOTTENS LÄN</t>
        </is>
      </c>
      <c r="E750" t="inlineStr">
        <is>
          <t>GÄLLIVARE</t>
        </is>
      </c>
      <c r="G750" t="n">
        <v>8.4</v>
      </c>
      <c r="H750" t="n">
        <v>0</v>
      </c>
      <c r="I750" t="n">
        <v>0</v>
      </c>
      <c r="J750" t="n">
        <v>0</v>
      </c>
      <c r="K750" t="n">
        <v>0</v>
      </c>
      <c r="L750" t="n">
        <v>0</v>
      </c>
      <c r="M750" t="n">
        <v>0</v>
      </c>
      <c r="N750" t="n">
        <v>0</v>
      </c>
      <c r="O750" t="n">
        <v>0</v>
      </c>
      <c r="P750" t="n">
        <v>0</v>
      </c>
      <c r="Q750" t="n">
        <v>0</v>
      </c>
      <c r="R750" s="2" t="inlineStr"/>
    </row>
    <row r="751" ht="15" customHeight="1">
      <c r="A751" t="inlineStr">
        <is>
          <t>A 25940-2024</t>
        </is>
      </c>
      <c r="B751" s="1" t="n">
        <v>45467</v>
      </c>
      <c r="C751" s="1" t="n">
        <v>45700</v>
      </c>
      <c r="D751" t="inlineStr">
        <is>
          <t>NORRBOTTENS LÄN</t>
        </is>
      </c>
      <c r="E751" t="inlineStr">
        <is>
          <t>GÄLLIVARE</t>
        </is>
      </c>
      <c r="G751" t="n">
        <v>11.2</v>
      </c>
      <c r="H751" t="n">
        <v>0</v>
      </c>
      <c r="I751" t="n">
        <v>0</v>
      </c>
      <c r="J751" t="n">
        <v>0</v>
      </c>
      <c r="K751" t="n">
        <v>0</v>
      </c>
      <c r="L751" t="n">
        <v>0</v>
      </c>
      <c r="M751" t="n">
        <v>0</v>
      </c>
      <c r="N751" t="n">
        <v>0</v>
      </c>
      <c r="O751" t="n">
        <v>0</v>
      </c>
      <c r="P751" t="n">
        <v>0</v>
      </c>
      <c r="Q751" t="n">
        <v>0</v>
      </c>
      <c r="R751" s="2" t="inlineStr"/>
    </row>
    <row r="752" ht="15" customHeight="1">
      <c r="A752" t="inlineStr">
        <is>
          <t>A 25941-2024</t>
        </is>
      </c>
      <c r="B752" s="1" t="n">
        <v>45467</v>
      </c>
      <c r="C752" s="1" t="n">
        <v>45700</v>
      </c>
      <c r="D752" t="inlineStr">
        <is>
          <t>NORRBOTTENS LÄN</t>
        </is>
      </c>
      <c r="E752" t="inlineStr">
        <is>
          <t>GÄLLIVARE</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25945-2024</t>
        </is>
      </c>
      <c r="B753" s="1" t="n">
        <v>45467</v>
      </c>
      <c r="C753" s="1" t="n">
        <v>45700</v>
      </c>
      <c r="D753" t="inlineStr">
        <is>
          <t>NORRBOTTENS LÄN</t>
        </is>
      </c>
      <c r="E753" t="inlineStr">
        <is>
          <t>GÄLLIVARE</t>
        </is>
      </c>
      <c r="G753" t="n">
        <v>12.1</v>
      </c>
      <c r="H753" t="n">
        <v>0</v>
      </c>
      <c r="I753" t="n">
        <v>0</v>
      </c>
      <c r="J753" t="n">
        <v>0</v>
      </c>
      <c r="K753" t="n">
        <v>0</v>
      </c>
      <c r="L753" t="n">
        <v>0</v>
      </c>
      <c r="M753" t="n">
        <v>0</v>
      </c>
      <c r="N753" t="n">
        <v>0</v>
      </c>
      <c r="O753" t="n">
        <v>0</v>
      </c>
      <c r="P753" t="n">
        <v>0</v>
      </c>
      <c r="Q753" t="n">
        <v>0</v>
      </c>
      <c r="R753" s="2" t="inlineStr"/>
    </row>
    <row r="754" ht="15" customHeight="1">
      <c r="A754" t="inlineStr">
        <is>
          <t>A 25923-2024</t>
        </is>
      </c>
      <c r="B754" s="1" t="n">
        <v>45467</v>
      </c>
      <c r="C754" s="1" t="n">
        <v>45700</v>
      </c>
      <c r="D754" t="inlineStr">
        <is>
          <t>NORRBOTTENS LÄN</t>
        </is>
      </c>
      <c r="E754" t="inlineStr">
        <is>
          <t>GÄLLIVARE</t>
        </is>
      </c>
      <c r="F754" t="inlineStr">
        <is>
          <t>Allmännings- och besparingsskogar</t>
        </is>
      </c>
      <c r="G754" t="n">
        <v>15.1</v>
      </c>
      <c r="H754" t="n">
        <v>0</v>
      </c>
      <c r="I754" t="n">
        <v>0</v>
      </c>
      <c r="J754" t="n">
        <v>0</v>
      </c>
      <c r="K754" t="n">
        <v>0</v>
      </c>
      <c r="L754" t="n">
        <v>0</v>
      </c>
      <c r="M754" t="n">
        <v>0</v>
      </c>
      <c r="N754" t="n">
        <v>0</v>
      </c>
      <c r="O754" t="n">
        <v>0</v>
      </c>
      <c r="P754" t="n">
        <v>0</v>
      </c>
      <c r="Q754" t="n">
        <v>0</v>
      </c>
      <c r="R754" s="2" t="inlineStr"/>
    </row>
    <row r="755" ht="15" customHeight="1">
      <c r="A755" t="inlineStr">
        <is>
          <t>A 25927-2024</t>
        </is>
      </c>
      <c r="B755" s="1" t="n">
        <v>45467</v>
      </c>
      <c r="C755" s="1" t="n">
        <v>45700</v>
      </c>
      <c r="D755" t="inlineStr">
        <is>
          <t>NORRBOTTENS LÄN</t>
        </is>
      </c>
      <c r="E755" t="inlineStr">
        <is>
          <t>GÄLLIVARE</t>
        </is>
      </c>
      <c r="F755" t="inlineStr">
        <is>
          <t>Allmännings- och besparingsskogar</t>
        </is>
      </c>
      <c r="G755" t="n">
        <v>10.7</v>
      </c>
      <c r="H755" t="n">
        <v>0</v>
      </c>
      <c r="I755" t="n">
        <v>0</v>
      </c>
      <c r="J755" t="n">
        <v>0</v>
      </c>
      <c r="K755" t="n">
        <v>0</v>
      </c>
      <c r="L755" t="n">
        <v>0</v>
      </c>
      <c r="M755" t="n">
        <v>0</v>
      </c>
      <c r="N755" t="n">
        <v>0</v>
      </c>
      <c r="O755" t="n">
        <v>0</v>
      </c>
      <c r="P755" t="n">
        <v>0</v>
      </c>
      <c r="Q755" t="n">
        <v>0</v>
      </c>
      <c r="R755" s="2" t="inlineStr"/>
    </row>
    <row r="756" ht="15" customHeight="1">
      <c r="A756" t="inlineStr">
        <is>
          <t>A 25935-2024</t>
        </is>
      </c>
      <c r="B756" s="1" t="n">
        <v>45467</v>
      </c>
      <c r="C756" s="1" t="n">
        <v>45700</v>
      </c>
      <c r="D756" t="inlineStr">
        <is>
          <t>NORRBOTTENS LÄN</t>
        </is>
      </c>
      <c r="E756" t="inlineStr">
        <is>
          <t>GÄLLIVARE</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26337-2024</t>
        </is>
      </c>
      <c r="B757" s="1" t="n">
        <v>45468</v>
      </c>
      <c r="C757" s="1" t="n">
        <v>45700</v>
      </c>
      <c r="D757" t="inlineStr">
        <is>
          <t>NORRBOTTENS LÄN</t>
        </is>
      </c>
      <c r="E757" t="inlineStr">
        <is>
          <t>GÄLLIVARE</t>
        </is>
      </c>
      <c r="G757" t="n">
        <v>6.8</v>
      </c>
      <c r="H757" t="n">
        <v>0</v>
      </c>
      <c r="I757" t="n">
        <v>0</v>
      </c>
      <c r="J757" t="n">
        <v>0</v>
      </c>
      <c r="K757" t="n">
        <v>0</v>
      </c>
      <c r="L757" t="n">
        <v>0</v>
      </c>
      <c r="M757" t="n">
        <v>0</v>
      </c>
      <c r="N757" t="n">
        <v>0</v>
      </c>
      <c r="O757" t="n">
        <v>0</v>
      </c>
      <c r="P757" t="n">
        <v>0</v>
      </c>
      <c r="Q757" t="n">
        <v>0</v>
      </c>
      <c r="R757" s="2" t="inlineStr"/>
    </row>
    <row r="758" ht="15" customHeight="1">
      <c r="A758" t="inlineStr">
        <is>
          <t>A 26183-2024</t>
        </is>
      </c>
      <c r="B758" s="1" t="n">
        <v>45468</v>
      </c>
      <c r="C758" s="1" t="n">
        <v>45700</v>
      </c>
      <c r="D758" t="inlineStr">
        <is>
          <t>NORRBOTTENS LÄN</t>
        </is>
      </c>
      <c r="E758" t="inlineStr">
        <is>
          <t>GÄLLIVARE</t>
        </is>
      </c>
      <c r="G758" t="n">
        <v>7.6</v>
      </c>
      <c r="H758" t="n">
        <v>0</v>
      </c>
      <c r="I758" t="n">
        <v>0</v>
      </c>
      <c r="J758" t="n">
        <v>0</v>
      </c>
      <c r="K758" t="n">
        <v>0</v>
      </c>
      <c r="L758" t="n">
        <v>0</v>
      </c>
      <c r="M758" t="n">
        <v>0</v>
      </c>
      <c r="N758" t="n">
        <v>0</v>
      </c>
      <c r="O758" t="n">
        <v>0</v>
      </c>
      <c r="P758" t="n">
        <v>0</v>
      </c>
      <c r="Q758" t="n">
        <v>0</v>
      </c>
      <c r="R758" s="2" t="inlineStr"/>
    </row>
    <row r="759" ht="15" customHeight="1">
      <c r="A759" t="inlineStr">
        <is>
          <t>A 26435-2024</t>
        </is>
      </c>
      <c r="B759" s="1" t="n">
        <v>45469</v>
      </c>
      <c r="C759" s="1" t="n">
        <v>45700</v>
      </c>
      <c r="D759" t="inlineStr">
        <is>
          <t>NORRBOTTENS LÄN</t>
        </is>
      </c>
      <c r="E759" t="inlineStr">
        <is>
          <t>GÄLLIVARE</t>
        </is>
      </c>
      <c r="G759" t="n">
        <v>31.9</v>
      </c>
      <c r="H759" t="n">
        <v>0</v>
      </c>
      <c r="I759" t="n">
        <v>0</v>
      </c>
      <c r="J759" t="n">
        <v>0</v>
      </c>
      <c r="K759" t="n">
        <v>0</v>
      </c>
      <c r="L759" t="n">
        <v>0</v>
      </c>
      <c r="M759" t="n">
        <v>0</v>
      </c>
      <c r="N759" t="n">
        <v>0</v>
      </c>
      <c r="O759" t="n">
        <v>0</v>
      </c>
      <c r="P759" t="n">
        <v>0</v>
      </c>
      <c r="Q759" t="n">
        <v>0</v>
      </c>
      <c r="R759" s="2" t="inlineStr"/>
    </row>
    <row r="760" ht="15" customHeight="1">
      <c r="A760" t="inlineStr">
        <is>
          <t>A 26558-2024</t>
        </is>
      </c>
      <c r="B760" s="1" t="n">
        <v>45469</v>
      </c>
      <c r="C760" s="1" t="n">
        <v>45700</v>
      </c>
      <c r="D760" t="inlineStr">
        <is>
          <t>NORRBOTTENS LÄN</t>
        </is>
      </c>
      <c r="E760" t="inlineStr">
        <is>
          <t>GÄLLIVARE</t>
        </is>
      </c>
      <c r="F760" t="inlineStr">
        <is>
          <t>Sveaskog</t>
        </is>
      </c>
      <c r="G760" t="n">
        <v>4.9</v>
      </c>
      <c r="H760" t="n">
        <v>0</v>
      </c>
      <c r="I760" t="n">
        <v>0</v>
      </c>
      <c r="J760" t="n">
        <v>0</v>
      </c>
      <c r="K760" t="n">
        <v>0</v>
      </c>
      <c r="L760" t="n">
        <v>0</v>
      </c>
      <c r="M760" t="n">
        <v>0</v>
      </c>
      <c r="N760" t="n">
        <v>0</v>
      </c>
      <c r="O760" t="n">
        <v>0</v>
      </c>
      <c r="P760" t="n">
        <v>0</v>
      </c>
      <c r="Q760" t="n">
        <v>0</v>
      </c>
      <c r="R760" s="2" t="inlineStr"/>
    </row>
    <row r="761" ht="15" customHeight="1">
      <c r="A761" t="inlineStr">
        <is>
          <t>A 26543-2024</t>
        </is>
      </c>
      <c r="B761" s="1" t="n">
        <v>45469</v>
      </c>
      <c r="C761" s="1" t="n">
        <v>45700</v>
      </c>
      <c r="D761" t="inlineStr">
        <is>
          <t>NORRBOTTENS LÄN</t>
        </is>
      </c>
      <c r="E761" t="inlineStr">
        <is>
          <t>GÄLLIVARE</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26560-2024</t>
        </is>
      </c>
      <c r="B762" s="1" t="n">
        <v>45469</v>
      </c>
      <c r="C762" s="1" t="n">
        <v>45700</v>
      </c>
      <c r="D762" t="inlineStr">
        <is>
          <t>NORRBOTTENS LÄN</t>
        </is>
      </c>
      <c r="E762" t="inlineStr">
        <is>
          <t>GÄLLIVARE</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26564-2024</t>
        </is>
      </c>
      <c r="B763" s="1" t="n">
        <v>45469</v>
      </c>
      <c r="C763" s="1" t="n">
        <v>45700</v>
      </c>
      <c r="D763" t="inlineStr">
        <is>
          <t>NORRBOTTENS LÄN</t>
        </is>
      </c>
      <c r="E763" t="inlineStr">
        <is>
          <t>GÄLLIVARE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26823-2024</t>
        </is>
      </c>
      <c r="B764" s="1" t="n">
        <v>45470</v>
      </c>
      <c r="C764" s="1" t="n">
        <v>45700</v>
      </c>
      <c r="D764" t="inlineStr">
        <is>
          <t>NORRBOTTENS LÄN</t>
        </is>
      </c>
      <c r="E764" t="inlineStr">
        <is>
          <t>GÄLLIVARE</t>
        </is>
      </c>
      <c r="F764" t="inlineStr">
        <is>
          <t>Sveaskog</t>
        </is>
      </c>
      <c r="G764" t="n">
        <v>16.7</v>
      </c>
      <c r="H764" t="n">
        <v>0</v>
      </c>
      <c r="I764" t="n">
        <v>0</v>
      </c>
      <c r="J764" t="n">
        <v>0</v>
      </c>
      <c r="K764" t="n">
        <v>0</v>
      </c>
      <c r="L764" t="n">
        <v>0</v>
      </c>
      <c r="M764" t="n">
        <v>0</v>
      </c>
      <c r="N764" t="n">
        <v>0</v>
      </c>
      <c r="O764" t="n">
        <v>0</v>
      </c>
      <c r="P764" t="n">
        <v>0</v>
      </c>
      <c r="Q764" t="n">
        <v>0</v>
      </c>
      <c r="R764" s="2" t="inlineStr"/>
    </row>
    <row r="765" ht="15" customHeight="1">
      <c r="A765" t="inlineStr">
        <is>
          <t>A 27312-2024</t>
        </is>
      </c>
      <c r="B765" s="1" t="n">
        <v>45472</v>
      </c>
      <c r="C765" s="1" t="n">
        <v>45700</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27311-2024</t>
        </is>
      </c>
      <c r="B766" s="1" t="n">
        <v>45472</v>
      </c>
      <c r="C766" s="1" t="n">
        <v>45700</v>
      </c>
      <c r="D766" t="inlineStr">
        <is>
          <t>NORRBOTTENS LÄN</t>
        </is>
      </c>
      <c r="E766" t="inlineStr">
        <is>
          <t>GÄLLIVARE</t>
        </is>
      </c>
      <c r="F766" t="inlineStr">
        <is>
          <t>SCA</t>
        </is>
      </c>
      <c r="G766" t="n">
        <v>14.5</v>
      </c>
      <c r="H766" t="n">
        <v>0</v>
      </c>
      <c r="I766" t="n">
        <v>0</v>
      </c>
      <c r="J766" t="n">
        <v>0</v>
      </c>
      <c r="K766" t="n">
        <v>0</v>
      </c>
      <c r="L766" t="n">
        <v>0</v>
      </c>
      <c r="M766" t="n">
        <v>0</v>
      </c>
      <c r="N766" t="n">
        <v>0</v>
      </c>
      <c r="O766" t="n">
        <v>0</v>
      </c>
      <c r="P766" t="n">
        <v>0</v>
      </c>
      <c r="Q766" t="n">
        <v>0</v>
      </c>
      <c r="R766" s="2" t="inlineStr"/>
    </row>
    <row r="767" ht="15" customHeight="1">
      <c r="A767" t="inlineStr">
        <is>
          <t>A 27515-2024</t>
        </is>
      </c>
      <c r="B767" s="1" t="n">
        <v>45474</v>
      </c>
      <c r="C767" s="1" t="n">
        <v>45700</v>
      </c>
      <c r="D767" t="inlineStr">
        <is>
          <t>NORRBOTTENS LÄN</t>
        </is>
      </c>
      <c r="E767" t="inlineStr">
        <is>
          <t>GÄLLIVARE</t>
        </is>
      </c>
      <c r="G767" t="n">
        <v>3</v>
      </c>
      <c r="H767" t="n">
        <v>0</v>
      </c>
      <c r="I767" t="n">
        <v>0</v>
      </c>
      <c r="J767" t="n">
        <v>0</v>
      </c>
      <c r="K767" t="n">
        <v>0</v>
      </c>
      <c r="L767" t="n">
        <v>0</v>
      </c>
      <c r="M767" t="n">
        <v>0</v>
      </c>
      <c r="N767" t="n">
        <v>0</v>
      </c>
      <c r="O767" t="n">
        <v>0</v>
      </c>
      <c r="P767" t="n">
        <v>0</v>
      </c>
      <c r="Q767" t="n">
        <v>0</v>
      </c>
      <c r="R767" s="2" t="inlineStr"/>
    </row>
    <row r="768" ht="15" customHeight="1">
      <c r="A768" t="inlineStr">
        <is>
          <t>A 27666-2024</t>
        </is>
      </c>
      <c r="B768" s="1" t="n">
        <v>45475</v>
      </c>
      <c r="C768" s="1" t="n">
        <v>45700</v>
      </c>
      <c r="D768" t="inlineStr">
        <is>
          <t>NORRBOTTENS LÄN</t>
        </is>
      </c>
      <c r="E768" t="inlineStr">
        <is>
          <t>GÄLLIVARE</t>
        </is>
      </c>
      <c r="G768" t="n">
        <v>2.1</v>
      </c>
      <c r="H768" t="n">
        <v>0</v>
      </c>
      <c r="I768" t="n">
        <v>0</v>
      </c>
      <c r="J768" t="n">
        <v>0</v>
      </c>
      <c r="K768" t="n">
        <v>0</v>
      </c>
      <c r="L768" t="n">
        <v>0</v>
      </c>
      <c r="M768" t="n">
        <v>0</v>
      </c>
      <c r="N768" t="n">
        <v>0</v>
      </c>
      <c r="O768" t="n">
        <v>0</v>
      </c>
      <c r="P768" t="n">
        <v>0</v>
      </c>
      <c r="Q768" t="n">
        <v>0</v>
      </c>
      <c r="R768" s="2" t="inlineStr"/>
    </row>
    <row r="769" ht="15" customHeight="1">
      <c r="A769" t="inlineStr">
        <is>
          <t>A 27883-2024</t>
        </is>
      </c>
      <c r="B769" s="1" t="n">
        <v>45475</v>
      </c>
      <c r="C769" s="1" t="n">
        <v>45700</v>
      </c>
      <c r="D769" t="inlineStr">
        <is>
          <t>NORRBOTTENS LÄN</t>
        </is>
      </c>
      <c r="E769" t="inlineStr">
        <is>
          <t>GÄLLIVARE</t>
        </is>
      </c>
      <c r="F769" t="inlineStr">
        <is>
          <t>Sveaskog</t>
        </is>
      </c>
      <c r="G769" t="n">
        <v>8.9</v>
      </c>
      <c r="H769" t="n">
        <v>0</v>
      </c>
      <c r="I769" t="n">
        <v>0</v>
      </c>
      <c r="J769" t="n">
        <v>0</v>
      </c>
      <c r="K769" t="n">
        <v>0</v>
      </c>
      <c r="L769" t="n">
        <v>0</v>
      </c>
      <c r="M769" t="n">
        <v>0</v>
      </c>
      <c r="N769" t="n">
        <v>0</v>
      </c>
      <c r="O769" t="n">
        <v>0</v>
      </c>
      <c r="P769" t="n">
        <v>0</v>
      </c>
      <c r="Q769" t="n">
        <v>0</v>
      </c>
      <c r="R769" s="2" t="inlineStr"/>
    </row>
    <row r="770" ht="15" customHeight="1">
      <c r="A770" t="inlineStr">
        <is>
          <t>A 27882-2024</t>
        </is>
      </c>
      <c r="B770" s="1" t="n">
        <v>45475</v>
      </c>
      <c r="C770" s="1" t="n">
        <v>45700</v>
      </c>
      <c r="D770" t="inlineStr">
        <is>
          <t>NORRBOTTENS LÄN</t>
        </is>
      </c>
      <c r="E770" t="inlineStr">
        <is>
          <t>GÄLLIVARE</t>
        </is>
      </c>
      <c r="F770" t="inlineStr">
        <is>
          <t>Sveaskog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27683-2024</t>
        </is>
      </c>
      <c r="B771" s="1" t="n">
        <v>45475</v>
      </c>
      <c r="C771" s="1" t="n">
        <v>45700</v>
      </c>
      <c r="D771" t="inlineStr">
        <is>
          <t>NORRBOTTENS LÄN</t>
        </is>
      </c>
      <c r="E771" t="inlineStr">
        <is>
          <t>GÄLLIVARE</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27725-2024</t>
        </is>
      </c>
      <c r="B772" s="1" t="n">
        <v>45475</v>
      </c>
      <c r="C772" s="1" t="n">
        <v>45700</v>
      </c>
      <c r="D772" t="inlineStr">
        <is>
          <t>NORRBOTTENS LÄN</t>
        </is>
      </c>
      <c r="E772" t="inlineStr">
        <is>
          <t>GÄLLIVARE</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28046-2024</t>
        </is>
      </c>
      <c r="B773" s="1" t="n">
        <v>45476</v>
      </c>
      <c r="C773" s="1" t="n">
        <v>45700</v>
      </c>
      <c r="D773" t="inlineStr">
        <is>
          <t>NORRBOTTENS LÄN</t>
        </is>
      </c>
      <c r="E773" t="inlineStr">
        <is>
          <t>GÄLLIVARE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28115-2024</t>
        </is>
      </c>
      <c r="B774" s="1" t="n">
        <v>45476</v>
      </c>
      <c r="C774" s="1" t="n">
        <v>45700</v>
      </c>
      <c r="D774" t="inlineStr">
        <is>
          <t>NORRBOTTENS LÄN</t>
        </is>
      </c>
      <c r="E774" t="inlineStr">
        <is>
          <t>GÄLLIVARE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28111-2024</t>
        </is>
      </c>
      <c r="B775" s="1" t="n">
        <v>45476</v>
      </c>
      <c r="C775" s="1" t="n">
        <v>45700</v>
      </c>
      <c r="D775" t="inlineStr">
        <is>
          <t>NORRBOTTENS LÄN</t>
        </is>
      </c>
      <c r="E775" t="inlineStr">
        <is>
          <t>GÄLLIVARE</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28193-2024</t>
        </is>
      </c>
      <c r="B776" s="1" t="n">
        <v>45476</v>
      </c>
      <c r="C776" s="1" t="n">
        <v>45700</v>
      </c>
      <c r="D776" t="inlineStr">
        <is>
          <t>NORRBOTTENS LÄN</t>
        </is>
      </c>
      <c r="E776" t="inlineStr">
        <is>
          <t>GÄLLIVARE</t>
        </is>
      </c>
      <c r="G776" t="n">
        <v>2.9</v>
      </c>
      <c r="H776" t="n">
        <v>0</v>
      </c>
      <c r="I776" t="n">
        <v>0</v>
      </c>
      <c r="J776" t="n">
        <v>0</v>
      </c>
      <c r="K776" t="n">
        <v>0</v>
      </c>
      <c r="L776" t="n">
        <v>0</v>
      </c>
      <c r="M776" t="n">
        <v>0</v>
      </c>
      <c r="N776" t="n">
        <v>0</v>
      </c>
      <c r="O776" t="n">
        <v>0</v>
      </c>
      <c r="P776" t="n">
        <v>0</v>
      </c>
      <c r="Q776" t="n">
        <v>0</v>
      </c>
      <c r="R776" s="2" t="inlineStr"/>
    </row>
    <row r="777" ht="15" customHeight="1">
      <c r="A777" t="inlineStr">
        <is>
          <t>A 28010-2024</t>
        </is>
      </c>
      <c r="B777" s="1" t="n">
        <v>45476</v>
      </c>
      <c r="C777" s="1" t="n">
        <v>45700</v>
      </c>
      <c r="D777" t="inlineStr">
        <is>
          <t>NORRBOTTENS LÄN</t>
        </is>
      </c>
      <c r="E777" t="inlineStr">
        <is>
          <t>GÄLLIVARE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28104-2024</t>
        </is>
      </c>
      <c r="B778" s="1" t="n">
        <v>45476</v>
      </c>
      <c r="C778" s="1" t="n">
        <v>45700</v>
      </c>
      <c r="D778" t="inlineStr">
        <is>
          <t>NORRBOTTENS LÄN</t>
        </is>
      </c>
      <c r="E778" t="inlineStr">
        <is>
          <t>GÄLLIVARE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28700-2024</t>
        </is>
      </c>
      <c r="B779" s="1" t="n">
        <v>45478</v>
      </c>
      <c r="C779" s="1" t="n">
        <v>45700</v>
      </c>
      <c r="D779" t="inlineStr">
        <is>
          <t>NORRBOTTENS LÄN</t>
        </is>
      </c>
      <c r="E779" t="inlineStr">
        <is>
          <t>GÄLLIVARE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29010-2024</t>
        </is>
      </c>
      <c r="B780" s="1" t="n">
        <v>45481</v>
      </c>
      <c r="C780" s="1" t="n">
        <v>45700</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29011-2024</t>
        </is>
      </c>
      <c r="B781" s="1" t="n">
        <v>45481</v>
      </c>
      <c r="C781" s="1" t="n">
        <v>45700</v>
      </c>
      <c r="D781" t="inlineStr">
        <is>
          <t>NORRBOTTENS LÄN</t>
        </is>
      </c>
      <c r="E781" t="inlineStr">
        <is>
          <t>GÄLLIVARE</t>
        </is>
      </c>
      <c r="G781" t="n">
        <v>0.7</v>
      </c>
      <c r="H781" t="n">
        <v>0</v>
      </c>
      <c r="I781" t="n">
        <v>0</v>
      </c>
      <c r="J781" t="n">
        <v>0</v>
      </c>
      <c r="K781" t="n">
        <v>0</v>
      </c>
      <c r="L781" t="n">
        <v>0</v>
      </c>
      <c r="M781" t="n">
        <v>0</v>
      </c>
      <c r="N781" t="n">
        <v>0</v>
      </c>
      <c r="O781" t="n">
        <v>0</v>
      </c>
      <c r="P781" t="n">
        <v>0</v>
      </c>
      <c r="Q781" t="n">
        <v>0</v>
      </c>
      <c r="R781" s="2" t="inlineStr"/>
    </row>
    <row r="782" ht="15" customHeight="1">
      <c r="A782" t="inlineStr">
        <is>
          <t>A 29254-2024</t>
        </is>
      </c>
      <c r="B782" s="1" t="n">
        <v>45482</v>
      </c>
      <c r="C782" s="1" t="n">
        <v>45700</v>
      </c>
      <c r="D782" t="inlineStr">
        <is>
          <t>NORRBOTTENS LÄN</t>
        </is>
      </c>
      <c r="E782" t="inlineStr">
        <is>
          <t>GÄLLIVARE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29253-2024</t>
        </is>
      </c>
      <c r="B783" s="1" t="n">
        <v>45482</v>
      </c>
      <c r="C783" s="1" t="n">
        <v>45700</v>
      </c>
      <c r="D783" t="inlineStr">
        <is>
          <t>NORRBOTTENS LÄN</t>
        </is>
      </c>
      <c r="E783" t="inlineStr">
        <is>
          <t>GÄLLIVARE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29381-2024</t>
        </is>
      </c>
      <c r="B784" s="1" t="n">
        <v>45483</v>
      </c>
      <c r="C784" s="1" t="n">
        <v>45700</v>
      </c>
      <c r="D784" t="inlineStr">
        <is>
          <t>NORRBOTTENS LÄN</t>
        </is>
      </c>
      <c r="E784" t="inlineStr">
        <is>
          <t>GÄLLIVARE</t>
        </is>
      </c>
      <c r="F784" t="inlineStr">
        <is>
          <t>Sveaskog</t>
        </is>
      </c>
      <c r="G784" t="n">
        <v>7.4</v>
      </c>
      <c r="H784" t="n">
        <v>0</v>
      </c>
      <c r="I784" t="n">
        <v>0</v>
      </c>
      <c r="J784" t="n">
        <v>0</v>
      </c>
      <c r="K784" t="n">
        <v>0</v>
      </c>
      <c r="L784" t="n">
        <v>0</v>
      </c>
      <c r="M784" t="n">
        <v>0</v>
      </c>
      <c r="N784" t="n">
        <v>0</v>
      </c>
      <c r="O784" t="n">
        <v>0</v>
      </c>
      <c r="P784" t="n">
        <v>0</v>
      </c>
      <c r="Q784" t="n">
        <v>0</v>
      </c>
      <c r="R784" s="2" t="inlineStr"/>
    </row>
    <row r="785" ht="15" customHeight="1">
      <c r="A785" t="inlineStr">
        <is>
          <t>A 29385-2024</t>
        </is>
      </c>
      <c r="B785" s="1" t="n">
        <v>45483</v>
      </c>
      <c r="C785" s="1" t="n">
        <v>45700</v>
      </c>
      <c r="D785" t="inlineStr">
        <is>
          <t>NORRBOTTENS LÄN</t>
        </is>
      </c>
      <c r="E785" t="inlineStr">
        <is>
          <t>GÄLLIVARE</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29750-2024</t>
        </is>
      </c>
      <c r="B786" s="1" t="n">
        <v>45485</v>
      </c>
      <c r="C786" s="1" t="n">
        <v>45700</v>
      </c>
      <c r="D786" t="inlineStr">
        <is>
          <t>NORRBOTTENS LÄN</t>
        </is>
      </c>
      <c r="E786" t="inlineStr">
        <is>
          <t>GÄLLIVARE</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29782-2024</t>
        </is>
      </c>
      <c r="B787" s="1" t="n">
        <v>45485</v>
      </c>
      <c r="C787" s="1" t="n">
        <v>45700</v>
      </c>
      <c r="D787" t="inlineStr">
        <is>
          <t>NORRBOTTENS LÄN</t>
        </is>
      </c>
      <c r="E787" t="inlineStr">
        <is>
          <t>GÄLLIVARE</t>
        </is>
      </c>
      <c r="F787" t="inlineStr">
        <is>
          <t>Sveaskog</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29751-2024</t>
        </is>
      </c>
      <c r="B788" s="1" t="n">
        <v>45485</v>
      </c>
      <c r="C788" s="1" t="n">
        <v>45700</v>
      </c>
      <c r="D788" t="inlineStr">
        <is>
          <t>NORRBOTTENS LÄN</t>
        </is>
      </c>
      <c r="E788" t="inlineStr">
        <is>
          <t>GÄLLIVARE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29760-2024</t>
        </is>
      </c>
      <c r="B789" s="1" t="n">
        <v>45485</v>
      </c>
      <c r="C789" s="1" t="n">
        <v>45700</v>
      </c>
      <c r="D789" t="inlineStr">
        <is>
          <t>NORRBOTTENS LÄN</t>
        </is>
      </c>
      <c r="E789" t="inlineStr">
        <is>
          <t>GÄLLIVARE</t>
        </is>
      </c>
      <c r="F789" t="inlineStr">
        <is>
          <t>Sveaskog</t>
        </is>
      </c>
      <c r="G789" t="n">
        <v>19.2</v>
      </c>
      <c r="H789" t="n">
        <v>0</v>
      </c>
      <c r="I789" t="n">
        <v>0</v>
      </c>
      <c r="J789" t="n">
        <v>0</v>
      </c>
      <c r="K789" t="n">
        <v>0</v>
      </c>
      <c r="L789" t="n">
        <v>0</v>
      </c>
      <c r="M789" t="n">
        <v>0</v>
      </c>
      <c r="N789" t="n">
        <v>0</v>
      </c>
      <c r="O789" t="n">
        <v>0</v>
      </c>
      <c r="P789" t="n">
        <v>0</v>
      </c>
      <c r="Q789" t="n">
        <v>0</v>
      </c>
      <c r="R789" s="2" t="inlineStr"/>
    </row>
    <row r="790" ht="15" customHeight="1">
      <c r="A790" t="inlineStr">
        <is>
          <t>A 29753-2024</t>
        </is>
      </c>
      <c r="B790" s="1" t="n">
        <v>45485</v>
      </c>
      <c r="C790" s="1" t="n">
        <v>45700</v>
      </c>
      <c r="D790" t="inlineStr">
        <is>
          <t>NORRBOTTENS LÄN</t>
        </is>
      </c>
      <c r="E790" t="inlineStr">
        <is>
          <t>GÄLLIVARE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29781-2024</t>
        </is>
      </c>
      <c r="B791" s="1" t="n">
        <v>45485</v>
      </c>
      <c r="C791" s="1" t="n">
        <v>45700</v>
      </c>
      <c r="D791" t="inlineStr">
        <is>
          <t>NORRBOTTENS LÄN</t>
        </is>
      </c>
      <c r="E791" t="inlineStr">
        <is>
          <t>GÄLLIVARE</t>
        </is>
      </c>
      <c r="F791" t="inlineStr">
        <is>
          <t>Sveaskog</t>
        </is>
      </c>
      <c r="G791" t="n">
        <v>23.4</v>
      </c>
      <c r="H791" t="n">
        <v>0</v>
      </c>
      <c r="I791" t="n">
        <v>0</v>
      </c>
      <c r="J791" t="n">
        <v>0</v>
      </c>
      <c r="K791" t="n">
        <v>0</v>
      </c>
      <c r="L791" t="n">
        <v>0</v>
      </c>
      <c r="M791" t="n">
        <v>0</v>
      </c>
      <c r="N791" t="n">
        <v>0</v>
      </c>
      <c r="O791" t="n">
        <v>0</v>
      </c>
      <c r="P791" t="n">
        <v>0</v>
      </c>
      <c r="Q791" t="n">
        <v>0</v>
      </c>
      <c r="R791" s="2" t="inlineStr"/>
    </row>
    <row r="792" ht="15" customHeight="1">
      <c r="A792" t="inlineStr">
        <is>
          <t>A 30075-2024</t>
        </is>
      </c>
      <c r="B792" s="1" t="n">
        <v>45489</v>
      </c>
      <c r="C792" s="1" t="n">
        <v>45700</v>
      </c>
      <c r="D792" t="inlineStr">
        <is>
          <t>NORRBOTTENS LÄN</t>
        </is>
      </c>
      <c r="E792" t="inlineStr">
        <is>
          <t>GÄLLIVARE</t>
        </is>
      </c>
      <c r="F792" t="inlineStr">
        <is>
          <t>Sveaskog</t>
        </is>
      </c>
      <c r="G792" t="n">
        <v>6.8</v>
      </c>
      <c r="H792" t="n">
        <v>0</v>
      </c>
      <c r="I792" t="n">
        <v>0</v>
      </c>
      <c r="J792" t="n">
        <v>0</v>
      </c>
      <c r="K792" t="n">
        <v>0</v>
      </c>
      <c r="L792" t="n">
        <v>0</v>
      </c>
      <c r="M792" t="n">
        <v>0</v>
      </c>
      <c r="N792" t="n">
        <v>0</v>
      </c>
      <c r="O792" t="n">
        <v>0</v>
      </c>
      <c r="P792" t="n">
        <v>0</v>
      </c>
      <c r="Q792" t="n">
        <v>0</v>
      </c>
      <c r="R792" s="2" t="inlineStr"/>
    </row>
    <row r="793" ht="15" customHeight="1">
      <c r="A793" t="inlineStr">
        <is>
          <t>A 30073-2024</t>
        </is>
      </c>
      <c r="B793" s="1" t="n">
        <v>45489</v>
      </c>
      <c r="C793" s="1" t="n">
        <v>45700</v>
      </c>
      <c r="D793" t="inlineStr">
        <is>
          <t>NORRBOTTENS LÄN</t>
        </is>
      </c>
      <c r="E793" t="inlineStr">
        <is>
          <t>GÄLLIVARE</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30367-2024</t>
        </is>
      </c>
      <c r="B794" s="1" t="n">
        <v>45491</v>
      </c>
      <c r="C794" s="1" t="n">
        <v>45700</v>
      </c>
      <c r="D794" t="inlineStr">
        <is>
          <t>NORRBOTTENS LÄN</t>
        </is>
      </c>
      <c r="E794" t="inlineStr">
        <is>
          <t>GÄLLIVARE</t>
        </is>
      </c>
      <c r="G794" t="n">
        <v>8</v>
      </c>
      <c r="H794" t="n">
        <v>0</v>
      </c>
      <c r="I794" t="n">
        <v>0</v>
      </c>
      <c r="J794" t="n">
        <v>0</v>
      </c>
      <c r="K794" t="n">
        <v>0</v>
      </c>
      <c r="L794" t="n">
        <v>0</v>
      </c>
      <c r="M794" t="n">
        <v>0</v>
      </c>
      <c r="N794" t="n">
        <v>0</v>
      </c>
      <c r="O794" t="n">
        <v>0</v>
      </c>
      <c r="P794" t="n">
        <v>0</v>
      </c>
      <c r="Q794" t="n">
        <v>0</v>
      </c>
      <c r="R794" s="2" t="inlineStr"/>
    </row>
    <row r="795" ht="15" customHeight="1">
      <c r="A795" t="inlineStr">
        <is>
          <t>A 30397-2024</t>
        </is>
      </c>
      <c r="B795" s="1" t="n">
        <v>45491</v>
      </c>
      <c r="C795" s="1" t="n">
        <v>45700</v>
      </c>
      <c r="D795" t="inlineStr">
        <is>
          <t>NORRBOTTENS LÄN</t>
        </is>
      </c>
      <c r="E795" t="inlineStr">
        <is>
          <t>GÄLLIVARE</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30364-2024</t>
        </is>
      </c>
      <c r="B796" s="1" t="n">
        <v>45491</v>
      </c>
      <c r="C796" s="1" t="n">
        <v>45700</v>
      </c>
      <c r="D796" t="inlineStr">
        <is>
          <t>NORRBOTTENS LÄN</t>
        </is>
      </c>
      <c r="E796" t="inlineStr">
        <is>
          <t>GÄLLIVARE</t>
        </is>
      </c>
      <c r="G796" t="n">
        <v>3.3</v>
      </c>
      <c r="H796" t="n">
        <v>0</v>
      </c>
      <c r="I796" t="n">
        <v>0</v>
      </c>
      <c r="J796" t="n">
        <v>0</v>
      </c>
      <c r="K796" t="n">
        <v>0</v>
      </c>
      <c r="L796" t="n">
        <v>0</v>
      </c>
      <c r="M796" t="n">
        <v>0</v>
      </c>
      <c r="N796" t="n">
        <v>0</v>
      </c>
      <c r="O796" t="n">
        <v>0</v>
      </c>
      <c r="P796" t="n">
        <v>0</v>
      </c>
      <c r="Q796" t="n">
        <v>0</v>
      </c>
      <c r="R796" s="2" t="inlineStr"/>
    </row>
    <row r="797" ht="15" customHeight="1">
      <c r="A797" t="inlineStr">
        <is>
          <t>A 30431-2024</t>
        </is>
      </c>
      <c r="B797" s="1" t="n">
        <v>45491</v>
      </c>
      <c r="C797" s="1" t="n">
        <v>45700</v>
      </c>
      <c r="D797" t="inlineStr">
        <is>
          <t>NORRBOTTENS LÄN</t>
        </is>
      </c>
      <c r="E797" t="inlineStr">
        <is>
          <t>GÄLLIVARE</t>
        </is>
      </c>
      <c r="G797" t="n">
        <v>7.1</v>
      </c>
      <c r="H797" t="n">
        <v>0</v>
      </c>
      <c r="I797" t="n">
        <v>0</v>
      </c>
      <c r="J797" t="n">
        <v>0</v>
      </c>
      <c r="K797" t="n">
        <v>0</v>
      </c>
      <c r="L797" t="n">
        <v>0</v>
      </c>
      <c r="M797" t="n">
        <v>0</v>
      </c>
      <c r="N797" t="n">
        <v>0</v>
      </c>
      <c r="O797" t="n">
        <v>0</v>
      </c>
      <c r="P797" t="n">
        <v>0</v>
      </c>
      <c r="Q797" t="n">
        <v>0</v>
      </c>
      <c r="R797" s="2" t="inlineStr"/>
    </row>
    <row r="798" ht="15" customHeight="1">
      <c r="A798" t="inlineStr">
        <is>
          <t>A 30847-2024</t>
        </is>
      </c>
      <c r="B798" s="1" t="n">
        <v>45497</v>
      </c>
      <c r="C798" s="1" t="n">
        <v>45700</v>
      </c>
      <c r="D798" t="inlineStr">
        <is>
          <t>NORRBOTTENS LÄN</t>
        </is>
      </c>
      <c r="E798" t="inlineStr">
        <is>
          <t>GÄLLIVARE</t>
        </is>
      </c>
      <c r="F798" t="inlineStr">
        <is>
          <t>Sveaskog</t>
        </is>
      </c>
      <c r="G798" t="n">
        <v>28.3</v>
      </c>
      <c r="H798" t="n">
        <v>0</v>
      </c>
      <c r="I798" t="n">
        <v>0</v>
      </c>
      <c r="J798" t="n">
        <v>0</v>
      </c>
      <c r="K798" t="n">
        <v>0</v>
      </c>
      <c r="L798" t="n">
        <v>0</v>
      </c>
      <c r="M798" t="n">
        <v>0</v>
      </c>
      <c r="N798" t="n">
        <v>0</v>
      </c>
      <c r="O798" t="n">
        <v>0</v>
      </c>
      <c r="P798" t="n">
        <v>0</v>
      </c>
      <c r="Q798" t="n">
        <v>0</v>
      </c>
      <c r="R798" s="2" t="inlineStr"/>
    </row>
    <row r="799" ht="15" customHeight="1">
      <c r="A799" t="inlineStr">
        <is>
          <t>A 31290-2024</t>
        </is>
      </c>
      <c r="B799" s="1" t="n">
        <v>45504</v>
      </c>
      <c r="C799" s="1" t="n">
        <v>45700</v>
      </c>
      <c r="D799" t="inlineStr">
        <is>
          <t>NORRBOTTENS LÄN</t>
        </is>
      </c>
      <c r="E799" t="inlineStr">
        <is>
          <t>GÄLLIVARE</t>
        </is>
      </c>
      <c r="F799" t="inlineStr">
        <is>
          <t>Sveaskog</t>
        </is>
      </c>
      <c r="G799" t="n">
        <v>5.8</v>
      </c>
      <c r="H799" t="n">
        <v>0</v>
      </c>
      <c r="I799" t="n">
        <v>0</v>
      </c>
      <c r="J799" t="n">
        <v>0</v>
      </c>
      <c r="K799" t="n">
        <v>0</v>
      </c>
      <c r="L799" t="n">
        <v>0</v>
      </c>
      <c r="M799" t="n">
        <v>0</v>
      </c>
      <c r="N799" t="n">
        <v>0</v>
      </c>
      <c r="O799" t="n">
        <v>0</v>
      </c>
      <c r="P799" t="n">
        <v>0</v>
      </c>
      <c r="Q799" t="n">
        <v>0</v>
      </c>
      <c r="R799" s="2" t="inlineStr"/>
    </row>
    <row r="800" ht="15" customHeight="1">
      <c r="A800" t="inlineStr">
        <is>
          <t>A 31450-2024</t>
        </is>
      </c>
      <c r="B800" s="1" t="n">
        <v>45505</v>
      </c>
      <c r="C800" s="1" t="n">
        <v>45700</v>
      </c>
      <c r="D800" t="inlineStr">
        <is>
          <t>NORRBOTTENS LÄN</t>
        </is>
      </c>
      <c r="E800" t="inlineStr">
        <is>
          <t>GÄLLIVARE</t>
        </is>
      </c>
      <c r="G800" t="n">
        <v>5.5</v>
      </c>
      <c r="H800" t="n">
        <v>0</v>
      </c>
      <c r="I800" t="n">
        <v>0</v>
      </c>
      <c r="J800" t="n">
        <v>0</v>
      </c>
      <c r="K800" t="n">
        <v>0</v>
      </c>
      <c r="L800" t="n">
        <v>0</v>
      </c>
      <c r="M800" t="n">
        <v>0</v>
      </c>
      <c r="N800" t="n">
        <v>0</v>
      </c>
      <c r="O800" t="n">
        <v>0</v>
      </c>
      <c r="P800" t="n">
        <v>0</v>
      </c>
      <c r="Q800" t="n">
        <v>0</v>
      </c>
      <c r="R800" s="2" t="inlineStr"/>
    </row>
    <row r="801" ht="15" customHeight="1">
      <c r="A801" t="inlineStr">
        <is>
          <t>A 32801-2024</t>
        </is>
      </c>
      <c r="B801" s="1" t="n">
        <v>45516</v>
      </c>
      <c r="C801" s="1" t="n">
        <v>45700</v>
      </c>
      <c r="D801" t="inlineStr">
        <is>
          <t>NORRBOTTENS LÄN</t>
        </is>
      </c>
      <c r="E801" t="inlineStr">
        <is>
          <t>GÄLLIVARE</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34741-2024</t>
        </is>
      </c>
      <c r="B802" s="1" t="n">
        <v>45526</v>
      </c>
      <c r="C802" s="1" t="n">
        <v>45700</v>
      </c>
      <c r="D802" t="inlineStr">
        <is>
          <t>NORRBOTTENS LÄN</t>
        </is>
      </c>
      <c r="E802" t="inlineStr">
        <is>
          <t>GÄLLIVARE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34745-2024</t>
        </is>
      </c>
      <c r="B803" s="1" t="n">
        <v>45526</v>
      </c>
      <c r="C803" s="1" t="n">
        <v>45700</v>
      </c>
      <c r="D803" t="inlineStr">
        <is>
          <t>NORRBOTTENS LÄN</t>
        </is>
      </c>
      <c r="E803" t="inlineStr">
        <is>
          <t>GÄLLIVARE</t>
        </is>
      </c>
      <c r="F803" t="inlineStr">
        <is>
          <t>Sveaskog</t>
        </is>
      </c>
      <c r="G803" t="n">
        <v>8.4</v>
      </c>
      <c r="H803" t="n">
        <v>0</v>
      </c>
      <c r="I803" t="n">
        <v>0</v>
      </c>
      <c r="J803" t="n">
        <v>0</v>
      </c>
      <c r="K803" t="n">
        <v>0</v>
      </c>
      <c r="L803" t="n">
        <v>0</v>
      </c>
      <c r="M803" t="n">
        <v>0</v>
      </c>
      <c r="N803" t="n">
        <v>0</v>
      </c>
      <c r="O803" t="n">
        <v>0</v>
      </c>
      <c r="P803" t="n">
        <v>0</v>
      </c>
      <c r="Q803" t="n">
        <v>0</v>
      </c>
      <c r="R803" s="2" t="inlineStr"/>
    </row>
    <row r="804" ht="15" customHeight="1">
      <c r="A804" t="inlineStr">
        <is>
          <t>A 35307-2024</t>
        </is>
      </c>
      <c r="B804" s="1" t="n">
        <v>45530</v>
      </c>
      <c r="C804" s="1" t="n">
        <v>45700</v>
      </c>
      <c r="D804" t="inlineStr">
        <is>
          <t>NORRBOTTENS LÄN</t>
        </is>
      </c>
      <c r="E804" t="inlineStr">
        <is>
          <t>GÄLLIVARE</t>
        </is>
      </c>
      <c r="F804" t="inlineStr">
        <is>
          <t>Sveaskog</t>
        </is>
      </c>
      <c r="G804" t="n">
        <v>15.8</v>
      </c>
      <c r="H804" t="n">
        <v>0</v>
      </c>
      <c r="I804" t="n">
        <v>0</v>
      </c>
      <c r="J804" t="n">
        <v>0</v>
      </c>
      <c r="K804" t="n">
        <v>0</v>
      </c>
      <c r="L804" t="n">
        <v>0</v>
      </c>
      <c r="M804" t="n">
        <v>0</v>
      </c>
      <c r="N804" t="n">
        <v>0</v>
      </c>
      <c r="O804" t="n">
        <v>0</v>
      </c>
      <c r="P804" t="n">
        <v>0</v>
      </c>
      <c r="Q804" t="n">
        <v>0</v>
      </c>
      <c r="R804" s="2" t="inlineStr"/>
    </row>
    <row r="805" ht="15" customHeight="1">
      <c r="A805" t="inlineStr">
        <is>
          <t>A 35323-2024</t>
        </is>
      </c>
      <c r="B805" s="1" t="n">
        <v>45530</v>
      </c>
      <c r="C805" s="1" t="n">
        <v>45700</v>
      </c>
      <c r="D805" t="inlineStr">
        <is>
          <t>NORRBOTTENS LÄN</t>
        </is>
      </c>
      <c r="E805" t="inlineStr">
        <is>
          <t>GÄLLIVARE</t>
        </is>
      </c>
      <c r="F805" t="inlineStr">
        <is>
          <t>Sveaskog</t>
        </is>
      </c>
      <c r="G805" t="n">
        <v>8.6</v>
      </c>
      <c r="H805" t="n">
        <v>0</v>
      </c>
      <c r="I805" t="n">
        <v>0</v>
      </c>
      <c r="J805" t="n">
        <v>0</v>
      </c>
      <c r="K805" t="n">
        <v>0</v>
      </c>
      <c r="L805" t="n">
        <v>0</v>
      </c>
      <c r="M805" t="n">
        <v>0</v>
      </c>
      <c r="N805" t="n">
        <v>0</v>
      </c>
      <c r="O805" t="n">
        <v>0</v>
      </c>
      <c r="P805" t="n">
        <v>0</v>
      </c>
      <c r="Q805" t="n">
        <v>0</v>
      </c>
      <c r="R805" s="2" t="inlineStr"/>
    </row>
    <row r="806" ht="15" customHeight="1">
      <c r="A806" t="inlineStr">
        <is>
          <t>A 36510-2024</t>
        </is>
      </c>
      <c r="B806" s="1" t="n">
        <v>45537</v>
      </c>
      <c r="C806" s="1" t="n">
        <v>45700</v>
      </c>
      <c r="D806" t="inlineStr">
        <is>
          <t>NORRBOTTENS LÄN</t>
        </is>
      </c>
      <c r="E806" t="inlineStr">
        <is>
          <t>GÄLLIVARE</t>
        </is>
      </c>
      <c r="F806" t="inlineStr">
        <is>
          <t>Sveaskog</t>
        </is>
      </c>
      <c r="G806" t="n">
        <v>8.5</v>
      </c>
      <c r="H806" t="n">
        <v>0</v>
      </c>
      <c r="I806" t="n">
        <v>0</v>
      </c>
      <c r="J806" t="n">
        <v>0</v>
      </c>
      <c r="K806" t="n">
        <v>0</v>
      </c>
      <c r="L806" t="n">
        <v>0</v>
      </c>
      <c r="M806" t="n">
        <v>0</v>
      </c>
      <c r="N806" t="n">
        <v>0</v>
      </c>
      <c r="O806" t="n">
        <v>0</v>
      </c>
      <c r="P806" t="n">
        <v>0</v>
      </c>
      <c r="Q806" t="n">
        <v>0</v>
      </c>
      <c r="R806" s="2" t="inlineStr"/>
    </row>
    <row r="807" ht="15" customHeight="1">
      <c r="A807" t="inlineStr">
        <is>
          <t>A 36511-2024</t>
        </is>
      </c>
      <c r="B807" s="1" t="n">
        <v>45537</v>
      </c>
      <c r="C807" s="1" t="n">
        <v>45700</v>
      </c>
      <c r="D807" t="inlineStr">
        <is>
          <t>NORRBOTTENS LÄN</t>
        </is>
      </c>
      <c r="E807" t="inlineStr">
        <is>
          <t>GÄLLIVARE</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37149-2024</t>
        </is>
      </c>
      <c r="B808" s="1" t="n">
        <v>45539</v>
      </c>
      <c r="C808" s="1" t="n">
        <v>45700</v>
      </c>
      <c r="D808" t="inlineStr">
        <is>
          <t>NORRBOTTENS LÄN</t>
        </is>
      </c>
      <c r="E808" t="inlineStr">
        <is>
          <t>GÄLLIVARE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38720-2024</t>
        </is>
      </c>
      <c r="B809" s="1" t="n">
        <v>45547</v>
      </c>
      <c r="C809" s="1" t="n">
        <v>45700</v>
      </c>
      <c r="D809" t="inlineStr">
        <is>
          <t>NORRBOTTENS LÄN</t>
        </is>
      </c>
      <c r="E809" t="inlineStr">
        <is>
          <t>GÄLLIVARE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38751-2024</t>
        </is>
      </c>
      <c r="B810" s="1" t="n">
        <v>45547</v>
      </c>
      <c r="C810" s="1" t="n">
        <v>45700</v>
      </c>
      <c r="D810" t="inlineStr">
        <is>
          <t>NORRBOTTENS LÄN</t>
        </is>
      </c>
      <c r="E810" t="inlineStr">
        <is>
          <t>GÄLLIVARE</t>
        </is>
      </c>
      <c r="G810" t="n">
        <v>2.3</v>
      </c>
      <c r="H810" t="n">
        <v>0</v>
      </c>
      <c r="I810" t="n">
        <v>0</v>
      </c>
      <c r="J810" t="n">
        <v>0</v>
      </c>
      <c r="K810" t="n">
        <v>0</v>
      </c>
      <c r="L810" t="n">
        <v>0</v>
      </c>
      <c r="M810" t="n">
        <v>0</v>
      </c>
      <c r="N810" t="n">
        <v>0</v>
      </c>
      <c r="O810" t="n">
        <v>0</v>
      </c>
      <c r="P810" t="n">
        <v>0</v>
      </c>
      <c r="Q810" t="n">
        <v>0</v>
      </c>
      <c r="R810" s="2" t="inlineStr"/>
    </row>
    <row r="811" ht="15" customHeight="1">
      <c r="A811" t="inlineStr">
        <is>
          <t>A 38847-2024</t>
        </is>
      </c>
      <c r="B811" s="1" t="n">
        <v>45547</v>
      </c>
      <c r="C811" s="1" t="n">
        <v>45700</v>
      </c>
      <c r="D811" t="inlineStr">
        <is>
          <t>NORRBOTTENS LÄN</t>
        </is>
      </c>
      <c r="E811" t="inlineStr">
        <is>
          <t>GÄLLIVARE</t>
        </is>
      </c>
      <c r="G811" t="n">
        <v>20.9</v>
      </c>
      <c r="H811" t="n">
        <v>0</v>
      </c>
      <c r="I811" t="n">
        <v>0</v>
      </c>
      <c r="J811" t="n">
        <v>0</v>
      </c>
      <c r="K811" t="n">
        <v>0</v>
      </c>
      <c r="L811" t="n">
        <v>0</v>
      </c>
      <c r="M811" t="n">
        <v>0</v>
      </c>
      <c r="N811" t="n">
        <v>0</v>
      </c>
      <c r="O811" t="n">
        <v>0</v>
      </c>
      <c r="P811" t="n">
        <v>0</v>
      </c>
      <c r="Q811" t="n">
        <v>0</v>
      </c>
      <c r="R811" s="2" t="inlineStr"/>
    </row>
    <row r="812" ht="15" customHeight="1">
      <c r="A812" t="inlineStr">
        <is>
          <t>A 39060-2024</t>
        </is>
      </c>
      <c r="B812" s="1" t="n">
        <v>45548</v>
      </c>
      <c r="C812" s="1" t="n">
        <v>45700</v>
      </c>
      <c r="D812" t="inlineStr">
        <is>
          <t>NORRBOTTENS LÄN</t>
        </is>
      </c>
      <c r="E812" t="inlineStr">
        <is>
          <t>GÄLLIVARE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39757-2024</t>
        </is>
      </c>
      <c r="B813" s="1" t="n">
        <v>45552</v>
      </c>
      <c r="C813" s="1" t="n">
        <v>45700</v>
      </c>
      <c r="D813" t="inlineStr">
        <is>
          <t>NORRBOTTENS LÄN</t>
        </is>
      </c>
      <c r="E813" t="inlineStr">
        <is>
          <t>GÄLLIVARE</t>
        </is>
      </c>
      <c r="F813" t="inlineStr">
        <is>
          <t>Allmännings- och besparingsskogar</t>
        </is>
      </c>
      <c r="G813" t="n">
        <v>36.2</v>
      </c>
      <c r="H813" t="n">
        <v>0</v>
      </c>
      <c r="I813" t="n">
        <v>0</v>
      </c>
      <c r="J813" t="n">
        <v>0</v>
      </c>
      <c r="K813" t="n">
        <v>0</v>
      </c>
      <c r="L813" t="n">
        <v>0</v>
      </c>
      <c r="M813" t="n">
        <v>0</v>
      </c>
      <c r="N813" t="n">
        <v>0</v>
      </c>
      <c r="O813" t="n">
        <v>0</v>
      </c>
      <c r="P813" t="n">
        <v>0</v>
      </c>
      <c r="Q813" t="n">
        <v>0</v>
      </c>
      <c r="R813" s="2" t="inlineStr"/>
    </row>
    <row r="814" ht="15" customHeight="1">
      <c r="A814" t="inlineStr">
        <is>
          <t>A 39756-2024</t>
        </is>
      </c>
      <c r="B814" s="1" t="n">
        <v>45552</v>
      </c>
      <c r="C814" s="1" t="n">
        <v>45700</v>
      </c>
      <c r="D814" t="inlineStr">
        <is>
          <t>NORRBOTTENS LÄN</t>
        </is>
      </c>
      <c r="E814" t="inlineStr">
        <is>
          <t>GÄLLIVARE</t>
        </is>
      </c>
      <c r="F814" t="inlineStr">
        <is>
          <t>Allmännings- och besparingsskogar</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39820-2024</t>
        </is>
      </c>
      <c r="B815" s="1" t="n">
        <v>45553</v>
      </c>
      <c r="C815" s="1" t="n">
        <v>45700</v>
      </c>
      <c r="D815" t="inlineStr">
        <is>
          <t>NORRBOTTENS LÄN</t>
        </is>
      </c>
      <c r="E815" t="inlineStr">
        <is>
          <t>GÄLLIVARE</t>
        </is>
      </c>
      <c r="F815" t="inlineStr">
        <is>
          <t>Sveaskog</t>
        </is>
      </c>
      <c r="G815" t="n">
        <v>10.9</v>
      </c>
      <c r="H815" t="n">
        <v>0</v>
      </c>
      <c r="I815" t="n">
        <v>0</v>
      </c>
      <c r="J815" t="n">
        <v>0</v>
      </c>
      <c r="K815" t="n">
        <v>0</v>
      </c>
      <c r="L815" t="n">
        <v>0</v>
      </c>
      <c r="M815" t="n">
        <v>0</v>
      </c>
      <c r="N815" t="n">
        <v>0</v>
      </c>
      <c r="O815" t="n">
        <v>0</v>
      </c>
      <c r="P815" t="n">
        <v>0</v>
      </c>
      <c r="Q815" t="n">
        <v>0</v>
      </c>
      <c r="R815" s="2" t="inlineStr"/>
    </row>
    <row r="816" ht="15" customHeight="1">
      <c r="A816" t="inlineStr">
        <is>
          <t>A 39824-2024</t>
        </is>
      </c>
      <c r="B816" s="1" t="n">
        <v>45553</v>
      </c>
      <c r="C816" s="1" t="n">
        <v>45700</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40242-2024</t>
        </is>
      </c>
      <c r="B817" s="1" t="n">
        <v>45554</v>
      </c>
      <c r="C817" s="1" t="n">
        <v>45700</v>
      </c>
      <c r="D817" t="inlineStr">
        <is>
          <t>NORRBOTTENS LÄN</t>
        </is>
      </c>
      <c r="E817" t="inlineStr">
        <is>
          <t>GÄLLIVARE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40380-2024</t>
        </is>
      </c>
      <c r="B818" s="1" t="n">
        <v>45555</v>
      </c>
      <c r="C818" s="1" t="n">
        <v>45700</v>
      </c>
      <c r="D818" t="inlineStr">
        <is>
          <t>NORRBOTTENS LÄN</t>
        </is>
      </c>
      <c r="E818" t="inlineStr">
        <is>
          <t>GÄLLIVARE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40379-2024</t>
        </is>
      </c>
      <c r="B819" s="1" t="n">
        <v>45555</v>
      </c>
      <c r="C819" s="1" t="n">
        <v>45700</v>
      </c>
      <c r="D819" t="inlineStr">
        <is>
          <t>NORRBOTTENS LÄN</t>
        </is>
      </c>
      <c r="E819" t="inlineStr">
        <is>
          <t>GÄLLIVARE</t>
        </is>
      </c>
      <c r="F819" t="inlineStr">
        <is>
          <t>Sveaskog</t>
        </is>
      </c>
      <c r="G819" t="n">
        <v>10.5</v>
      </c>
      <c r="H819" t="n">
        <v>0</v>
      </c>
      <c r="I819" t="n">
        <v>0</v>
      </c>
      <c r="J819" t="n">
        <v>0</v>
      </c>
      <c r="K819" t="n">
        <v>0</v>
      </c>
      <c r="L819" t="n">
        <v>0</v>
      </c>
      <c r="M819" t="n">
        <v>0</v>
      </c>
      <c r="N819" t="n">
        <v>0</v>
      </c>
      <c r="O819" t="n">
        <v>0</v>
      </c>
      <c r="P819" t="n">
        <v>0</v>
      </c>
      <c r="Q819" t="n">
        <v>0</v>
      </c>
      <c r="R819" s="2" t="inlineStr"/>
    </row>
    <row r="820" ht="15" customHeight="1">
      <c r="A820" t="inlineStr">
        <is>
          <t>A 40421-2024</t>
        </is>
      </c>
      <c r="B820" s="1" t="n">
        <v>45555</v>
      </c>
      <c r="C820" s="1" t="n">
        <v>45700</v>
      </c>
      <c r="D820" t="inlineStr">
        <is>
          <t>NORRBOTTENS LÄN</t>
        </is>
      </c>
      <c r="E820" t="inlineStr">
        <is>
          <t>GÄLLIVARE</t>
        </is>
      </c>
      <c r="G820" t="n">
        <v>11.7</v>
      </c>
      <c r="H820" t="n">
        <v>0</v>
      </c>
      <c r="I820" t="n">
        <v>0</v>
      </c>
      <c r="J820" t="n">
        <v>0</v>
      </c>
      <c r="K820" t="n">
        <v>0</v>
      </c>
      <c r="L820" t="n">
        <v>0</v>
      </c>
      <c r="M820" t="n">
        <v>0</v>
      </c>
      <c r="N820" t="n">
        <v>0</v>
      </c>
      <c r="O820" t="n">
        <v>0</v>
      </c>
      <c r="P820" t="n">
        <v>0</v>
      </c>
      <c r="Q820" t="n">
        <v>0</v>
      </c>
      <c r="R820" s="2" t="inlineStr"/>
    </row>
    <row r="821" ht="15" customHeight="1">
      <c r="A821" t="inlineStr">
        <is>
          <t>A 40416-2024</t>
        </is>
      </c>
      <c r="B821" s="1" t="n">
        <v>45555</v>
      </c>
      <c r="C821" s="1" t="n">
        <v>45700</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40411-2024</t>
        </is>
      </c>
      <c r="B822" s="1" t="n">
        <v>45555</v>
      </c>
      <c r="C822" s="1" t="n">
        <v>45700</v>
      </c>
      <c r="D822" t="inlineStr">
        <is>
          <t>NORRBOTTENS LÄN</t>
        </is>
      </c>
      <c r="E822" t="inlineStr">
        <is>
          <t>GÄLLIVARE</t>
        </is>
      </c>
      <c r="F822" t="inlineStr">
        <is>
          <t>Sveaskog</t>
        </is>
      </c>
      <c r="G822" t="n">
        <v>9.5</v>
      </c>
      <c r="H822" t="n">
        <v>0</v>
      </c>
      <c r="I822" t="n">
        <v>0</v>
      </c>
      <c r="J822" t="n">
        <v>0</v>
      </c>
      <c r="K822" t="n">
        <v>0</v>
      </c>
      <c r="L822" t="n">
        <v>0</v>
      </c>
      <c r="M822" t="n">
        <v>0</v>
      </c>
      <c r="N822" t="n">
        <v>0</v>
      </c>
      <c r="O822" t="n">
        <v>0</v>
      </c>
      <c r="P822" t="n">
        <v>0</v>
      </c>
      <c r="Q822" t="n">
        <v>0</v>
      </c>
      <c r="R822" s="2" t="inlineStr"/>
    </row>
    <row r="823" ht="15" customHeight="1">
      <c r="A823" t="inlineStr">
        <is>
          <t>A 41044-2024</t>
        </is>
      </c>
      <c r="B823" s="1" t="n">
        <v>45559</v>
      </c>
      <c r="C823" s="1" t="n">
        <v>45700</v>
      </c>
      <c r="D823" t="inlineStr">
        <is>
          <t>NORRBOTTENS LÄN</t>
        </is>
      </c>
      <c r="E823" t="inlineStr">
        <is>
          <t>GÄLLIVARE</t>
        </is>
      </c>
      <c r="G823" t="n">
        <v>4</v>
      </c>
      <c r="H823" t="n">
        <v>0</v>
      </c>
      <c r="I823" t="n">
        <v>0</v>
      </c>
      <c r="J823" t="n">
        <v>0</v>
      </c>
      <c r="K823" t="n">
        <v>0</v>
      </c>
      <c r="L823" t="n">
        <v>0</v>
      </c>
      <c r="M823" t="n">
        <v>0</v>
      </c>
      <c r="N823" t="n">
        <v>0</v>
      </c>
      <c r="O823" t="n">
        <v>0</v>
      </c>
      <c r="P823" t="n">
        <v>0</v>
      </c>
      <c r="Q823" t="n">
        <v>0</v>
      </c>
      <c r="R823" s="2" t="inlineStr"/>
    </row>
    <row r="824" ht="15" customHeight="1">
      <c r="A824" t="inlineStr">
        <is>
          <t>A 41108-2024</t>
        </is>
      </c>
      <c r="B824" s="1" t="n">
        <v>45559</v>
      </c>
      <c r="C824" s="1" t="n">
        <v>45700</v>
      </c>
      <c r="D824" t="inlineStr">
        <is>
          <t>NORRBOTTENS LÄN</t>
        </is>
      </c>
      <c r="E824" t="inlineStr">
        <is>
          <t>GÄLLIVARE</t>
        </is>
      </c>
      <c r="F824" t="inlineStr">
        <is>
          <t>SCA</t>
        </is>
      </c>
      <c r="G824" t="n">
        <v>12.9</v>
      </c>
      <c r="H824" t="n">
        <v>0</v>
      </c>
      <c r="I824" t="n">
        <v>0</v>
      </c>
      <c r="J824" t="n">
        <v>0</v>
      </c>
      <c r="K824" t="n">
        <v>0</v>
      </c>
      <c r="L824" t="n">
        <v>0</v>
      </c>
      <c r="M824" t="n">
        <v>0</v>
      </c>
      <c r="N824" t="n">
        <v>0</v>
      </c>
      <c r="O824" t="n">
        <v>0</v>
      </c>
      <c r="P824" t="n">
        <v>0</v>
      </c>
      <c r="Q824" t="n">
        <v>0</v>
      </c>
      <c r="R824" s="2" t="inlineStr"/>
    </row>
    <row r="825" ht="15" customHeight="1">
      <c r="A825" t="inlineStr">
        <is>
          <t>A 41128-2024</t>
        </is>
      </c>
      <c r="B825" s="1" t="n">
        <v>45559</v>
      </c>
      <c r="C825" s="1" t="n">
        <v>45700</v>
      </c>
      <c r="D825" t="inlineStr">
        <is>
          <t>NORRBOTTENS LÄN</t>
        </is>
      </c>
      <c r="E825" t="inlineStr">
        <is>
          <t>GÄLLIVARE</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41224-2024</t>
        </is>
      </c>
      <c r="B826" s="1" t="n">
        <v>45559</v>
      </c>
      <c r="C826" s="1" t="n">
        <v>45700</v>
      </c>
      <c r="D826" t="inlineStr">
        <is>
          <t>NORRBOTTENS LÄN</t>
        </is>
      </c>
      <c r="E826" t="inlineStr">
        <is>
          <t>GÄLLIVARE</t>
        </is>
      </c>
      <c r="F826" t="inlineStr">
        <is>
          <t>Allmännings- och besparingsskogar</t>
        </is>
      </c>
      <c r="G826" t="n">
        <v>12.5</v>
      </c>
      <c r="H826" t="n">
        <v>0</v>
      </c>
      <c r="I826" t="n">
        <v>0</v>
      </c>
      <c r="J826" t="n">
        <v>0</v>
      </c>
      <c r="K826" t="n">
        <v>0</v>
      </c>
      <c r="L826" t="n">
        <v>0</v>
      </c>
      <c r="M826" t="n">
        <v>0</v>
      </c>
      <c r="N826" t="n">
        <v>0</v>
      </c>
      <c r="O826" t="n">
        <v>0</v>
      </c>
      <c r="P826" t="n">
        <v>0</v>
      </c>
      <c r="Q826" t="n">
        <v>0</v>
      </c>
      <c r="R826" s="2" t="inlineStr"/>
    </row>
    <row r="827" ht="15" customHeight="1">
      <c r="A827" t="inlineStr">
        <is>
          <t>A 41307-2024</t>
        </is>
      </c>
      <c r="B827" s="1" t="n">
        <v>45559</v>
      </c>
      <c r="C827" s="1" t="n">
        <v>45700</v>
      </c>
      <c r="D827" t="inlineStr">
        <is>
          <t>NORRBOTTENS LÄN</t>
        </is>
      </c>
      <c r="E827" t="inlineStr">
        <is>
          <t>GÄLLIVARE</t>
        </is>
      </c>
      <c r="F827" t="inlineStr">
        <is>
          <t>Sveaskog</t>
        </is>
      </c>
      <c r="G827" t="n">
        <v>25.3</v>
      </c>
      <c r="H827" t="n">
        <v>0</v>
      </c>
      <c r="I827" t="n">
        <v>0</v>
      </c>
      <c r="J827" t="n">
        <v>0</v>
      </c>
      <c r="K827" t="n">
        <v>0</v>
      </c>
      <c r="L827" t="n">
        <v>0</v>
      </c>
      <c r="M827" t="n">
        <v>0</v>
      </c>
      <c r="N827" t="n">
        <v>0</v>
      </c>
      <c r="O827" t="n">
        <v>0</v>
      </c>
      <c r="P827" t="n">
        <v>0</v>
      </c>
      <c r="Q827" t="n">
        <v>0</v>
      </c>
      <c r="R827" s="2" t="inlineStr"/>
    </row>
    <row r="828" ht="15" customHeight="1">
      <c r="A828" t="inlineStr">
        <is>
          <t>A 41713-2024</t>
        </is>
      </c>
      <c r="B828" s="1" t="n">
        <v>45560</v>
      </c>
      <c r="C828" s="1" t="n">
        <v>45700</v>
      </c>
      <c r="D828" t="inlineStr">
        <is>
          <t>NORRBOTTENS LÄN</t>
        </is>
      </c>
      <c r="E828" t="inlineStr">
        <is>
          <t>GÄLLIVARE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41843-2024</t>
        </is>
      </c>
      <c r="B829" s="1" t="n">
        <v>45561</v>
      </c>
      <c r="C829" s="1" t="n">
        <v>45700</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41917-2024</t>
        </is>
      </c>
      <c r="B830" s="1" t="n">
        <v>45561</v>
      </c>
      <c r="C830" s="1" t="n">
        <v>45700</v>
      </c>
      <c r="D830" t="inlineStr">
        <is>
          <t>NORRBOTTENS LÄN</t>
        </is>
      </c>
      <c r="E830" t="inlineStr">
        <is>
          <t>GÄLLIVARE</t>
        </is>
      </c>
      <c r="G830" t="n">
        <v>2.4</v>
      </c>
      <c r="H830" t="n">
        <v>0</v>
      </c>
      <c r="I830" t="n">
        <v>0</v>
      </c>
      <c r="J830" t="n">
        <v>0</v>
      </c>
      <c r="K830" t="n">
        <v>0</v>
      </c>
      <c r="L830" t="n">
        <v>0</v>
      </c>
      <c r="M830" t="n">
        <v>0</v>
      </c>
      <c r="N830" t="n">
        <v>0</v>
      </c>
      <c r="O830" t="n">
        <v>0</v>
      </c>
      <c r="P830" t="n">
        <v>0</v>
      </c>
      <c r="Q830" t="n">
        <v>0</v>
      </c>
      <c r="R830" s="2" t="inlineStr"/>
    </row>
    <row r="831" ht="15" customHeight="1">
      <c r="A831" t="inlineStr">
        <is>
          <t>A 41873-2024</t>
        </is>
      </c>
      <c r="B831" s="1" t="n">
        <v>45561</v>
      </c>
      <c r="C831" s="1" t="n">
        <v>45700</v>
      </c>
      <c r="D831" t="inlineStr">
        <is>
          <t>NORRBOTTENS LÄN</t>
        </is>
      </c>
      <c r="E831" t="inlineStr">
        <is>
          <t>GÄLLIVARE</t>
        </is>
      </c>
      <c r="G831" t="n">
        <v>2.1</v>
      </c>
      <c r="H831" t="n">
        <v>0</v>
      </c>
      <c r="I831" t="n">
        <v>0</v>
      </c>
      <c r="J831" t="n">
        <v>0</v>
      </c>
      <c r="K831" t="n">
        <v>0</v>
      </c>
      <c r="L831" t="n">
        <v>0</v>
      </c>
      <c r="M831" t="n">
        <v>0</v>
      </c>
      <c r="N831" t="n">
        <v>0</v>
      </c>
      <c r="O831" t="n">
        <v>0</v>
      </c>
      <c r="P831" t="n">
        <v>0</v>
      </c>
      <c r="Q831" t="n">
        <v>0</v>
      </c>
      <c r="R831" s="2" t="inlineStr"/>
    </row>
    <row r="832" ht="15" customHeight="1">
      <c r="A832" t="inlineStr">
        <is>
          <t>A 41927-2024</t>
        </is>
      </c>
      <c r="B832" s="1" t="n">
        <v>45561</v>
      </c>
      <c r="C832" s="1" t="n">
        <v>45700</v>
      </c>
      <c r="D832" t="inlineStr">
        <is>
          <t>NORRBOTTENS LÄN</t>
        </is>
      </c>
      <c r="E832" t="inlineStr">
        <is>
          <t>GÄLLIVARE</t>
        </is>
      </c>
      <c r="G832" t="n">
        <v>11.2</v>
      </c>
      <c r="H832" t="n">
        <v>0</v>
      </c>
      <c r="I832" t="n">
        <v>0</v>
      </c>
      <c r="J832" t="n">
        <v>0</v>
      </c>
      <c r="K832" t="n">
        <v>0</v>
      </c>
      <c r="L832" t="n">
        <v>0</v>
      </c>
      <c r="M832" t="n">
        <v>0</v>
      </c>
      <c r="N832" t="n">
        <v>0</v>
      </c>
      <c r="O832" t="n">
        <v>0</v>
      </c>
      <c r="P832" t="n">
        <v>0</v>
      </c>
      <c r="Q832" t="n">
        <v>0</v>
      </c>
      <c r="R832" s="2" t="inlineStr"/>
    </row>
    <row r="833" ht="15" customHeight="1">
      <c r="A833" t="inlineStr">
        <is>
          <t>A 41821-2024</t>
        </is>
      </c>
      <c r="B833" s="1" t="n">
        <v>45561</v>
      </c>
      <c r="C833" s="1" t="n">
        <v>45700</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41870-2024</t>
        </is>
      </c>
      <c r="B834" s="1" t="n">
        <v>45561</v>
      </c>
      <c r="C834" s="1" t="n">
        <v>45700</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41944-2024</t>
        </is>
      </c>
      <c r="B835" s="1" t="n">
        <v>45561</v>
      </c>
      <c r="C835" s="1" t="n">
        <v>45700</v>
      </c>
      <c r="D835" t="inlineStr">
        <is>
          <t>NORRBOTTENS LÄN</t>
        </is>
      </c>
      <c r="E835" t="inlineStr">
        <is>
          <t>GÄLLIVARE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42258-2024</t>
        </is>
      </c>
      <c r="B836" s="1" t="n">
        <v>45562</v>
      </c>
      <c r="C836" s="1" t="n">
        <v>45700</v>
      </c>
      <c r="D836" t="inlineStr">
        <is>
          <t>NORRBOTTENS LÄN</t>
        </is>
      </c>
      <c r="E836" t="inlineStr">
        <is>
          <t>GÄLLIVARE</t>
        </is>
      </c>
      <c r="G836" t="n">
        <v>34</v>
      </c>
      <c r="H836" t="n">
        <v>0</v>
      </c>
      <c r="I836" t="n">
        <v>0</v>
      </c>
      <c r="J836" t="n">
        <v>0</v>
      </c>
      <c r="K836" t="n">
        <v>0</v>
      </c>
      <c r="L836" t="n">
        <v>0</v>
      </c>
      <c r="M836" t="n">
        <v>0</v>
      </c>
      <c r="N836" t="n">
        <v>0</v>
      </c>
      <c r="O836" t="n">
        <v>0</v>
      </c>
      <c r="P836" t="n">
        <v>0</v>
      </c>
      <c r="Q836" t="n">
        <v>0</v>
      </c>
      <c r="R836" s="2" t="inlineStr"/>
    </row>
    <row r="837" ht="15" customHeight="1">
      <c r="A837" t="inlineStr">
        <is>
          <t>A 42476-2024</t>
        </is>
      </c>
      <c r="B837" s="1" t="n">
        <v>45565</v>
      </c>
      <c r="C837" s="1" t="n">
        <v>45700</v>
      </c>
      <c r="D837" t="inlineStr">
        <is>
          <t>NORRBOTTENS LÄN</t>
        </is>
      </c>
      <c r="E837" t="inlineStr">
        <is>
          <t>GÄLLIVARE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43062-2024</t>
        </is>
      </c>
      <c r="B838" s="1" t="n">
        <v>45565</v>
      </c>
      <c r="C838" s="1" t="n">
        <v>45700</v>
      </c>
      <c r="D838" t="inlineStr">
        <is>
          <t>NORRBOTTENS LÄN</t>
        </is>
      </c>
      <c r="E838" t="inlineStr">
        <is>
          <t>GÄLLIVARE</t>
        </is>
      </c>
      <c r="G838" t="n">
        <v>3.6</v>
      </c>
      <c r="H838" t="n">
        <v>0</v>
      </c>
      <c r="I838" t="n">
        <v>0</v>
      </c>
      <c r="J838" t="n">
        <v>0</v>
      </c>
      <c r="K838" t="n">
        <v>0</v>
      </c>
      <c r="L838" t="n">
        <v>0</v>
      </c>
      <c r="M838" t="n">
        <v>0</v>
      </c>
      <c r="N838" t="n">
        <v>0</v>
      </c>
      <c r="O838" t="n">
        <v>0</v>
      </c>
      <c r="P838" t="n">
        <v>0</v>
      </c>
      <c r="Q838" t="n">
        <v>0</v>
      </c>
      <c r="R838" s="2" t="inlineStr"/>
    </row>
    <row r="839" ht="15" customHeight="1">
      <c r="A839" t="inlineStr">
        <is>
          <t>A 43213-2024</t>
        </is>
      </c>
      <c r="B839" s="1" t="n">
        <v>45567</v>
      </c>
      <c r="C839" s="1" t="n">
        <v>45700</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44308-2024</t>
        </is>
      </c>
      <c r="B840" s="1" t="n">
        <v>45573</v>
      </c>
      <c r="C840" s="1" t="n">
        <v>45700</v>
      </c>
      <c r="D840" t="inlineStr">
        <is>
          <t>NORRBOTTENS LÄN</t>
        </is>
      </c>
      <c r="E840" t="inlineStr">
        <is>
          <t>GÄLLIVARE</t>
        </is>
      </c>
      <c r="F840" t="inlineStr">
        <is>
          <t>Sveaskog</t>
        </is>
      </c>
      <c r="G840" t="n">
        <v>7.5</v>
      </c>
      <c r="H840" t="n">
        <v>0</v>
      </c>
      <c r="I840" t="n">
        <v>0</v>
      </c>
      <c r="J840" t="n">
        <v>0</v>
      </c>
      <c r="K840" t="n">
        <v>0</v>
      </c>
      <c r="L840" t="n">
        <v>0</v>
      </c>
      <c r="M840" t="n">
        <v>0</v>
      </c>
      <c r="N840" t="n">
        <v>0</v>
      </c>
      <c r="O840" t="n">
        <v>0</v>
      </c>
      <c r="P840" t="n">
        <v>0</v>
      </c>
      <c r="Q840" t="n">
        <v>0</v>
      </c>
      <c r="R840" s="2" t="inlineStr"/>
    </row>
    <row r="841" ht="15" customHeight="1">
      <c r="A841" t="inlineStr">
        <is>
          <t>A 44328-2024</t>
        </is>
      </c>
      <c r="B841" s="1" t="n">
        <v>45573</v>
      </c>
      <c r="C841" s="1" t="n">
        <v>45700</v>
      </c>
      <c r="D841" t="inlineStr">
        <is>
          <t>NORRBOTTENS LÄN</t>
        </is>
      </c>
      <c r="E841" t="inlineStr">
        <is>
          <t>GÄLLIVARE</t>
        </is>
      </c>
      <c r="G841" t="n">
        <v>1.8</v>
      </c>
      <c r="H841" t="n">
        <v>0</v>
      </c>
      <c r="I841" t="n">
        <v>0</v>
      </c>
      <c r="J841" t="n">
        <v>0</v>
      </c>
      <c r="K841" t="n">
        <v>0</v>
      </c>
      <c r="L841" t="n">
        <v>0</v>
      </c>
      <c r="M841" t="n">
        <v>0</v>
      </c>
      <c r="N841" t="n">
        <v>0</v>
      </c>
      <c r="O841" t="n">
        <v>0</v>
      </c>
      <c r="P841" t="n">
        <v>0</v>
      </c>
      <c r="Q841" t="n">
        <v>0</v>
      </c>
      <c r="R841" s="2" t="inlineStr"/>
    </row>
    <row r="842" ht="15" customHeight="1">
      <c r="A842" t="inlineStr">
        <is>
          <t>A 44340-2024</t>
        </is>
      </c>
      <c r="B842" s="1" t="n">
        <v>45573</v>
      </c>
      <c r="C842" s="1" t="n">
        <v>45700</v>
      </c>
      <c r="D842" t="inlineStr">
        <is>
          <t>NORRBOTTENS LÄN</t>
        </is>
      </c>
      <c r="E842" t="inlineStr">
        <is>
          <t>GÄLLIVARE</t>
        </is>
      </c>
      <c r="G842" t="n">
        <v>3.5</v>
      </c>
      <c r="H842" t="n">
        <v>0</v>
      </c>
      <c r="I842" t="n">
        <v>0</v>
      </c>
      <c r="J842" t="n">
        <v>0</v>
      </c>
      <c r="K842" t="n">
        <v>0</v>
      </c>
      <c r="L842" t="n">
        <v>0</v>
      </c>
      <c r="M842" t="n">
        <v>0</v>
      </c>
      <c r="N842" t="n">
        <v>0</v>
      </c>
      <c r="O842" t="n">
        <v>0</v>
      </c>
      <c r="P842" t="n">
        <v>0</v>
      </c>
      <c r="Q842" t="n">
        <v>0</v>
      </c>
      <c r="R842" s="2" t="inlineStr"/>
    </row>
    <row r="843" ht="15" customHeight="1">
      <c r="A843" t="inlineStr">
        <is>
          <t>A 44392-2024</t>
        </is>
      </c>
      <c r="B843" s="1" t="n">
        <v>45573</v>
      </c>
      <c r="C843" s="1" t="n">
        <v>45700</v>
      </c>
      <c r="D843" t="inlineStr">
        <is>
          <t>NORRBOTTENS LÄN</t>
        </is>
      </c>
      <c r="E843" t="inlineStr">
        <is>
          <t>GÄLLIVARE</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44391-2024</t>
        </is>
      </c>
      <c r="B844" s="1" t="n">
        <v>45573</v>
      </c>
      <c r="C844" s="1" t="n">
        <v>45700</v>
      </c>
      <c r="D844" t="inlineStr">
        <is>
          <t>NORRBOTTENS LÄN</t>
        </is>
      </c>
      <c r="E844" t="inlineStr">
        <is>
          <t>GÄLLIVARE</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44327-2024</t>
        </is>
      </c>
      <c r="B845" s="1" t="n">
        <v>45573</v>
      </c>
      <c r="C845" s="1" t="n">
        <v>45700</v>
      </c>
      <c r="D845" t="inlineStr">
        <is>
          <t>NORRBOTTENS LÄN</t>
        </is>
      </c>
      <c r="E845" t="inlineStr">
        <is>
          <t>GÄLLIVARE</t>
        </is>
      </c>
      <c r="G845" t="n">
        <v>7.6</v>
      </c>
      <c r="H845" t="n">
        <v>0</v>
      </c>
      <c r="I845" t="n">
        <v>0</v>
      </c>
      <c r="J845" t="n">
        <v>0</v>
      </c>
      <c r="K845" t="n">
        <v>0</v>
      </c>
      <c r="L845" t="n">
        <v>0</v>
      </c>
      <c r="M845" t="n">
        <v>0</v>
      </c>
      <c r="N845" t="n">
        <v>0</v>
      </c>
      <c r="O845" t="n">
        <v>0</v>
      </c>
      <c r="P845" t="n">
        <v>0</v>
      </c>
      <c r="Q845" t="n">
        <v>0</v>
      </c>
      <c r="R845" s="2" t="inlineStr"/>
    </row>
    <row r="846" ht="15" customHeight="1">
      <c r="A846" t="inlineStr">
        <is>
          <t>A 44315-2024</t>
        </is>
      </c>
      <c r="B846" s="1" t="n">
        <v>45573</v>
      </c>
      <c r="C846" s="1" t="n">
        <v>45700</v>
      </c>
      <c r="D846" t="inlineStr">
        <is>
          <t>NORRBOTTENS LÄN</t>
        </is>
      </c>
      <c r="E846" t="inlineStr">
        <is>
          <t>GÄLLIVARE</t>
        </is>
      </c>
      <c r="F846" t="inlineStr">
        <is>
          <t>Sveaskog</t>
        </is>
      </c>
      <c r="G846" t="n">
        <v>19.4</v>
      </c>
      <c r="H846" t="n">
        <v>0</v>
      </c>
      <c r="I846" t="n">
        <v>0</v>
      </c>
      <c r="J846" t="n">
        <v>0</v>
      </c>
      <c r="K846" t="n">
        <v>0</v>
      </c>
      <c r="L846" t="n">
        <v>0</v>
      </c>
      <c r="M846" t="n">
        <v>0</v>
      </c>
      <c r="N846" t="n">
        <v>0</v>
      </c>
      <c r="O846" t="n">
        <v>0</v>
      </c>
      <c r="P846" t="n">
        <v>0</v>
      </c>
      <c r="Q846" t="n">
        <v>0</v>
      </c>
      <c r="R846" s="2" t="inlineStr"/>
    </row>
    <row r="847" ht="15" customHeight="1">
      <c r="A847" t="inlineStr">
        <is>
          <t>A 44191-2024</t>
        </is>
      </c>
      <c r="B847" s="1" t="n">
        <v>45573</v>
      </c>
      <c r="C847" s="1" t="n">
        <v>45700</v>
      </c>
      <c r="D847" t="inlineStr">
        <is>
          <t>NORRBOTTENS LÄN</t>
        </is>
      </c>
      <c r="E847" t="inlineStr">
        <is>
          <t>GÄLLIVARE</t>
        </is>
      </c>
      <c r="G847" t="n">
        <v>4.2</v>
      </c>
      <c r="H847" t="n">
        <v>0</v>
      </c>
      <c r="I847" t="n">
        <v>0</v>
      </c>
      <c r="J847" t="n">
        <v>0</v>
      </c>
      <c r="K847" t="n">
        <v>0</v>
      </c>
      <c r="L847" t="n">
        <v>0</v>
      </c>
      <c r="M847" t="n">
        <v>0</v>
      </c>
      <c r="N847" t="n">
        <v>0</v>
      </c>
      <c r="O847" t="n">
        <v>0</v>
      </c>
      <c r="P847" t="n">
        <v>0</v>
      </c>
      <c r="Q847" t="n">
        <v>0</v>
      </c>
      <c r="R847" s="2" t="inlineStr"/>
    </row>
    <row r="848" ht="15" customHeight="1">
      <c r="A848" t="inlineStr">
        <is>
          <t>A 44314-2024</t>
        </is>
      </c>
      <c r="B848" s="1" t="n">
        <v>45573</v>
      </c>
      <c r="C848" s="1" t="n">
        <v>45700</v>
      </c>
      <c r="D848" t="inlineStr">
        <is>
          <t>NORRBOTTENS LÄN</t>
        </is>
      </c>
      <c r="E848" t="inlineStr">
        <is>
          <t>GÄLLIVARE</t>
        </is>
      </c>
      <c r="F848" t="inlineStr">
        <is>
          <t>Sveaskog</t>
        </is>
      </c>
      <c r="G848" t="n">
        <v>18.2</v>
      </c>
      <c r="H848" t="n">
        <v>0</v>
      </c>
      <c r="I848" t="n">
        <v>0</v>
      </c>
      <c r="J848" t="n">
        <v>0</v>
      </c>
      <c r="K848" t="n">
        <v>0</v>
      </c>
      <c r="L848" t="n">
        <v>0</v>
      </c>
      <c r="M848" t="n">
        <v>0</v>
      </c>
      <c r="N848" t="n">
        <v>0</v>
      </c>
      <c r="O848" t="n">
        <v>0</v>
      </c>
      <c r="P848" t="n">
        <v>0</v>
      </c>
      <c r="Q848" t="n">
        <v>0</v>
      </c>
      <c r="R848" s="2" t="inlineStr"/>
    </row>
    <row r="849" ht="15" customHeight="1">
      <c r="A849" t="inlineStr">
        <is>
          <t>A 44326-2024</t>
        </is>
      </c>
      <c r="B849" s="1" t="n">
        <v>45573</v>
      </c>
      <c r="C849" s="1" t="n">
        <v>45700</v>
      </c>
      <c r="D849" t="inlineStr">
        <is>
          <t>NORRBOTTENS LÄN</t>
        </is>
      </c>
      <c r="E849" t="inlineStr">
        <is>
          <t>GÄLLIVARE</t>
        </is>
      </c>
      <c r="G849" t="n">
        <v>1.7</v>
      </c>
      <c r="H849" t="n">
        <v>0</v>
      </c>
      <c r="I849" t="n">
        <v>0</v>
      </c>
      <c r="J849" t="n">
        <v>0</v>
      </c>
      <c r="K849" t="n">
        <v>0</v>
      </c>
      <c r="L849" t="n">
        <v>0</v>
      </c>
      <c r="M849" t="n">
        <v>0</v>
      </c>
      <c r="N849" t="n">
        <v>0</v>
      </c>
      <c r="O849" t="n">
        <v>0</v>
      </c>
      <c r="P849" t="n">
        <v>0</v>
      </c>
      <c r="Q849" t="n">
        <v>0</v>
      </c>
      <c r="R849" s="2" t="inlineStr"/>
    </row>
    <row r="850" ht="15" customHeight="1">
      <c r="A850" t="inlineStr">
        <is>
          <t>A 44493-2024</t>
        </is>
      </c>
      <c r="B850" s="1" t="n">
        <v>45574</v>
      </c>
      <c r="C850" s="1" t="n">
        <v>45700</v>
      </c>
      <c r="D850" t="inlineStr">
        <is>
          <t>NORRBOTTENS LÄN</t>
        </is>
      </c>
      <c r="E850" t="inlineStr">
        <is>
          <t>GÄLLIVARE</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44530-2024</t>
        </is>
      </c>
      <c r="B851" s="1" t="n">
        <v>45574</v>
      </c>
      <c r="C851" s="1" t="n">
        <v>45700</v>
      </c>
      <c r="D851" t="inlineStr">
        <is>
          <t>NORRBOTTENS LÄN</t>
        </is>
      </c>
      <c r="E851" t="inlineStr">
        <is>
          <t>GÄLLIVARE</t>
        </is>
      </c>
      <c r="F851" t="inlineStr">
        <is>
          <t>Sveaskog</t>
        </is>
      </c>
      <c r="G851" t="n">
        <v>15.9</v>
      </c>
      <c r="H851" t="n">
        <v>0</v>
      </c>
      <c r="I851" t="n">
        <v>0</v>
      </c>
      <c r="J851" t="n">
        <v>0</v>
      </c>
      <c r="K851" t="n">
        <v>0</v>
      </c>
      <c r="L851" t="n">
        <v>0</v>
      </c>
      <c r="M851" t="n">
        <v>0</v>
      </c>
      <c r="N851" t="n">
        <v>0</v>
      </c>
      <c r="O851" t="n">
        <v>0</v>
      </c>
      <c r="P851" t="n">
        <v>0</v>
      </c>
      <c r="Q851" t="n">
        <v>0</v>
      </c>
      <c r="R851" s="2" t="inlineStr"/>
    </row>
    <row r="852" ht="15" customHeight="1">
      <c r="A852" t="inlineStr">
        <is>
          <t>A 44446-2024</t>
        </is>
      </c>
      <c r="B852" s="1" t="n">
        <v>45574</v>
      </c>
      <c r="C852" s="1" t="n">
        <v>45700</v>
      </c>
      <c r="D852" t="inlineStr">
        <is>
          <t>NORRBOTTENS LÄN</t>
        </is>
      </c>
      <c r="E852" t="inlineStr">
        <is>
          <t>GÄLLIVARE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44495-2024</t>
        </is>
      </c>
      <c r="B853" s="1" t="n">
        <v>45574</v>
      </c>
      <c r="C853" s="1" t="n">
        <v>45700</v>
      </c>
      <c r="D853" t="inlineStr">
        <is>
          <t>NORRBOTTENS LÄN</t>
        </is>
      </c>
      <c r="E853" t="inlineStr">
        <is>
          <t>GÄLLIVARE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44799-2024</t>
        </is>
      </c>
      <c r="B854" s="1" t="n">
        <v>45574</v>
      </c>
      <c r="C854" s="1" t="n">
        <v>45700</v>
      </c>
      <c r="D854" t="inlineStr">
        <is>
          <t>NORRBOTTENS LÄN</t>
        </is>
      </c>
      <c r="E854" t="inlineStr">
        <is>
          <t>GÄLLIVARE</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44741-2024</t>
        </is>
      </c>
      <c r="B855" s="1" t="n">
        <v>45574</v>
      </c>
      <c r="C855" s="1" t="n">
        <v>45700</v>
      </c>
      <c r="D855" t="inlineStr">
        <is>
          <t>NORRBOTTENS LÄN</t>
        </is>
      </c>
      <c r="E855" t="inlineStr">
        <is>
          <t>GÄLLIVARE</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44939-2024</t>
        </is>
      </c>
      <c r="B856" s="1" t="n">
        <v>45575</v>
      </c>
      <c r="C856" s="1" t="n">
        <v>45700</v>
      </c>
      <c r="D856" t="inlineStr">
        <is>
          <t>NORRBOTTENS LÄN</t>
        </is>
      </c>
      <c r="E856" t="inlineStr">
        <is>
          <t>GÄLLIVARE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44938-2024</t>
        </is>
      </c>
      <c r="B857" s="1" t="n">
        <v>45575</v>
      </c>
      <c r="C857" s="1" t="n">
        <v>45700</v>
      </c>
      <c r="D857" t="inlineStr">
        <is>
          <t>NORRBOTTENS LÄN</t>
        </is>
      </c>
      <c r="E857" t="inlineStr">
        <is>
          <t>GÄLLIVARE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45304-2024</t>
        </is>
      </c>
      <c r="B858" s="1" t="n">
        <v>45576</v>
      </c>
      <c r="C858" s="1" t="n">
        <v>45700</v>
      </c>
      <c r="D858" t="inlineStr">
        <is>
          <t>NORRBOTTENS LÄN</t>
        </is>
      </c>
      <c r="E858" t="inlineStr">
        <is>
          <t>GÄLLIVARE</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45391-2024</t>
        </is>
      </c>
      <c r="B859" s="1" t="n">
        <v>45576</v>
      </c>
      <c r="C859" s="1" t="n">
        <v>45700</v>
      </c>
      <c r="D859" t="inlineStr">
        <is>
          <t>NORRBOTTENS LÄN</t>
        </is>
      </c>
      <c r="E859" t="inlineStr">
        <is>
          <t>GÄLLIVARE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45654-2024</t>
        </is>
      </c>
      <c r="B860" s="1" t="n">
        <v>45579</v>
      </c>
      <c r="C860" s="1" t="n">
        <v>45700</v>
      </c>
      <c r="D860" t="inlineStr">
        <is>
          <t>NORRBOTTENS LÄN</t>
        </is>
      </c>
      <c r="E860" t="inlineStr">
        <is>
          <t>GÄLLIVARE</t>
        </is>
      </c>
      <c r="G860" t="n">
        <v>2.1</v>
      </c>
      <c r="H860" t="n">
        <v>0</v>
      </c>
      <c r="I860" t="n">
        <v>0</v>
      </c>
      <c r="J860" t="n">
        <v>0</v>
      </c>
      <c r="K860" t="n">
        <v>0</v>
      </c>
      <c r="L860" t="n">
        <v>0</v>
      </c>
      <c r="M860" t="n">
        <v>0</v>
      </c>
      <c r="N860" t="n">
        <v>0</v>
      </c>
      <c r="O860" t="n">
        <v>0</v>
      </c>
      <c r="P860" t="n">
        <v>0</v>
      </c>
      <c r="Q860" t="n">
        <v>0</v>
      </c>
      <c r="R860" s="2" t="inlineStr"/>
    </row>
    <row r="861" ht="15" customHeight="1">
      <c r="A861" t="inlineStr">
        <is>
          <t>A 46746-2024</t>
        </is>
      </c>
      <c r="B861" s="1" t="n">
        <v>45583</v>
      </c>
      <c r="C861" s="1" t="n">
        <v>45700</v>
      </c>
      <c r="D861" t="inlineStr">
        <is>
          <t>NORRBOTTENS LÄN</t>
        </is>
      </c>
      <c r="E861" t="inlineStr">
        <is>
          <t>GÄLLIVARE</t>
        </is>
      </c>
      <c r="F861" t="inlineStr">
        <is>
          <t>Sveaskog</t>
        </is>
      </c>
      <c r="G861" t="n">
        <v>13.8</v>
      </c>
      <c r="H861" t="n">
        <v>0</v>
      </c>
      <c r="I861" t="n">
        <v>0</v>
      </c>
      <c r="J861" t="n">
        <v>0</v>
      </c>
      <c r="K861" t="n">
        <v>0</v>
      </c>
      <c r="L861" t="n">
        <v>0</v>
      </c>
      <c r="M861" t="n">
        <v>0</v>
      </c>
      <c r="N861" t="n">
        <v>0</v>
      </c>
      <c r="O861" t="n">
        <v>0</v>
      </c>
      <c r="P861" t="n">
        <v>0</v>
      </c>
      <c r="Q861" t="n">
        <v>0</v>
      </c>
      <c r="R861" s="2" t="inlineStr"/>
    </row>
    <row r="862" ht="15" customHeight="1">
      <c r="A862" t="inlineStr">
        <is>
          <t>A 47181-2024</t>
        </is>
      </c>
      <c r="B862" s="1" t="n">
        <v>45586</v>
      </c>
      <c r="C862" s="1" t="n">
        <v>45700</v>
      </c>
      <c r="D862" t="inlineStr">
        <is>
          <t>NORRBOTTENS LÄN</t>
        </is>
      </c>
      <c r="E862" t="inlineStr">
        <is>
          <t>GÄLLIVARE</t>
        </is>
      </c>
      <c r="F862" t="inlineStr">
        <is>
          <t>Sveaskog</t>
        </is>
      </c>
      <c r="G862" t="n">
        <v>12.6</v>
      </c>
      <c r="H862" t="n">
        <v>0</v>
      </c>
      <c r="I862" t="n">
        <v>0</v>
      </c>
      <c r="J862" t="n">
        <v>0</v>
      </c>
      <c r="K862" t="n">
        <v>0</v>
      </c>
      <c r="L862" t="n">
        <v>0</v>
      </c>
      <c r="M862" t="n">
        <v>0</v>
      </c>
      <c r="N862" t="n">
        <v>0</v>
      </c>
      <c r="O862" t="n">
        <v>0</v>
      </c>
      <c r="P862" t="n">
        <v>0</v>
      </c>
      <c r="Q862" t="n">
        <v>0</v>
      </c>
      <c r="R862" s="2" t="inlineStr"/>
    </row>
    <row r="863" ht="15" customHeight="1">
      <c r="A863" t="inlineStr">
        <is>
          <t>A 47184-2024</t>
        </is>
      </c>
      <c r="B863" s="1" t="n">
        <v>45586</v>
      </c>
      <c r="C863" s="1" t="n">
        <v>45700</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47437-2024</t>
        </is>
      </c>
      <c r="B864" s="1" t="n">
        <v>45587</v>
      </c>
      <c r="C864" s="1" t="n">
        <v>45700</v>
      </c>
      <c r="D864" t="inlineStr">
        <is>
          <t>NORRBOTTENS LÄN</t>
        </is>
      </c>
      <c r="E864" t="inlineStr">
        <is>
          <t>GÄLLIVARE</t>
        </is>
      </c>
      <c r="F864" t="inlineStr">
        <is>
          <t>Sveaskog</t>
        </is>
      </c>
      <c r="G864" t="n">
        <v>10.5</v>
      </c>
      <c r="H864" t="n">
        <v>0</v>
      </c>
      <c r="I864" t="n">
        <v>0</v>
      </c>
      <c r="J864" t="n">
        <v>0</v>
      </c>
      <c r="K864" t="n">
        <v>0</v>
      </c>
      <c r="L864" t="n">
        <v>0</v>
      </c>
      <c r="M864" t="n">
        <v>0</v>
      </c>
      <c r="N864" t="n">
        <v>0</v>
      </c>
      <c r="O864" t="n">
        <v>0</v>
      </c>
      <c r="P864" t="n">
        <v>0</v>
      </c>
      <c r="Q864" t="n">
        <v>0</v>
      </c>
      <c r="R864" s="2" t="inlineStr"/>
    </row>
    <row r="865" ht="15" customHeight="1">
      <c r="A865" t="inlineStr">
        <is>
          <t>A 47433-2024</t>
        </is>
      </c>
      <c r="B865" s="1" t="n">
        <v>45587</v>
      </c>
      <c r="C865" s="1" t="n">
        <v>45700</v>
      </c>
      <c r="D865" t="inlineStr">
        <is>
          <t>NORRBOTTENS LÄN</t>
        </is>
      </c>
      <c r="E865" t="inlineStr">
        <is>
          <t>GÄLLIVARE</t>
        </is>
      </c>
      <c r="F865" t="inlineStr">
        <is>
          <t>Sveaskog</t>
        </is>
      </c>
      <c r="G865" t="n">
        <v>26.9</v>
      </c>
      <c r="H865" t="n">
        <v>0</v>
      </c>
      <c r="I865" t="n">
        <v>0</v>
      </c>
      <c r="J865" t="n">
        <v>0</v>
      </c>
      <c r="K865" t="n">
        <v>0</v>
      </c>
      <c r="L865" t="n">
        <v>0</v>
      </c>
      <c r="M865" t="n">
        <v>0</v>
      </c>
      <c r="N865" t="n">
        <v>0</v>
      </c>
      <c r="O865" t="n">
        <v>0</v>
      </c>
      <c r="P865" t="n">
        <v>0</v>
      </c>
      <c r="Q865" t="n">
        <v>0</v>
      </c>
      <c r="R865" s="2" t="inlineStr"/>
    </row>
    <row r="866" ht="15" customHeight="1">
      <c r="A866" t="inlineStr">
        <is>
          <t>A 47456-2024</t>
        </is>
      </c>
      <c r="B866" s="1" t="n">
        <v>45587</v>
      </c>
      <c r="C866" s="1" t="n">
        <v>45700</v>
      </c>
      <c r="D866" t="inlineStr">
        <is>
          <t>NORRBOTTENS LÄN</t>
        </is>
      </c>
      <c r="E866" t="inlineStr">
        <is>
          <t>GÄLLIVARE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47862-2024</t>
        </is>
      </c>
      <c r="B867" s="1" t="n">
        <v>45588</v>
      </c>
      <c r="C867" s="1" t="n">
        <v>45700</v>
      </c>
      <c r="D867" t="inlineStr">
        <is>
          <t>NORRBOTTENS LÄN</t>
        </is>
      </c>
      <c r="E867" t="inlineStr">
        <is>
          <t>GÄLLIVARE</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48007-2024</t>
        </is>
      </c>
      <c r="B868" s="1" t="n">
        <v>45589</v>
      </c>
      <c r="C868" s="1" t="n">
        <v>45700</v>
      </c>
      <c r="D868" t="inlineStr">
        <is>
          <t>NORRBOTTENS LÄN</t>
        </is>
      </c>
      <c r="E868" t="inlineStr">
        <is>
          <t>GÄLLIVARE</t>
        </is>
      </c>
      <c r="G868" t="n">
        <v>2.9</v>
      </c>
      <c r="H868" t="n">
        <v>0</v>
      </c>
      <c r="I868" t="n">
        <v>0</v>
      </c>
      <c r="J868" t="n">
        <v>0</v>
      </c>
      <c r="K868" t="n">
        <v>0</v>
      </c>
      <c r="L868" t="n">
        <v>0</v>
      </c>
      <c r="M868" t="n">
        <v>0</v>
      </c>
      <c r="N868" t="n">
        <v>0</v>
      </c>
      <c r="O868" t="n">
        <v>0</v>
      </c>
      <c r="P868" t="n">
        <v>0</v>
      </c>
      <c r="Q868" t="n">
        <v>0</v>
      </c>
      <c r="R868" s="2" t="inlineStr"/>
    </row>
    <row r="869" ht="15" customHeight="1">
      <c r="A869" t="inlineStr">
        <is>
          <t>A 49897-2024</t>
        </is>
      </c>
      <c r="B869" s="1" t="n">
        <v>45597</v>
      </c>
      <c r="C869" s="1" t="n">
        <v>45700</v>
      </c>
      <c r="D869" t="inlineStr">
        <is>
          <t>NORRBOTTENS LÄN</t>
        </is>
      </c>
      <c r="E869" t="inlineStr">
        <is>
          <t>GÄLLIVARE</t>
        </is>
      </c>
      <c r="F869" t="inlineStr">
        <is>
          <t>Sveaskog</t>
        </is>
      </c>
      <c r="G869" t="n">
        <v>16.9</v>
      </c>
      <c r="H869" t="n">
        <v>0</v>
      </c>
      <c r="I869" t="n">
        <v>0</v>
      </c>
      <c r="J869" t="n">
        <v>0</v>
      </c>
      <c r="K869" t="n">
        <v>0</v>
      </c>
      <c r="L869" t="n">
        <v>0</v>
      </c>
      <c r="M869" t="n">
        <v>0</v>
      </c>
      <c r="N869" t="n">
        <v>0</v>
      </c>
      <c r="O869" t="n">
        <v>0</v>
      </c>
      <c r="P869" t="n">
        <v>0</v>
      </c>
      <c r="Q869" t="n">
        <v>0</v>
      </c>
      <c r="R869" s="2" t="inlineStr"/>
    </row>
    <row r="870" ht="15" customHeight="1">
      <c r="A870" t="inlineStr">
        <is>
          <t>A 50087-2024</t>
        </is>
      </c>
      <c r="B870" s="1" t="n">
        <v>45600</v>
      </c>
      <c r="C870" s="1" t="n">
        <v>45700</v>
      </c>
      <c r="D870" t="inlineStr">
        <is>
          <t>NORRBOTTENS LÄN</t>
        </is>
      </c>
      <c r="E870" t="inlineStr">
        <is>
          <t>GÄLLIVARE</t>
        </is>
      </c>
      <c r="F870" t="inlineStr">
        <is>
          <t>Sveaskog</t>
        </is>
      </c>
      <c r="G870" t="n">
        <v>19.3</v>
      </c>
      <c r="H870" t="n">
        <v>0</v>
      </c>
      <c r="I870" t="n">
        <v>0</v>
      </c>
      <c r="J870" t="n">
        <v>0</v>
      </c>
      <c r="K870" t="n">
        <v>0</v>
      </c>
      <c r="L870" t="n">
        <v>0</v>
      </c>
      <c r="M870" t="n">
        <v>0</v>
      </c>
      <c r="N870" t="n">
        <v>0</v>
      </c>
      <c r="O870" t="n">
        <v>0</v>
      </c>
      <c r="P870" t="n">
        <v>0</v>
      </c>
      <c r="Q870" t="n">
        <v>0</v>
      </c>
      <c r="R870" s="2" t="inlineStr"/>
    </row>
    <row r="871" ht="15" customHeight="1">
      <c r="A871" t="inlineStr">
        <is>
          <t>A 50095-2024</t>
        </is>
      </c>
      <c r="B871" s="1" t="n">
        <v>45600</v>
      </c>
      <c r="C871" s="1" t="n">
        <v>45700</v>
      </c>
      <c r="D871" t="inlineStr">
        <is>
          <t>NORRBOTTENS LÄN</t>
        </is>
      </c>
      <c r="E871" t="inlineStr">
        <is>
          <t>GÄLLIVARE</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50553-2024</t>
        </is>
      </c>
      <c r="B872" s="1" t="n">
        <v>45601</v>
      </c>
      <c r="C872" s="1" t="n">
        <v>45700</v>
      </c>
      <c r="D872" t="inlineStr">
        <is>
          <t>NORRBOTTENS LÄN</t>
        </is>
      </c>
      <c r="E872" t="inlineStr">
        <is>
          <t>GÄLLIVARE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50554-2024</t>
        </is>
      </c>
      <c r="B873" s="1" t="n">
        <v>45601</v>
      </c>
      <c r="C873" s="1" t="n">
        <v>45700</v>
      </c>
      <c r="D873" t="inlineStr">
        <is>
          <t>NORRBOTTENS LÄN</t>
        </is>
      </c>
      <c r="E873" t="inlineStr">
        <is>
          <t>GÄLLIVARE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51570-2024</t>
        </is>
      </c>
      <c r="B874" s="1" t="n">
        <v>45604</v>
      </c>
      <c r="C874" s="1" t="n">
        <v>45700</v>
      </c>
      <c r="D874" t="inlineStr">
        <is>
          <t>NORRBOTTENS LÄN</t>
        </is>
      </c>
      <c r="E874" t="inlineStr">
        <is>
          <t>GÄLLIVARE</t>
        </is>
      </c>
      <c r="G874" t="n">
        <v>6.1</v>
      </c>
      <c r="H874" t="n">
        <v>0</v>
      </c>
      <c r="I874" t="n">
        <v>0</v>
      </c>
      <c r="J874" t="n">
        <v>0</v>
      </c>
      <c r="K874" t="n">
        <v>0</v>
      </c>
      <c r="L874" t="n">
        <v>0</v>
      </c>
      <c r="M874" t="n">
        <v>0</v>
      </c>
      <c r="N874" t="n">
        <v>0</v>
      </c>
      <c r="O874" t="n">
        <v>0</v>
      </c>
      <c r="P874" t="n">
        <v>0</v>
      </c>
      <c r="Q874" t="n">
        <v>0</v>
      </c>
      <c r="R874" s="2" t="inlineStr"/>
    </row>
    <row r="875" ht="15" customHeight="1">
      <c r="A875" t="inlineStr">
        <is>
          <t>A 52283-2024</t>
        </is>
      </c>
      <c r="B875" s="1" t="n">
        <v>45608</v>
      </c>
      <c r="C875" s="1" t="n">
        <v>45700</v>
      </c>
      <c r="D875" t="inlineStr">
        <is>
          <t>NORRBOTTENS LÄN</t>
        </is>
      </c>
      <c r="E875" t="inlineStr">
        <is>
          <t>GÄLLIVARE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52096-2024</t>
        </is>
      </c>
      <c r="B876" s="1" t="n">
        <v>45608</v>
      </c>
      <c r="C876" s="1" t="n">
        <v>45700</v>
      </c>
      <c r="D876" t="inlineStr">
        <is>
          <t>NORRBOTTENS LÄN</t>
        </is>
      </c>
      <c r="E876" t="inlineStr">
        <is>
          <t>GÄLLIVARE</t>
        </is>
      </c>
      <c r="G876" t="n">
        <v>0.7</v>
      </c>
      <c r="H876" t="n">
        <v>0</v>
      </c>
      <c r="I876" t="n">
        <v>0</v>
      </c>
      <c r="J876" t="n">
        <v>0</v>
      </c>
      <c r="K876" t="n">
        <v>0</v>
      </c>
      <c r="L876" t="n">
        <v>0</v>
      </c>
      <c r="M876" t="n">
        <v>0</v>
      </c>
      <c r="N876" t="n">
        <v>0</v>
      </c>
      <c r="O876" t="n">
        <v>0</v>
      </c>
      <c r="P876" t="n">
        <v>0</v>
      </c>
      <c r="Q876" t="n">
        <v>0</v>
      </c>
      <c r="R876" s="2" t="inlineStr"/>
    </row>
    <row r="877" ht="15" customHeight="1">
      <c r="A877" t="inlineStr">
        <is>
          <t>A 52446-2024</t>
        </is>
      </c>
      <c r="B877" s="1" t="n">
        <v>45609</v>
      </c>
      <c r="C877" s="1" t="n">
        <v>45700</v>
      </c>
      <c r="D877" t="inlineStr">
        <is>
          <t>NORRBOTTENS LÄN</t>
        </is>
      </c>
      <c r="E877" t="inlineStr">
        <is>
          <t>GÄLLIVARE</t>
        </is>
      </c>
      <c r="F877" t="inlineStr">
        <is>
          <t>Allmännings- och besparingsskogar</t>
        </is>
      </c>
      <c r="G877" t="n">
        <v>17.5</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45700</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45700</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45700</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45700</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53222-2024</t>
        </is>
      </c>
      <c r="B882" s="1" t="n">
        <v>45612</v>
      </c>
      <c r="C882" s="1" t="n">
        <v>45700</v>
      </c>
      <c r="D882" t="inlineStr">
        <is>
          <t>NORRBOTTENS LÄN</t>
        </is>
      </c>
      <c r="E882" t="inlineStr">
        <is>
          <t>GÄLLIVARE</t>
        </is>
      </c>
      <c r="G882" t="n">
        <v>9.4</v>
      </c>
      <c r="H882" t="n">
        <v>0</v>
      </c>
      <c r="I882" t="n">
        <v>0</v>
      </c>
      <c r="J882" t="n">
        <v>0</v>
      </c>
      <c r="K882" t="n">
        <v>0</v>
      </c>
      <c r="L882" t="n">
        <v>0</v>
      </c>
      <c r="M882" t="n">
        <v>0</v>
      </c>
      <c r="N882" t="n">
        <v>0</v>
      </c>
      <c r="O882" t="n">
        <v>0</v>
      </c>
      <c r="P882" t="n">
        <v>0</v>
      </c>
      <c r="Q882" t="n">
        <v>0</v>
      </c>
      <c r="R882" s="2" t="inlineStr"/>
    </row>
    <row r="883" ht="15" customHeight="1">
      <c r="A883" t="inlineStr">
        <is>
          <t>A 53674-2024</t>
        </is>
      </c>
      <c r="B883" s="1" t="n">
        <v>45612</v>
      </c>
      <c r="C883" s="1" t="n">
        <v>45700</v>
      </c>
      <c r="D883" t="inlineStr">
        <is>
          <t>NORRBOTTENS LÄN</t>
        </is>
      </c>
      <c r="E883" t="inlineStr">
        <is>
          <t>GÄLLIVARE</t>
        </is>
      </c>
      <c r="F883" t="inlineStr">
        <is>
          <t>Allmännings- och besparingsskogar</t>
        </is>
      </c>
      <c r="G883" t="n">
        <v>5.7</v>
      </c>
      <c r="H883" t="n">
        <v>0</v>
      </c>
      <c r="I883" t="n">
        <v>0</v>
      </c>
      <c r="J883" t="n">
        <v>0</v>
      </c>
      <c r="K883" t="n">
        <v>0</v>
      </c>
      <c r="L883" t="n">
        <v>0</v>
      </c>
      <c r="M883" t="n">
        <v>0</v>
      </c>
      <c r="N883" t="n">
        <v>0</v>
      </c>
      <c r="O883" t="n">
        <v>0</v>
      </c>
      <c r="P883" t="n">
        <v>0</v>
      </c>
      <c r="Q883" t="n">
        <v>0</v>
      </c>
      <c r="R883" s="2" t="inlineStr"/>
    </row>
    <row r="884" ht="15" customHeight="1">
      <c r="A884" t="inlineStr">
        <is>
          <t>A 53669-2024</t>
        </is>
      </c>
      <c r="B884" s="1" t="n">
        <v>45612</v>
      </c>
      <c r="C884" s="1" t="n">
        <v>45700</v>
      </c>
      <c r="D884" t="inlineStr">
        <is>
          <t>NORRBOTTENS LÄN</t>
        </is>
      </c>
      <c r="E884" t="inlineStr">
        <is>
          <t>GÄLLIVARE</t>
        </is>
      </c>
      <c r="F884" t="inlineStr">
        <is>
          <t>Allmännings- och besparingsskogar</t>
        </is>
      </c>
      <c r="G884" t="n">
        <v>6.1</v>
      </c>
      <c r="H884" t="n">
        <v>0</v>
      </c>
      <c r="I884" t="n">
        <v>0</v>
      </c>
      <c r="J884" t="n">
        <v>0</v>
      </c>
      <c r="K884" t="n">
        <v>0</v>
      </c>
      <c r="L884" t="n">
        <v>0</v>
      </c>
      <c r="M884" t="n">
        <v>0</v>
      </c>
      <c r="N884" t="n">
        <v>0</v>
      </c>
      <c r="O884" t="n">
        <v>0</v>
      </c>
      <c r="P884" t="n">
        <v>0</v>
      </c>
      <c r="Q884" t="n">
        <v>0</v>
      </c>
      <c r="R884" s="2" t="inlineStr"/>
    </row>
    <row r="885" ht="15" customHeight="1">
      <c r="A885" t="inlineStr">
        <is>
          <t>A 53891-2024</t>
        </is>
      </c>
      <c r="B885" s="1" t="n">
        <v>45614</v>
      </c>
      <c r="C885" s="1" t="n">
        <v>45700</v>
      </c>
      <c r="D885" t="inlineStr">
        <is>
          <t>NORRBOTTENS LÄN</t>
        </is>
      </c>
      <c r="E885" t="inlineStr">
        <is>
          <t>GÄLLIVARE</t>
        </is>
      </c>
      <c r="F885" t="inlineStr">
        <is>
          <t>Allmännings- och besparingsskogar</t>
        </is>
      </c>
      <c r="G885" t="n">
        <v>27.3</v>
      </c>
      <c r="H885" t="n">
        <v>0</v>
      </c>
      <c r="I885" t="n">
        <v>0</v>
      </c>
      <c r="J885" t="n">
        <v>0</v>
      </c>
      <c r="K885" t="n">
        <v>0</v>
      </c>
      <c r="L885" t="n">
        <v>0</v>
      </c>
      <c r="M885" t="n">
        <v>0</v>
      </c>
      <c r="N885" t="n">
        <v>0</v>
      </c>
      <c r="O885" t="n">
        <v>0</v>
      </c>
      <c r="P885" t="n">
        <v>0</v>
      </c>
      <c r="Q885" t="n">
        <v>0</v>
      </c>
      <c r="R885" s="2" t="inlineStr"/>
    </row>
    <row r="886" ht="15" customHeight="1">
      <c r="A886" t="inlineStr">
        <is>
          <t>A 53706-2024</t>
        </is>
      </c>
      <c r="B886" s="1" t="n">
        <v>45615</v>
      </c>
      <c r="C886" s="1" t="n">
        <v>45700</v>
      </c>
      <c r="D886" t="inlineStr">
        <is>
          <t>NORRBOTTENS LÄN</t>
        </is>
      </c>
      <c r="E886" t="inlineStr">
        <is>
          <t>GÄLLIVARE</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53700-2024</t>
        </is>
      </c>
      <c r="B887" s="1" t="n">
        <v>45615</v>
      </c>
      <c r="C887" s="1" t="n">
        <v>45700</v>
      </c>
      <c r="D887" t="inlineStr">
        <is>
          <t>NORRBOTTENS LÄN</t>
        </is>
      </c>
      <c r="E887" t="inlineStr">
        <is>
          <t>GÄLLIVARE</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53784-2024</t>
        </is>
      </c>
      <c r="B888" s="1" t="n">
        <v>45615</v>
      </c>
      <c r="C888" s="1" t="n">
        <v>45700</v>
      </c>
      <c r="D888" t="inlineStr">
        <is>
          <t>NORRBOTTENS LÄN</t>
        </is>
      </c>
      <c r="E888" t="inlineStr">
        <is>
          <t>GÄLLIVARE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45700</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53794-2024</t>
        </is>
      </c>
      <c r="B890" s="1" t="n">
        <v>45615</v>
      </c>
      <c r="C890" s="1" t="n">
        <v>45700</v>
      </c>
      <c r="D890" t="inlineStr">
        <is>
          <t>NORRBOTTENS LÄN</t>
        </is>
      </c>
      <c r="E890" t="inlineStr">
        <is>
          <t>GÄLLIVARE</t>
        </is>
      </c>
      <c r="G890" t="n">
        <v>2.1</v>
      </c>
      <c r="H890" t="n">
        <v>0</v>
      </c>
      <c r="I890" t="n">
        <v>0</v>
      </c>
      <c r="J890" t="n">
        <v>0</v>
      </c>
      <c r="K890" t="n">
        <v>0</v>
      </c>
      <c r="L890" t="n">
        <v>0</v>
      </c>
      <c r="M890" t="n">
        <v>0</v>
      </c>
      <c r="N890" t="n">
        <v>0</v>
      </c>
      <c r="O890" t="n">
        <v>0</v>
      </c>
      <c r="P890" t="n">
        <v>0</v>
      </c>
      <c r="Q890" t="n">
        <v>0</v>
      </c>
      <c r="R890" s="2" t="inlineStr"/>
    </row>
    <row r="891" ht="15" customHeight="1">
      <c r="A891" t="inlineStr">
        <is>
          <t>A 53824-2024</t>
        </is>
      </c>
      <c r="B891" s="1" t="n">
        <v>45615</v>
      </c>
      <c r="C891" s="1" t="n">
        <v>45700</v>
      </c>
      <c r="D891" t="inlineStr">
        <is>
          <t>NORRBOTTENS LÄN</t>
        </is>
      </c>
      <c r="E891" t="inlineStr">
        <is>
          <t>GÄLLIVARE</t>
        </is>
      </c>
      <c r="G891" t="n">
        <v>2</v>
      </c>
      <c r="H891" t="n">
        <v>0</v>
      </c>
      <c r="I891" t="n">
        <v>0</v>
      </c>
      <c r="J891" t="n">
        <v>0</v>
      </c>
      <c r="K891" t="n">
        <v>0</v>
      </c>
      <c r="L891" t="n">
        <v>0</v>
      </c>
      <c r="M891" t="n">
        <v>0</v>
      </c>
      <c r="N891" t="n">
        <v>0</v>
      </c>
      <c r="O891" t="n">
        <v>0</v>
      </c>
      <c r="P891" t="n">
        <v>0</v>
      </c>
      <c r="Q891" t="n">
        <v>0</v>
      </c>
      <c r="R891" s="2" t="inlineStr"/>
    </row>
    <row r="892" ht="15" customHeight="1">
      <c r="A892" t="inlineStr">
        <is>
          <t>A 53828-2024</t>
        </is>
      </c>
      <c r="B892" s="1" t="n">
        <v>45615</v>
      </c>
      <c r="C892" s="1" t="n">
        <v>45700</v>
      </c>
      <c r="D892" t="inlineStr">
        <is>
          <t>NORRBOTTENS LÄN</t>
        </is>
      </c>
      <c r="E892" t="inlineStr">
        <is>
          <t>GÄLLIVARE</t>
        </is>
      </c>
      <c r="G892" t="n">
        <v>1.3</v>
      </c>
      <c r="H892" t="n">
        <v>0</v>
      </c>
      <c r="I892" t="n">
        <v>0</v>
      </c>
      <c r="J892" t="n">
        <v>0</v>
      </c>
      <c r="K892" t="n">
        <v>0</v>
      </c>
      <c r="L892" t="n">
        <v>0</v>
      </c>
      <c r="M892" t="n">
        <v>0</v>
      </c>
      <c r="N892" t="n">
        <v>0</v>
      </c>
      <c r="O892" t="n">
        <v>0</v>
      </c>
      <c r="P892" t="n">
        <v>0</v>
      </c>
      <c r="Q892" t="n">
        <v>0</v>
      </c>
      <c r="R892" s="2" t="inlineStr"/>
    </row>
    <row r="893" ht="15" customHeight="1">
      <c r="A893" t="inlineStr">
        <is>
          <t>A 53893-2024</t>
        </is>
      </c>
      <c r="B893" s="1" t="n">
        <v>45615</v>
      </c>
      <c r="C893" s="1" t="n">
        <v>45700</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53909-2024</t>
        </is>
      </c>
      <c r="B894" s="1" t="n">
        <v>45615</v>
      </c>
      <c r="C894" s="1" t="n">
        <v>45700</v>
      </c>
      <c r="D894" t="inlineStr">
        <is>
          <t>NORRBOTTENS LÄN</t>
        </is>
      </c>
      <c r="E894" t="inlineStr">
        <is>
          <t>GÄLLIVARE</t>
        </is>
      </c>
      <c r="G894" t="n">
        <v>3.8</v>
      </c>
      <c r="H894" t="n">
        <v>0</v>
      </c>
      <c r="I894" t="n">
        <v>0</v>
      </c>
      <c r="J894" t="n">
        <v>0</v>
      </c>
      <c r="K894" t="n">
        <v>0</v>
      </c>
      <c r="L894" t="n">
        <v>0</v>
      </c>
      <c r="M894" t="n">
        <v>0</v>
      </c>
      <c r="N894" t="n">
        <v>0</v>
      </c>
      <c r="O894" t="n">
        <v>0</v>
      </c>
      <c r="P894" t="n">
        <v>0</v>
      </c>
      <c r="Q894" t="n">
        <v>0</v>
      </c>
      <c r="R894" s="2" t="inlineStr"/>
    </row>
    <row r="895" ht="15" customHeight="1">
      <c r="A895" t="inlineStr">
        <is>
          <t>A 53801-2024</t>
        </is>
      </c>
      <c r="B895" s="1" t="n">
        <v>45615</v>
      </c>
      <c r="C895" s="1" t="n">
        <v>45700</v>
      </c>
      <c r="D895" t="inlineStr">
        <is>
          <t>NORRBOTTENS LÄN</t>
        </is>
      </c>
      <c r="E895" t="inlineStr">
        <is>
          <t>GÄLLIVARE</t>
        </is>
      </c>
      <c r="G895" t="n">
        <v>3.1</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45700</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45700</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45700</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45700</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45700</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45700</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45700</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45700</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45700</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45700</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45700</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45700</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45700</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45700</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45700</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45700</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45700</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45700</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45700</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45700</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45700</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45700</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45700</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45700</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45700</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45700</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45700</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45700</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45700</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45700</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45700</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45700</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45700</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45700</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45700</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4636-2025</t>
        </is>
      </c>
      <c r="B931" s="1" t="n">
        <v>45687</v>
      </c>
      <c r="C931" s="1" t="n">
        <v>45700</v>
      </c>
      <c r="D931" t="inlineStr">
        <is>
          <t>NORRBOTTENS LÄN</t>
        </is>
      </c>
      <c r="E931" t="inlineStr">
        <is>
          <t>GÄLLIVARE</t>
        </is>
      </c>
      <c r="G931" t="n">
        <v>1.4</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45700</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45700</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45700</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4903-2025</t>
        </is>
      </c>
      <c r="B935" s="1" t="n">
        <v>45688</v>
      </c>
      <c r="C935" s="1" t="n">
        <v>45700</v>
      </c>
      <c r="D935" t="inlineStr">
        <is>
          <t>NORRBOTTENS LÄN</t>
        </is>
      </c>
      <c r="E935" t="inlineStr">
        <is>
          <t>GÄLLIVARE</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45700</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4918-2025</t>
        </is>
      </c>
      <c r="B937" s="1" t="n">
        <v>45688</v>
      </c>
      <c r="C937" s="1" t="n">
        <v>45700</v>
      </c>
      <c r="D937" t="inlineStr">
        <is>
          <t>NORRBOTTENS LÄN</t>
        </is>
      </c>
      <c r="E937" t="inlineStr">
        <is>
          <t>GÄLLIVARE</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45700</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5111-2025</t>
        </is>
      </c>
      <c r="B939" s="1" t="n">
        <v>45691</v>
      </c>
      <c r="C939" s="1" t="n">
        <v>45700</v>
      </c>
      <c r="D939" t="inlineStr">
        <is>
          <t>NORRBOTTENS LÄN</t>
        </is>
      </c>
      <c r="E939" t="inlineStr">
        <is>
          <t>GÄLLIVARE</t>
        </is>
      </c>
      <c r="G939" t="n">
        <v>11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45700</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45700</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5523-2025</t>
        </is>
      </c>
      <c r="B942" s="1" t="n">
        <v>45693</v>
      </c>
      <c r="C942" s="1" t="n">
        <v>45700</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5547-2025</t>
        </is>
      </c>
      <c r="B943" s="1" t="n">
        <v>45693</v>
      </c>
      <c r="C943" s="1" t="n">
        <v>45700</v>
      </c>
      <c r="D943" t="inlineStr">
        <is>
          <t>NORRBOTTENS LÄN</t>
        </is>
      </c>
      <c r="E943" t="inlineStr">
        <is>
          <t>GÄLLIVARE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45700</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c r="A945" t="inlineStr">
        <is>
          <t>A 6107-2025</t>
        </is>
      </c>
      <c r="B945" s="1" t="n">
        <v>45698</v>
      </c>
      <c r="C945" s="1" t="n">
        <v>45700</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2025-02-12T15:47:17Z</dcterms:created>
  <dcterms:modified xmlns:dcterms="http://purl.org/dc/terms/" xmlns:xsi="http://www.w3.org/2001/XMLSchema-instance" xsi:type="dcterms:W3CDTF">2025-02-12T15:47:18Z</dcterms:modified>
</cp:coreProperties>
</file>