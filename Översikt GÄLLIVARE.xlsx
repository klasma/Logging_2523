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46180</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46180</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46180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46180</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46180</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46180</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46180</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42734-2025</t>
        </is>
      </c>
      <c r="B18" s="1" t="n">
        <v>45908</v>
      </c>
      <c r="C18" s="1" t="n">
        <v>46180</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46180</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46180</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14627-2026</t>
        </is>
      </c>
      <c r="B21" s="1" t="n">
        <v>46101</v>
      </c>
      <c r="C21" s="1" t="n">
        <v>46180</v>
      </c>
      <c r="D21" t="inlineStr">
        <is>
          <t>NORRBOTTENS LÄN</t>
        </is>
      </c>
      <c r="E21" t="inlineStr">
        <is>
          <t>GÄLLIVARE</t>
        </is>
      </c>
      <c r="G21" t="n">
        <v>41.9</v>
      </c>
      <c r="H21" t="n">
        <v>4</v>
      </c>
      <c r="I21" t="n">
        <v>2</v>
      </c>
      <c r="J21" t="n">
        <v>2</v>
      </c>
      <c r="K21" t="n">
        <v>1</v>
      </c>
      <c r="L21" t="n">
        <v>0</v>
      </c>
      <c r="M21" t="n">
        <v>0</v>
      </c>
      <c r="N21" t="n">
        <v>0</v>
      </c>
      <c r="O21" t="n">
        <v>3</v>
      </c>
      <c r="P21" t="n">
        <v>1</v>
      </c>
      <c r="Q21" t="n">
        <v>6</v>
      </c>
      <c r="R21" s="2" t="inlineStr">
        <is>
          <t>Tallbit
Spillkråka
Violmussling
Plattlummer
Stuplav
Revlummer</t>
        </is>
      </c>
      <c r="S21">
        <f>HYPERLINK("https://klasma.github.io/Logging_2523/artfynd/A 14627-2026 artfynd.xlsx", "A 14627-2026")</f>
        <v/>
      </c>
      <c r="T21">
        <f>HYPERLINK("https://klasma.github.io/Logging_2523/kartor/A 14627-2026 karta.png", "A 14627-2026")</f>
        <v/>
      </c>
      <c r="V21">
        <f>HYPERLINK("https://klasma.github.io/Logging_2523/klagomål/A 14627-2026 FSC-klagomål.docx", "A 14627-2026")</f>
        <v/>
      </c>
      <c r="W21">
        <f>HYPERLINK("https://klasma.github.io/Logging_2523/klagomålsmail/A 14627-2026 FSC-klagomål mail.docx", "A 14627-2026")</f>
        <v/>
      </c>
      <c r="X21">
        <f>HYPERLINK("https://klasma.github.io/Logging_2523/tillsyn/A 14627-2026 tillsynsbegäran.docx", "A 14627-2026")</f>
        <v/>
      </c>
      <c r="Y21">
        <f>HYPERLINK("https://klasma.github.io/Logging_2523/tillsynsmail/A 14627-2026 tillsynsbegäran mail.docx", "A 14627-2026")</f>
        <v/>
      </c>
      <c r="Z21">
        <f>HYPERLINK("https://klasma.github.io/Logging_2523/fåglar/A 14627-2026 prioriterade fågelarter.docx", "A 14627-2026")</f>
        <v/>
      </c>
    </row>
    <row r="22" ht="15" customHeight="1">
      <c r="A22" t="inlineStr">
        <is>
          <t>A 61913-2025</t>
        </is>
      </c>
      <c r="B22" s="1" t="n">
        <v>46003.49008101852</v>
      </c>
      <c r="C22" s="1" t="n">
        <v>46180</v>
      </c>
      <c r="D22" t="inlineStr">
        <is>
          <t>NORRBOTTENS LÄN</t>
        </is>
      </c>
      <c r="E22" t="inlineStr">
        <is>
          <t>GÄLLIVARE</t>
        </is>
      </c>
      <c r="F22" t="inlineStr">
        <is>
          <t>SCA</t>
        </is>
      </c>
      <c r="G22" t="n">
        <v>11.8</v>
      </c>
      <c r="H22" t="n">
        <v>1</v>
      </c>
      <c r="I22" t="n">
        <v>3</v>
      </c>
      <c r="J22" t="n">
        <v>2</v>
      </c>
      <c r="K22" t="n">
        <v>1</v>
      </c>
      <c r="L22" t="n">
        <v>0</v>
      </c>
      <c r="M22" t="n">
        <v>0</v>
      </c>
      <c r="N22" t="n">
        <v>0</v>
      </c>
      <c r="O22" t="n">
        <v>3</v>
      </c>
      <c r="P22" t="n">
        <v>1</v>
      </c>
      <c r="Q22" t="n">
        <v>6</v>
      </c>
      <c r="R22" s="2" t="inlineStr">
        <is>
          <t>Fläckporing
Granticka
Stjärntagging
Spindelblomster
Stuplav
Ögonpyrola</t>
        </is>
      </c>
      <c r="S22">
        <f>HYPERLINK("https://klasma.github.io/Logging_2523/artfynd/A 61913-2025 artfynd.xlsx", "A 61913-2025")</f>
        <v/>
      </c>
      <c r="T22">
        <f>HYPERLINK("https://klasma.github.io/Logging_2523/kartor/A 61913-2025 karta.png", "A 61913-2025")</f>
        <v/>
      </c>
      <c r="V22">
        <f>HYPERLINK("https://klasma.github.io/Logging_2523/klagomål/A 61913-2025 FSC-klagomål.docx", "A 61913-2025")</f>
        <v/>
      </c>
      <c r="W22">
        <f>HYPERLINK("https://klasma.github.io/Logging_2523/klagomålsmail/A 61913-2025 FSC-klagomål mail.docx", "A 61913-2025")</f>
        <v/>
      </c>
      <c r="X22">
        <f>HYPERLINK("https://klasma.github.io/Logging_2523/tillsyn/A 61913-2025 tillsynsbegäran.docx", "A 61913-2025")</f>
        <v/>
      </c>
      <c r="Y22">
        <f>HYPERLINK("https://klasma.github.io/Logging_2523/tillsynsmail/A 61913-2025 tillsynsbegäran mail.docx", "A 61913-2025")</f>
        <v/>
      </c>
    </row>
    <row r="23" ht="15" customHeight="1">
      <c r="A23" t="inlineStr">
        <is>
          <t>A 10218-2024</t>
        </is>
      </c>
      <c r="B23" s="1" t="n">
        <v>45364</v>
      </c>
      <c r="C23" s="1" t="n">
        <v>46180</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46180</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46180</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46180</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5288-2023</t>
        </is>
      </c>
      <c r="B27" s="1" t="n">
        <v>44959</v>
      </c>
      <c r="C27" s="1" t="n">
        <v>46180</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47013-2025</t>
        </is>
      </c>
      <c r="B28" s="1" t="n">
        <v>45929.57364583333</v>
      </c>
      <c r="C28" s="1" t="n">
        <v>46180</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25922-2024</t>
        </is>
      </c>
      <c r="B29" s="1" t="n">
        <v>45467.60636574074</v>
      </c>
      <c r="C29" s="1" t="n">
        <v>46180</v>
      </c>
      <c r="D29" t="inlineStr">
        <is>
          <t>NORRBOTTENS LÄN</t>
        </is>
      </c>
      <c r="E29" t="inlineStr">
        <is>
          <t>GÄLLIVARE</t>
        </is>
      </c>
      <c r="G29" t="n">
        <v>9.300000000000001</v>
      </c>
      <c r="H29" t="n">
        <v>4</v>
      </c>
      <c r="I29" t="n">
        <v>0</v>
      </c>
      <c r="J29" t="n">
        <v>2</v>
      </c>
      <c r="K29" t="n">
        <v>1</v>
      </c>
      <c r="L29" t="n">
        <v>0</v>
      </c>
      <c r="M29" t="n">
        <v>0</v>
      </c>
      <c r="N29" t="n">
        <v>0</v>
      </c>
      <c r="O29" t="n">
        <v>3</v>
      </c>
      <c r="P29" t="n">
        <v>1</v>
      </c>
      <c r="Q29" t="n">
        <v>4</v>
      </c>
      <c r="R29" s="2" t="inlineStr">
        <is>
          <t>Kricka
Buskskvätta
Svartsnäppa
Huggorm</t>
        </is>
      </c>
      <c r="S29">
        <f>HYPERLINK("https://klasma.github.io/Logging_2523/artfynd/A 25922-2024 artfynd.xlsx", "A 25922-2024")</f>
        <v/>
      </c>
      <c r="T29">
        <f>HYPERLINK("https://klasma.github.io/Logging_2523/kartor/A 25922-2024 karta.png", "A 25922-2024")</f>
        <v/>
      </c>
      <c r="V29">
        <f>HYPERLINK("https://klasma.github.io/Logging_2523/klagomål/A 25922-2024 FSC-klagomål.docx", "A 25922-2024")</f>
        <v/>
      </c>
      <c r="W29">
        <f>HYPERLINK("https://klasma.github.io/Logging_2523/klagomålsmail/A 25922-2024 FSC-klagomål mail.docx", "A 25922-2024")</f>
        <v/>
      </c>
      <c r="X29">
        <f>HYPERLINK("https://klasma.github.io/Logging_2523/tillsyn/A 25922-2024 tillsynsbegäran.docx", "A 25922-2024")</f>
        <v/>
      </c>
      <c r="Y29">
        <f>HYPERLINK("https://klasma.github.io/Logging_2523/tillsynsmail/A 25922-2024 tillsynsbegäran mail.docx", "A 25922-2024")</f>
        <v/>
      </c>
      <c r="Z29">
        <f>HYPERLINK("https://klasma.github.io/Logging_2523/fåglar/A 25922-2024 prioriterade fågelarter.docx", "A 25922-2024")</f>
        <v/>
      </c>
    </row>
    <row r="30" ht="15" customHeight="1">
      <c r="A30" t="inlineStr">
        <is>
          <t>A 15152-2025</t>
        </is>
      </c>
      <c r="B30" s="1" t="n">
        <v>45744</v>
      </c>
      <c r="C30" s="1" t="n">
        <v>46180</v>
      </c>
      <c r="D30" t="inlineStr">
        <is>
          <t>NORRBOTTENS LÄN</t>
        </is>
      </c>
      <c r="E30" t="inlineStr">
        <is>
          <t>GÄLLIVARE</t>
        </is>
      </c>
      <c r="F30" t="inlineStr">
        <is>
          <t>Sveaskog</t>
        </is>
      </c>
      <c r="G30" t="n">
        <v>0.4</v>
      </c>
      <c r="H30" t="n">
        <v>0</v>
      </c>
      <c r="I30" t="n">
        <v>0</v>
      </c>
      <c r="J30" t="n">
        <v>3</v>
      </c>
      <c r="K30" t="n">
        <v>1</v>
      </c>
      <c r="L30" t="n">
        <v>0</v>
      </c>
      <c r="M30" t="n">
        <v>0</v>
      </c>
      <c r="N30" t="n">
        <v>0</v>
      </c>
      <c r="O30" t="n">
        <v>4</v>
      </c>
      <c r="P30" t="n">
        <v>1</v>
      </c>
      <c r="Q30" t="n">
        <v>4</v>
      </c>
      <c r="R30" s="2" t="inlineStr">
        <is>
          <t>Tallmusseron
Blå taggsvamp
Skrovlig taggsvamp
Talltaggsvamp</t>
        </is>
      </c>
      <c r="S30">
        <f>HYPERLINK("https://klasma.github.io/Logging_2523/artfynd/A 15152-2025 artfynd.xlsx", "A 15152-2025")</f>
        <v/>
      </c>
      <c r="T30">
        <f>HYPERLINK("https://klasma.github.io/Logging_2523/kartor/A 15152-2025 karta.png", "A 15152-2025")</f>
        <v/>
      </c>
      <c r="V30">
        <f>HYPERLINK("https://klasma.github.io/Logging_2523/klagomål/A 15152-2025 FSC-klagomål.docx", "A 15152-2025")</f>
        <v/>
      </c>
      <c r="W30">
        <f>HYPERLINK("https://klasma.github.io/Logging_2523/klagomålsmail/A 15152-2025 FSC-klagomål mail.docx", "A 15152-2025")</f>
        <v/>
      </c>
      <c r="X30">
        <f>HYPERLINK("https://klasma.github.io/Logging_2523/tillsyn/A 15152-2025 tillsynsbegäran.docx", "A 15152-2025")</f>
        <v/>
      </c>
      <c r="Y30">
        <f>HYPERLINK("https://klasma.github.io/Logging_2523/tillsynsmail/A 15152-2025 tillsynsbegäran mail.docx", "A 15152-2025")</f>
        <v/>
      </c>
    </row>
    <row r="31" ht="15" customHeight="1">
      <c r="A31" t="inlineStr">
        <is>
          <t>A 24185-2025</t>
        </is>
      </c>
      <c r="B31" s="1" t="n">
        <v>45796</v>
      </c>
      <c r="C31" s="1" t="n">
        <v>46180</v>
      </c>
      <c r="D31" t="inlineStr">
        <is>
          <t>NORRBOTTENS LÄN</t>
        </is>
      </c>
      <c r="E31" t="inlineStr">
        <is>
          <t>GÄLLIVARE</t>
        </is>
      </c>
      <c r="F31" t="inlineStr">
        <is>
          <t>Allmännings- och besparingsskogar</t>
        </is>
      </c>
      <c r="G31" t="n">
        <v>10.6</v>
      </c>
      <c r="H31" t="n">
        <v>1</v>
      </c>
      <c r="I31" t="n">
        <v>2</v>
      </c>
      <c r="J31" t="n">
        <v>1</v>
      </c>
      <c r="K31" t="n">
        <v>0</v>
      </c>
      <c r="L31" t="n">
        <v>0</v>
      </c>
      <c r="M31" t="n">
        <v>0</v>
      </c>
      <c r="N31" t="n">
        <v>0</v>
      </c>
      <c r="O31" t="n">
        <v>1</v>
      </c>
      <c r="P31" t="n">
        <v>0</v>
      </c>
      <c r="Q31" t="n">
        <v>4</v>
      </c>
      <c r="R31" s="2" t="inlineStr">
        <is>
          <t>Garnlav
Grönpyrola
Nästlav
Revlummer</t>
        </is>
      </c>
      <c r="S31">
        <f>HYPERLINK("https://klasma.github.io/Logging_2523/artfynd/A 24185-2025 artfynd.xlsx", "A 24185-2025")</f>
        <v/>
      </c>
      <c r="T31">
        <f>HYPERLINK("https://klasma.github.io/Logging_2523/kartor/A 24185-2025 karta.png", "A 24185-2025")</f>
        <v/>
      </c>
      <c r="V31">
        <f>HYPERLINK("https://klasma.github.io/Logging_2523/klagomål/A 24185-2025 FSC-klagomål.docx", "A 24185-2025")</f>
        <v/>
      </c>
      <c r="W31">
        <f>HYPERLINK("https://klasma.github.io/Logging_2523/klagomålsmail/A 24185-2025 FSC-klagomål mail.docx", "A 24185-2025")</f>
        <v/>
      </c>
      <c r="X31">
        <f>HYPERLINK("https://klasma.github.io/Logging_2523/tillsyn/A 24185-2025 tillsynsbegäran.docx", "A 24185-2025")</f>
        <v/>
      </c>
      <c r="Y31">
        <f>HYPERLINK("https://klasma.github.io/Logging_2523/tillsynsmail/A 24185-2025 tillsynsbegäran mail.docx", "A 24185-2025")</f>
        <v/>
      </c>
    </row>
    <row r="32" ht="15" customHeight="1">
      <c r="A32" t="inlineStr">
        <is>
          <t>A 39961-2025</t>
        </is>
      </c>
      <c r="B32" s="1" t="n">
        <v>45892.49017361111</v>
      </c>
      <c r="C32" s="1" t="n">
        <v>46180</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46180</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46180</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25467-2026</t>
        </is>
      </c>
      <c r="B35" s="1" t="n">
        <v>46177.38635416667</v>
      </c>
      <c r="C35" s="1" t="n">
        <v>46180</v>
      </c>
      <c r="D35" t="inlineStr">
        <is>
          <t>NORRBOTTENS LÄN</t>
        </is>
      </c>
      <c r="E35" t="inlineStr">
        <is>
          <t>GÄLLIVARE</t>
        </is>
      </c>
      <c r="G35" t="n">
        <v>30.9</v>
      </c>
      <c r="H35" t="n">
        <v>1</v>
      </c>
      <c r="I35" t="n">
        <v>1</v>
      </c>
      <c r="J35" t="n">
        <v>1</v>
      </c>
      <c r="K35" t="n">
        <v>0</v>
      </c>
      <c r="L35" t="n">
        <v>0</v>
      </c>
      <c r="M35" t="n">
        <v>0</v>
      </c>
      <c r="N35" t="n">
        <v>0</v>
      </c>
      <c r="O35" t="n">
        <v>1</v>
      </c>
      <c r="P35" t="n">
        <v>0</v>
      </c>
      <c r="Q35" t="n">
        <v>3</v>
      </c>
      <c r="R35" s="2" t="inlineStr">
        <is>
          <t>Gammelgransskål
Källpraktmossa
Revlummer</t>
        </is>
      </c>
      <c r="S35">
        <f>HYPERLINK("https://klasma.github.io/Logging_2523/artfynd/A 25467-2026 artfynd.xlsx", "A 25467-2026")</f>
        <v/>
      </c>
      <c r="T35">
        <f>HYPERLINK("https://klasma.github.io/Logging_2523/kartor/A 25467-2026 karta.png", "A 25467-2026")</f>
        <v/>
      </c>
      <c r="V35">
        <f>HYPERLINK("https://klasma.github.io/Logging_2523/klagomål/A 25467-2026 FSC-klagomål.docx", "A 25467-2026")</f>
        <v/>
      </c>
      <c r="W35">
        <f>HYPERLINK("https://klasma.github.io/Logging_2523/klagomålsmail/A 25467-2026 FSC-klagomål mail.docx", "A 25467-2026")</f>
        <v/>
      </c>
      <c r="X35">
        <f>HYPERLINK("https://klasma.github.io/Logging_2523/tillsyn/A 25467-2026 tillsynsbegäran.docx", "A 25467-2026")</f>
        <v/>
      </c>
      <c r="Y35">
        <f>HYPERLINK("https://klasma.github.io/Logging_2523/tillsynsmail/A 25467-2026 tillsynsbegäran mail.docx", "A 25467-2026")</f>
        <v/>
      </c>
    </row>
    <row r="36" ht="15" customHeight="1">
      <c r="A36" t="inlineStr">
        <is>
          <t>A 42548-2021</t>
        </is>
      </c>
      <c r="B36" s="1" t="n">
        <v>44427</v>
      </c>
      <c r="C36" s="1" t="n">
        <v>46180</v>
      </c>
      <c r="D36" t="inlineStr">
        <is>
          <t>NORRBOTTENS LÄN</t>
        </is>
      </c>
      <c r="E36" t="inlineStr">
        <is>
          <t>GÄLLIVARE</t>
        </is>
      </c>
      <c r="F36" t="inlineStr">
        <is>
          <t>SCA</t>
        </is>
      </c>
      <c r="G36" t="n">
        <v>3.2</v>
      </c>
      <c r="H36" t="n">
        <v>0</v>
      </c>
      <c r="I36" t="n">
        <v>0</v>
      </c>
      <c r="J36" t="n">
        <v>2</v>
      </c>
      <c r="K36" t="n">
        <v>0</v>
      </c>
      <c r="L36" t="n">
        <v>0</v>
      </c>
      <c r="M36" t="n">
        <v>0</v>
      </c>
      <c r="N36" t="n">
        <v>0</v>
      </c>
      <c r="O36" t="n">
        <v>2</v>
      </c>
      <c r="P36" t="n">
        <v>0</v>
      </c>
      <c r="Q36" t="n">
        <v>2</v>
      </c>
      <c r="R36" s="2" t="inlineStr">
        <is>
          <t>Orange taggsvamp
Svart taggsvamp agg.</t>
        </is>
      </c>
      <c r="S36">
        <f>HYPERLINK("https://klasma.github.io/Logging_2523/artfynd/A 42548-2021 artfynd.xlsx", "A 42548-2021")</f>
        <v/>
      </c>
      <c r="T36">
        <f>HYPERLINK("https://klasma.github.io/Logging_2523/kartor/A 42548-2021 karta.png", "A 42548-2021")</f>
        <v/>
      </c>
      <c r="V36">
        <f>HYPERLINK("https://klasma.github.io/Logging_2523/klagomål/A 42548-2021 FSC-klagomål.docx", "A 42548-2021")</f>
        <v/>
      </c>
      <c r="W36">
        <f>HYPERLINK("https://klasma.github.io/Logging_2523/klagomålsmail/A 42548-2021 FSC-klagomål mail.docx", "A 42548-2021")</f>
        <v/>
      </c>
      <c r="X36">
        <f>HYPERLINK("https://klasma.github.io/Logging_2523/tillsyn/A 42548-2021 tillsynsbegäran.docx", "A 42548-2021")</f>
        <v/>
      </c>
      <c r="Y36">
        <f>HYPERLINK("https://klasma.github.io/Logging_2523/tillsynsmail/A 42548-2021 tillsynsbegäran mail.docx", "A 42548-2021")</f>
        <v/>
      </c>
    </row>
    <row r="37" ht="15" customHeight="1">
      <c r="A37" t="inlineStr">
        <is>
          <t>A 36289-2022</t>
        </is>
      </c>
      <c r="B37" s="1" t="n">
        <v>44803</v>
      </c>
      <c r="C37" s="1" t="n">
        <v>46180</v>
      </c>
      <c r="D37" t="inlineStr">
        <is>
          <t>NORRBOTTENS LÄN</t>
        </is>
      </c>
      <c r="E37" t="inlineStr">
        <is>
          <t>GÄLLIVARE</t>
        </is>
      </c>
      <c r="G37" t="n">
        <v>9.6</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36289-2022 artfynd.xlsx", "A 36289-2022")</f>
        <v/>
      </c>
      <c r="T37">
        <f>HYPERLINK("https://klasma.github.io/Logging_2523/kartor/A 36289-2022 karta.png", "A 36289-2022")</f>
        <v/>
      </c>
      <c r="V37">
        <f>HYPERLINK("https://klasma.github.io/Logging_2523/klagomål/A 36289-2022 FSC-klagomål.docx", "A 36289-2022")</f>
        <v/>
      </c>
      <c r="W37">
        <f>HYPERLINK("https://klasma.github.io/Logging_2523/klagomålsmail/A 36289-2022 FSC-klagomål mail.docx", "A 36289-2022")</f>
        <v/>
      </c>
      <c r="X37">
        <f>HYPERLINK("https://klasma.github.io/Logging_2523/tillsyn/A 36289-2022 tillsynsbegäran.docx", "A 36289-2022")</f>
        <v/>
      </c>
      <c r="Y37">
        <f>HYPERLINK("https://klasma.github.io/Logging_2523/tillsynsmail/A 36289-2022 tillsynsbegäran mail.docx", "A 36289-2022")</f>
        <v/>
      </c>
    </row>
    <row r="38" ht="15" customHeight="1">
      <c r="A38" t="inlineStr">
        <is>
          <t>A 36981-2023</t>
        </is>
      </c>
      <c r="B38" s="1" t="n">
        <v>45154</v>
      </c>
      <c r="C38" s="1" t="n">
        <v>46180</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39968-2025</t>
        </is>
      </c>
      <c r="B39" s="1" t="n">
        <v>45892.6153125</v>
      </c>
      <c r="C39" s="1" t="n">
        <v>46180</v>
      </c>
      <c r="D39" t="inlineStr">
        <is>
          <t>NORRBOTTENS LÄN</t>
        </is>
      </c>
      <c r="E39" t="inlineStr">
        <is>
          <t>GÄLLIVARE</t>
        </is>
      </c>
      <c r="F39" t="inlineStr">
        <is>
          <t>SCA</t>
        </is>
      </c>
      <c r="G39" t="n">
        <v>3.4</v>
      </c>
      <c r="H39" t="n">
        <v>0</v>
      </c>
      <c r="I39" t="n">
        <v>0</v>
      </c>
      <c r="J39" t="n">
        <v>2</v>
      </c>
      <c r="K39" t="n">
        <v>0</v>
      </c>
      <c r="L39" t="n">
        <v>0</v>
      </c>
      <c r="M39" t="n">
        <v>0</v>
      </c>
      <c r="N39" t="n">
        <v>0</v>
      </c>
      <c r="O39" t="n">
        <v>2</v>
      </c>
      <c r="P39" t="n">
        <v>0</v>
      </c>
      <c r="Q39" t="n">
        <v>2</v>
      </c>
      <c r="R39" s="2" t="inlineStr">
        <is>
          <t>Granticka
Violmussling</t>
        </is>
      </c>
      <c r="S39">
        <f>HYPERLINK("https://klasma.github.io/Logging_2523/artfynd/A 39968-2025 artfynd.xlsx", "A 39968-2025")</f>
        <v/>
      </c>
      <c r="T39">
        <f>HYPERLINK("https://klasma.github.io/Logging_2523/kartor/A 39968-2025 karta.png", "A 39968-2025")</f>
        <v/>
      </c>
      <c r="V39">
        <f>HYPERLINK("https://klasma.github.io/Logging_2523/klagomål/A 39968-2025 FSC-klagomål.docx", "A 39968-2025")</f>
        <v/>
      </c>
      <c r="W39">
        <f>HYPERLINK("https://klasma.github.io/Logging_2523/klagomålsmail/A 39968-2025 FSC-klagomål mail.docx", "A 39968-2025")</f>
        <v/>
      </c>
      <c r="X39">
        <f>HYPERLINK("https://klasma.github.io/Logging_2523/tillsyn/A 39968-2025 tillsynsbegäran.docx", "A 39968-2025")</f>
        <v/>
      </c>
      <c r="Y39">
        <f>HYPERLINK("https://klasma.github.io/Logging_2523/tillsynsmail/A 39968-2025 tillsynsbegäran mail.docx", "A 39968-2025")</f>
        <v/>
      </c>
    </row>
    <row r="40" ht="15" customHeight="1">
      <c r="A40" t="inlineStr">
        <is>
          <t>A 41134-2025</t>
        </is>
      </c>
      <c r="B40" s="1" t="n">
        <v>45898.48373842592</v>
      </c>
      <c r="C40" s="1" t="n">
        <v>46180</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27115-2025</t>
        </is>
      </c>
      <c r="B41" s="1" t="n">
        <v>45811.74119212963</v>
      </c>
      <c r="C41" s="1" t="n">
        <v>46180</v>
      </c>
      <c r="D41" t="inlineStr">
        <is>
          <t>NORRBOTTENS LÄN</t>
        </is>
      </c>
      <c r="E41" t="inlineStr">
        <is>
          <t>GÄLLIVARE</t>
        </is>
      </c>
      <c r="F41" t="inlineStr">
        <is>
          <t>Sveaskog</t>
        </is>
      </c>
      <c r="G41" t="n">
        <v>15</v>
      </c>
      <c r="H41" t="n">
        <v>0</v>
      </c>
      <c r="I41" t="n">
        <v>1</v>
      </c>
      <c r="J41" t="n">
        <v>1</v>
      </c>
      <c r="K41" t="n">
        <v>0</v>
      </c>
      <c r="L41" t="n">
        <v>0</v>
      </c>
      <c r="M41" t="n">
        <v>0</v>
      </c>
      <c r="N41" t="n">
        <v>0</v>
      </c>
      <c r="O41" t="n">
        <v>1</v>
      </c>
      <c r="P41" t="n">
        <v>0</v>
      </c>
      <c r="Q41" t="n">
        <v>2</v>
      </c>
      <c r="R41" s="2" t="inlineStr">
        <is>
          <t>Kolflarnlav
Dropptaggsvamp</t>
        </is>
      </c>
      <c r="S41">
        <f>HYPERLINK("https://klasma.github.io/Logging_2523/artfynd/A 27115-2025 artfynd.xlsx", "A 27115-2025")</f>
        <v/>
      </c>
      <c r="T41">
        <f>HYPERLINK("https://klasma.github.io/Logging_2523/kartor/A 27115-2025 karta.png", "A 27115-2025")</f>
        <v/>
      </c>
      <c r="V41">
        <f>HYPERLINK("https://klasma.github.io/Logging_2523/klagomål/A 27115-2025 FSC-klagomål.docx", "A 27115-2025")</f>
        <v/>
      </c>
      <c r="W41">
        <f>HYPERLINK("https://klasma.github.io/Logging_2523/klagomålsmail/A 27115-2025 FSC-klagomål mail.docx", "A 27115-2025")</f>
        <v/>
      </c>
      <c r="X41">
        <f>HYPERLINK("https://klasma.github.io/Logging_2523/tillsyn/A 27115-2025 tillsynsbegäran.docx", "A 27115-2025")</f>
        <v/>
      </c>
      <c r="Y41">
        <f>HYPERLINK("https://klasma.github.io/Logging_2523/tillsynsmail/A 27115-2025 tillsynsbegäran mail.docx", "A 27115-2025")</f>
        <v/>
      </c>
    </row>
    <row r="42" ht="15" customHeight="1">
      <c r="A42" t="inlineStr">
        <is>
          <t>A 45828-2025</t>
        </is>
      </c>
      <c r="B42" s="1" t="n">
        <v>45923.6009375</v>
      </c>
      <c r="C42" s="1" t="n">
        <v>46180</v>
      </c>
      <c r="D42" t="inlineStr">
        <is>
          <t>NORRBOTTENS LÄN</t>
        </is>
      </c>
      <c r="E42" t="inlineStr">
        <is>
          <t>GÄLLIVARE</t>
        </is>
      </c>
      <c r="F42" t="inlineStr">
        <is>
          <t>Sveaskog</t>
        </is>
      </c>
      <c r="G42" t="n">
        <v>9.6</v>
      </c>
      <c r="H42" t="n">
        <v>0</v>
      </c>
      <c r="I42" t="n">
        <v>1</v>
      </c>
      <c r="J42" t="n">
        <v>1</v>
      </c>
      <c r="K42" t="n">
        <v>0</v>
      </c>
      <c r="L42" t="n">
        <v>0</v>
      </c>
      <c r="M42" t="n">
        <v>0</v>
      </c>
      <c r="N42" t="n">
        <v>0</v>
      </c>
      <c r="O42" t="n">
        <v>1</v>
      </c>
      <c r="P42" t="n">
        <v>0</v>
      </c>
      <c r="Q42" t="n">
        <v>2</v>
      </c>
      <c r="R42" s="2" t="inlineStr">
        <is>
          <t>Violmussling
Stuplav</t>
        </is>
      </c>
      <c r="S42">
        <f>HYPERLINK("https://klasma.github.io/Logging_2523/artfynd/A 45828-2025 artfynd.xlsx", "A 45828-2025")</f>
        <v/>
      </c>
      <c r="T42">
        <f>HYPERLINK("https://klasma.github.io/Logging_2523/kartor/A 45828-2025 karta.png", "A 45828-2025")</f>
        <v/>
      </c>
      <c r="U42">
        <f>HYPERLINK("https://klasma.github.io/Logging_2523/knärot/A 45828-2025 karta knärot.png", "A 45828-2025")</f>
        <v/>
      </c>
      <c r="V42">
        <f>HYPERLINK("https://klasma.github.io/Logging_2523/klagomål/A 45828-2025 FSC-klagomål.docx", "A 45828-2025")</f>
        <v/>
      </c>
      <c r="W42">
        <f>HYPERLINK("https://klasma.github.io/Logging_2523/klagomålsmail/A 45828-2025 FSC-klagomål mail.docx", "A 45828-2025")</f>
        <v/>
      </c>
      <c r="X42">
        <f>HYPERLINK("https://klasma.github.io/Logging_2523/tillsyn/A 45828-2025 tillsynsbegäran.docx", "A 45828-2025")</f>
        <v/>
      </c>
      <c r="Y42">
        <f>HYPERLINK("https://klasma.github.io/Logging_2523/tillsynsmail/A 45828-2025 tillsynsbegäran mail.docx", "A 45828-2025")</f>
        <v/>
      </c>
    </row>
    <row r="43" ht="15" customHeight="1">
      <c r="A43" t="inlineStr">
        <is>
          <t>A 36908-2025</t>
        </is>
      </c>
      <c r="B43" s="1" t="n">
        <v>45874.49350694445</v>
      </c>
      <c r="C43" s="1" t="n">
        <v>46180</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52205-2025</t>
        </is>
      </c>
      <c r="B44" s="1" t="n">
        <v>45953.40945601852</v>
      </c>
      <c r="C44" s="1" t="n">
        <v>46180</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46180</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46856-2023</t>
        </is>
      </c>
      <c r="B46" s="1" t="n">
        <v>45199</v>
      </c>
      <c r="C46" s="1" t="n">
        <v>46180</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36248-2023</t>
        </is>
      </c>
      <c r="B47" s="1" t="n">
        <v>45150</v>
      </c>
      <c r="C47" s="1" t="n">
        <v>46180</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5793-2025</t>
        </is>
      </c>
      <c r="B48" s="1" t="n">
        <v>45694</v>
      </c>
      <c r="C48" s="1" t="n">
        <v>46180</v>
      </c>
      <c r="D48" t="inlineStr">
        <is>
          <t>NORRBOTTENS LÄN</t>
        </is>
      </c>
      <c r="E48" t="inlineStr">
        <is>
          <t>GÄLLIVARE</t>
        </is>
      </c>
      <c r="F48" t="inlineStr">
        <is>
          <t>SCA</t>
        </is>
      </c>
      <c r="G48" t="n">
        <v>2.4</v>
      </c>
      <c r="H48" t="n">
        <v>0</v>
      </c>
      <c r="I48" t="n">
        <v>0</v>
      </c>
      <c r="J48" t="n">
        <v>2</v>
      </c>
      <c r="K48" t="n">
        <v>0</v>
      </c>
      <c r="L48" t="n">
        <v>0</v>
      </c>
      <c r="M48" t="n">
        <v>0</v>
      </c>
      <c r="N48" t="n">
        <v>0</v>
      </c>
      <c r="O48" t="n">
        <v>2</v>
      </c>
      <c r="P48" t="n">
        <v>0</v>
      </c>
      <c r="Q48" t="n">
        <v>2</v>
      </c>
      <c r="R48" s="2" t="inlineStr">
        <is>
          <t>Gammelgransskål
Garnlav</t>
        </is>
      </c>
      <c r="S48">
        <f>HYPERLINK("https://klasma.github.io/Logging_2523/artfynd/A 5793-2025 artfynd.xlsx", "A 5793-2025")</f>
        <v/>
      </c>
      <c r="T48">
        <f>HYPERLINK("https://klasma.github.io/Logging_2523/kartor/A 5793-2025 karta.png", "A 5793-2025")</f>
        <v/>
      </c>
      <c r="V48">
        <f>HYPERLINK("https://klasma.github.io/Logging_2523/klagomål/A 5793-2025 FSC-klagomål.docx", "A 5793-2025")</f>
        <v/>
      </c>
      <c r="W48">
        <f>HYPERLINK("https://klasma.github.io/Logging_2523/klagomålsmail/A 5793-2025 FSC-klagomål mail.docx", "A 5793-2025")</f>
        <v/>
      </c>
      <c r="X48">
        <f>HYPERLINK("https://klasma.github.io/Logging_2523/tillsyn/A 5793-2025 tillsynsbegäran.docx", "A 5793-2025")</f>
        <v/>
      </c>
      <c r="Y48">
        <f>HYPERLINK("https://klasma.github.io/Logging_2523/tillsynsmail/A 5793-2025 tillsynsbegäran mail.docx", "A 5793-2025")</f>
        <v/>
      </c>
    </row>
    <row r="49" ht="15" customHeight="1">
      <c r="A49" t="inlineStr">
        <is>
          <t>A 41651-2023</t>
        </is>
      </c>
      <c r="B49" s="1" t="n">
        <v>45175</v>
      </c>
      <c r="C49" s="1" t="n">
        <v>46180</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36252-2023</t>
        </is>
      </c>
      <c r="B50" s="1" t="n">
        <v>45150</v>
      </c>
      <c r="C50" s="1" t="n">
        <v>46180</v>
      </c>
      <c r="D50" t="inlineStr">
        <is>
          <t>NORRBOTTENS LÄN</t>
        </is>
      </c>
      <c r="E50" t="inlineStr">
        <is>
          <t>GÄLLIVARE</t>
        </is>
      </c>
      <c r="F50" t="inlineStr">
        <is>
          <t>SCA</t>
        </is>
      </c>
      <c r="G50" t="n">
        <v>14.1</v>
      </c>
      <c r="H50" t="n">
        <v>0</v>
      </c>
      <c r="I50" t="n">
        <v>0</v>
      </c>
      <c r="J50" t="n">
        <v>2</v>
      </c>
      <c r="K50" t="n">
        <v>0</v>
      </c>
      <c r="L50" t="n">
        <v>0</v>
      </c>
      <c r="M50" t="n">
        <v>0</v>
      </c>
      <c r="N50" t="n">
        <v>0</v>
      </c>
      <c r="O50" t="n">
        <v>2</v>
      </c>
      <c r="P50" t="n">
        <v>0</v>
      </c>
      <c r="Q50" t="n">
        <v>2</v>
      </c>
      <c r="R50" s="2" t="inlineStr">
        <is>
          <t>Svartvit taggsvamp
Talltaggsvamp</t>
        </is>
      </c>
      <c r="S50">
        <f>HYPERLINK("https://klasma.github.io/Logging_2523/artfynd/A 36252-2023 artfynd.xlsx", "A 36252-2023")</f>
        <v/>
      </c>
      <c r="T50">
        <f>HYPERLINK("https://klasma.github.io/Logging_2523/kartor/A 36252-2023 karta.png", "A 36252-2023")</f>
        <v/>
      </c>
      <c r="V50">
        <f>HYPERLINK("https://klasma.github.io/Logging_2523/klagomål/A 36252-2023 FSC-klagomål.docx", "A 36252-2023")</f>
        <v/>
      </c>
      <c r="W50">
        <f>HYPERLINK("https://klasma.github.io/Logging_2523/klagomålsmail/A 36252-2023 FSC-klagomål mail.docx", "A 36252-2023")</f>
        <v/>
      </c>
      <c r="X50">
        <f>HYPERLINK("https://klasma.github.io/Logging_2523/tillsyn/A 36252-2023 tillsynsbegäran.docx", "A 36252-2023")</f>
        <v/>
      </c>
      <c r="Y50">
        <f>HYPERLINK("https://klasma.github.io/Logging_2523/tillsynsmail/A 36252-2023 tillsynsbegäran mail.docx", "A 36252-2023")</f>
        <v/>
      </c>
    </row>
    <row r="51" ht="15" customHeight="1">
      <c r="A51" t="inlineStr">
        <is>
          <t>A 41650-2023</t>
        </is>
      </c>
      <c r="B51" s="1" t="n">
        <v>45175</v>
      </c>
      <c r="C51" s="1" t="n">
        <v>46180</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18408-2026</t>
        </is>
      </c>
      <c r="B52" s="1" t="n">
        <v>46126.69875</v>
      </c>
      <c r="C52" s="1" t="n">
        <v>46180</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15155-2025</t>
        </is>
      </c>
      <c r="B53" s="1" t="n">
        <v>45744</v>
      </c>
      <c r="C53" s="1" t="n">
        <v>46180</v>
      </c>
      <c r="D53" t="inlineStr">
        <is>
          <t>NORRBOTTENS LÄN</t>
        </is>
      </c>
      <c r="E53" t="inlineStr">
        <is>
          <t>GÄLLIVARE</t>
        </is>
      </c>
      <c r="F53" t="inlineStr">
        <is>
          <t>Sveaskog</t>
        </is>
      </c>
      <c r="G53" t="n">
        <v>1.9</v>
      </c>
      <c r="H53" t="n">
        <v>1</v>
      </c>
      <c r="I53" t="n">
        <v>0</v>
      </c>
      <c r="J53" t="n">
        <v>2</v>
      </c>
      <c r="K53" t="n">
        <v>0</v>
      </c>
      <c r="L53" t="n">
        <v>0</v>
      </c>
      <c r="M53" t="n">
        <v>0</v>
      </c>
      <c r="N53" t="n">
        <v>0</v>
      </c>
      <c r="O53" t="n">
        <v>2</v>
      </c>
      <c r="P53" t="n">
        <v>0</v>
      </c>
      <c r="Q53" t="n">
        <v>2</v>
      </c>
      <c r="R53" s="2" t="inlineStr">
        <is>
          <t>Mospindling
Talltita</t>
        </is>
      </c>
      <c r="S53">
        <f>HYPERLINK("https://klasma.github.io/Logging_2523/artfynd/A 15155-2025 artfynd.xlsx", "A 15155-2025")</f>
        <v/>
      </c>
      <c r="T53">
        <f>HYPERLINK("https://klasma.github.io/Logging_2523/kartor/A 15155-2025 karta.png", "A 15155-2025")</f>
        <v/>
      </c>
      <c r="V53">
        <f>HYPERLINK("https://klasma.github.io/Logging_2523/klagomål/A 15155-2025 FSC-klagomål.docx", "A 15155-2025")</f>
        <v/>
      </c>
      <c r="W53">
        <f>HYPERLINK("https://klasma.github.io/Logging_2523/klagomålsmail/A 15155-2025 FSC-klagomål mail.docx", "A 15155-2025")</f>
        <v/>
      </c>
      <c r="X53">
        <f>HYPERLINK("https://klasma.github.io/Logging_2523/tillsyn/A 15155-2025 tillsynsbegäran.docx", "A 15155-2025")</f>
        <v/>
      </c>
      <c r="Y53">
        <f>HYPERLINK("https://klasma.github.io/Logging_2523/tillsynsmail/A 15155-2025 tillsynsbegäran mail.docx", "A 15155-2025")</f>
        <v/>
      </c>
      <c r="Z53">
        <f>HYPERLINK("https://klasma.github.io/Logging_2523/fåglar/A 15155-2025 prioriterade fågelarter.docx", "A 15155-2025")</f>
        <v/>
      </c>
    </row>
    <row r="54" ht="15" customHeight="1">
      <c r="A54" t="inlineStr">
        <is>
          <t>A 43092-2021</t>
        </is>
      </c>
      <c r="B54" s="1" t="n">
        <v>44431</v>
      </c>
      <c r="C54" s="1" t="n">
        <v>46180</v>
      </c>
      <c r="D54" t="inlineStr">
        <is>
          <t>NORRBOTTENS LÄN</t>
        </is>
      </c>
      <c r="E54" t="inlineStr">
        <is>
          <t>GÄLLIVARE</t>
        </is>
      </c>
      <c r="G54" t="n">
        <v>0.9</v>
      </c>
      <c r="H54" t="n">
        <v>1</v>
      </c>
      <c r="I54" t="n">
        <v>0</v>
      </c>
      <c r="J54" t="n">
        <v>1</v>
      </c>
      <c r="K54" t="n">
        <v>0</v>
      </c>
      <c r="L54" t="n">
        <v>0</v>
      </c>
      <c r="M54" t="n">
        <v>0</v>
      </c>
      <c r="N54" t="n">
        <v>0</v>
      </c>
      <c r="O54" t="n">
        <v>1</v>
      </c>
      <c r="P54" t="n">
        <v>0</v>
      </c>
      <c r="Q54" t="n">
        <v>1</v>
      </c>
      <c r="R54" s="2" t="inlineStr">
        <is>
          <t>Utter</t>
        </is>
      </c>
      <c r="S54">
        <f>HYPERLINK("https://klasma.github.io/Logging_2523/artfynd/A 43092-2021 artfynd.xlsx", "A 43092-2021")</f>
        <v/>
      </c>
      <c r="T54">
        <f>HYPERLINK("https://klasma.github.io/Logging_2523/kartor/A 43092-2021 karta.png", "A 43092-2021")</f>
        <v/>
      </c>
      <c r="V54">
        <f>HYPERLINK("https://klasma.github.io/Logging_2523/klagomål/A 43092-2021 FSC-klagomål.docx", "A 43092-2021")</f>
        <v/>
      </c>
      <c r="W54">
        <f>HYPERLINK("https://klasma.github.io/Logging_2523/klagomålsmail/A 43092-2021 FSC-klagomål mail.docx", "A 43092-2021")</f>
        <v/>
      </c>
      <c r="X54">
        <f>HYPERLINK("https://klasma.github.io/Logging_2523/tillsyn/A 43092-2021 tillsynsbegäran.docx", "A 43092-2021")</f>
        <v/>
      </c>
      <c r="Y54">
        <f>HYPERLINK("https://klasma.github.io/Logging_2523/tillsynsmail/A 43092-2021 tillsynsbegäran mail.docx", "A 43092-2021")</f>
        <v/>
      </c>
    </row>
    <row r="55" ht="15" customHeight="1">
      <c r="A55" t="inlineStr">
        <is>
          <t>A 45017-2021</t>
        </is>
      </c>
      <c r="B55" s="1" t="n">
        <v>44438</v>
      </c>
      <c r="C55" s="1" t="n">
        <v>46180</v>
      </c>
      <c r="D55" t="inlineStr">
        <is>
          <t>NORRBOTTENS LÄN</t>
        </is>
      </c>
      <c r="E55" t="inlineStr">
        <is>
          <t>GÄLLIVARE</t>
        </is>
      </c>
      <c r="F55" t="inlineStr">
        <is>
          <t>SCA</t>
        </is>
      </c>
      <c r="G55" t="n">
        <v>4.8</v>
      </c>
      <c r="H55" t="n">
        <v>0</v>
      </c>
      <c r="I55" t="n">
        <v>0</v>
      </c>
      <c r="J55" t="n">
        <v>1</v>
      </c>
      <c r="K55" t="n">
        <v>0</v>
      </c>
      <c r="L55" t="n">
        <v>0</v>
      </c>
      <c r="M55" t="n">
        <v>0</v>
      </c>
      <c r="N55" t="n">
        <v>0</v>
      </c>
      <c r="O55" t="n">
        <v>1</v>
      </c>
      <c r="P55" t="n">
        <v>0</v>
      </c>
      <c r="Q55" t="n">
        <v>1</v>
      </c>
      <c r="R55" s="2" t="inlineStr">
        <is>
          <t>Garnlav</t>
        </is>
      </c>
      <c r="S55">
        <f>HYPERLINK("https://klasma.github.io/Logging_2523/artfynd/A 45017-2021 artfynd.xlsx", "A 45017-2021")</f>
        <v/>
      </c>
      <c r="T55">
        <f>HYPERLINK("https://klasma.github.io/Logging_2523/kartor/A 45017-2021 karta.png", "A 45017-2021")</f>
        <v/>
      </c>
      <c r="V55">
        <f>HYPERLINK("https://klasma.github.io/Logging_2523/klagomål/A 45017-2021 FSC-klagomål.docx", "A 45017-2021")</f>
        <v/>
      </c>
      <c r="W55">
        <f>HYPERLINK("https://klasma.github.io/Logging_2523/klagomålsmail/A 45017-2021 FSC-klagomål mail.docx", "A 45017-2021")</f>
        <v/>
      </c>
      <c r="X55">
        <f>HYPERLINK("https://klasma.github.io/Logging_2523/tillsyn/A 45017-2021 tillsynsbegäran.docx", "A 45017-2021")</f>
        <v/>
      </c>
      <c r="Y55">
        <f>HYPERLINK("https://klasma.github.io/Logging_2523/tillsynsmail/A 45017-2021 tillsynsbegäran mail.docx", "A 45017-2021")</f>
        <v/>
      </c>
    </row>
    <row r="56" ht="15" customHeight="1">
      <c r="A56" t="inlineStr">
        <is>
          <t>A 27114-2025</t>
        </is>
      </c>
      <c r="B56" s="1" t="n">
        <v>45811.74068287037</v>
      </c>
      <c r="C56" s="1" t="n">
        <v>46180</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31651-2025</t>
        </is>
      </c>
      <c r="B57" s="1" t="n">
        <v>45834.34667824074</v>
      </c>
      <c r="C57" s="1" t="n">
        <v>46180</v>
      </c>
      <c r="D57" t="inlineStr">
        <is>
          <t>NORRBOTTENS LÄN</t>
        </is>
      </c>
      <c r="E57" t="inlineStr">
        <is>
          <t>GÄLLIVARE</t>
        </is>
      </c>
      <c r="F57" t="inlineStr">
        <is>
          <t>SCA</t>
        </is>
      </c>
      <c r="G57" t="n">
        <v>4.4</v>
      </c>
      <c r="H57" t="n">
        <v>0</v>
      </c>
      <c r="I57" t="n">
        <v>0</v>
      </c>
      <c r="J57" t="n">
        <v>1</v>
      </c>
      <c r="K57" t="n">
        <v>0</v>
      </c>
      <c r="L57" t="n">
        <v>0</v>
      </c>
      <c r="M57" t="n">
        <v>0</v>
      </c>
      <c r="N57" t="n">
        <v>0</v>
      </c>
      <c r="O57" t="n">
        <v>1</v>
      </c>
      <c r="P57" t="n">
        <v>0</v>
      </c>
      <c r="Q57" t="n">
        <v>1</v>
      </c>
      <c r="R57" s="2" t="inlineStr">
        <is>
          <t>Talltaggsvamp</t>
        </is>
      </c>
      <c r="S57">
        <f>HYPERLINK("https://klasma.github.io/Logging_2523/artfynd/A 31651-2025 artfynd.xlsx", "A 31651-2025")</f>
        <v/>
      </c>
      <c r="T57">
        <f>HYPERLINK("https://klasma.github.io/Logging_2523/kartor/A 31651-2025 karta.png", "A 31651-2025")</f>
        <v/>
      </c>
      <c r="V57">
        <f>HYPERLINK("https://klasma.github.io/Logging_2523/klagomål/A 31651-2025 FSC-klagomål.docx", "A 31651-2025")</f>
        <v/>
      </c>
      <c r="W57">
        <f>HYPERLINK("https://klasma.github.io/Logging_2523/klagomålsmail/A 31651-2025 FSC-klagomål mail.docx", "A 31651-2025")</f>
        <v/>
      </c>
      <c r="X57">
        <f>HYPERLINK("https://klasma.github.io/Logging_2523/tillsyn/A 31651-2025 tillsynsbegäran.docx", "A 31651-2025")</f>
        <v/>
      </c>
      <c r="Y57">
        <f>HYPERLINK("https://klasma.github.io/Logging_2523/tillsynsmail/A 31651-2025 tillsynsbegäran mail.docx", "A 31651-2025")</f>
        <v/>
      </c>
    </row>
    <row r="58" ht="15" customHeight="1">
      <c r="A58" t="inlineStr">
        <is>
          <t>A 46587-2025</t>
        </is>
      </c>
      <c r="B58" s="1" t="n">
        <v>45926.3881712963</v>
      </c>
      <c r="C58" s="1" t="n">
        <v>46180</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46180</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4908-2025</t>
        </is>
      </c>
      <c r="B60" s="1" t="n">
        <v>45688</v>
      </c>
      <c r="C60" s="1" t="n">
        <v>46180</v>
      </c>
      <c r="D60" t="inlineStr">
        <is>
          <t>NORRBOTTENS LÄN</t>
        </is>
      </c>
      <c r="E60" t="inlineStr">
        <is>
          <t>GÄLLIVARE</t>
        </is>
      </c>
      <c r="F60" t="inlineStr">
        <is>
          <t>SCA</t>
        </is>
      </c>
      <c r="G60" t="n">
        <v>6.4</v>
      </c>
      <c r="H60" t="n">
        <v>1</v>
      </c>
      <c r="I60" t="n">
        <v>0</v>
      </c>
      <c r="J60" t="n">
        <v>1</v>
      </c>
      <c r="K60" t="n">
        <v>0</v>
      </c>
      <c r="L60" t="n">
        <v>0</v>
      </c>
      <c r="M60" t="n">
        <v>0</v>
      </c>
      <c r="N60" t="n">
        <v>0</v>
      </c>
      <c r="O60" t="n">
        <v>1</v>
      </c>
      <c r="P60" t="n">
        <v>0</v>
      </c>
      <c r="Q60" t="n">
        <v>1</v>
      </c>
      <c r="R60" s="2" t="inlineStr">
        <is>
          <t>Utter</t>
        </is>
      </c>
      <c r="S60">
        <f>HYPERLINK("https://klasma.github.io/Logging_2523/artfynd/A 4908-2025 artfynd.xlsx", "A 4908-2025")</f>
        <v/>
      </c>
      <c r="T60">
        <f>HYPERLINK("https://klasma.github.io/Logging_2523/kartor/A 4908-2025 karta.png", "A 4908-2025")</f>
        <v/>
      </c>
      <c r="V60">
        <f>HYPERLINK("https://klasma.github.io/Logging_2523/klagomål/A 4908-2025 FSC-klagomål.docx", "A 4908-2025")</f>
        <v/>
      </c>
      <c r="W60">
        <f>HYPERLINK("https://klasma.github.io/Logging_2523/klagomålsmail/A 4908-2025 FSC-klagomål mail.docx", "A 4908-2025")</f>
        <v/>
      </c>
      <c r="X60">
        <f>HYPERLINK("https://klasma.github.io/Logging_2523/tillsyn/A 4908-2025 tillsynsbegäran.docx", "A 4908-2025")</f>
        <v/>
      </c>
      <c r="Y60">
        <f>HYPERLINK("https://klasma.github.io/Logging_2523/tillsynsmail/A 4908-2025 tillsynsbegäran mail.docx", "A 4908-2025")</f>
        <v/>
      </c>
    </row>
    <row r="61" ht="15" customHeight="1">
      <c r="A61" t="inlineStr">
        <is>
          <t>A 34848-2025</t>
        </is>
      </c>
      <c r="B61" s="1" t="n">
        <v>45849.4200462963</v>
      </c>
      <c r="C61" s="1" t="n">
        <v>46180</v>
      </c>
      <c r="D61" t="inlineStr">
        <is>
          <t>NORRBOTTENS LÄN</t>
        </is>
      </c>
      <c r="E61" t="inlineStr">
        <is>
          <t>GÄLLIVARE</t>
        </is>
      </c>
      <c r="F61" t="inlineStr">
        <is>
          <t>Sveaskog</t>
        </is>
      </c>
      <c r="G61" t="n">
        <v>7.5</v>
      </c>
      <c r="H61" t="n">
        <v>0</v>
      </c>
      <c r="I61" t="n">
        <v>0</v>
      </c>
      <c r="J61" t="n">
        <v>1</v>
      </c>
      <c r="K61" t="n">
        <v>0</v>
      </c>
      <c r="L61" t="n">
        <v>0</v>
      </c>
      <c r="M61" t="n">
        <v>0</v>
      </c>
      <c r="N61" t="n">
        <v>0</v>
      </c>
      <c r="O61" t="n">
        <v>1</v>
      </c>
      <c r="P61" t="n">
        <v>0</v>
      </c>
      <c r="Q61" t="n">
        <v>1</v>
      </c>
      <c r="R61" s="2" t="inlineStr">
        <is>
          <t>Kolflarnlav</t>
        </is>
      </c>
      <c r="S61">
        <f>HYPERLINK("https://klasma.github.io/Logging_2523/artfynd/A 34848-2025 artfynd.xlsx", "A 34848-2025")</f>
        <v/>
      </c>
      <c r="T61">
        <f>HYPERLINK("https://klasma.github.io/Logging_2523/kartor/A 34848-2025 karta.png", "A 34848-2025")</f>
        <v/>
      </c>
      <c r="V61">
        <f>HYPERLINK("https://klasma.github.io/Logging_2523/klagomål/A 34848-2025 FSC-klagomål.docx", "A 34848-2025")</f>
        <v/>
      </c>
      <c r="W61">
        <f>HYPERLINK("https://klasma.github.io/Logging_2523/klagomålsmail/A 34848-2025 FSC-klagomål mail.docx", "A 34848-2025")</f>
        <v/>
      </c>
      <c r="X61">
        <f>HYPERLINK("https://klasma.github.io/Logging_2523/tillsyn/A 34848-2025 tillsynsbegäran.docx", "A 34848-2025")</f>
        <v/>
      </c>
      <c r="Y61">
        <f>HYPERLINK("https://klasma.github.io/Logging_2523/tillsynsmail/A 34848-2025 tillsynsbegäran mail.docx", "A 34848-2025")</f>
        <v/>
      </c>
    </row>
    <row r="62" ht="15" customHeight="1">
      <c r="A62" t="inlineStr">
        <is>
          <t>A 36479-2025</t>
        </is>
      </c>
      <c r="B62" s="1" t="n">
        <v>45869.49376157407</v>
      </c>
      <c r="C62" s="1" t="n">
        <v>46180</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40151-2025</t>
        </is>
      </c>
      <c r="B63" s="1" t="n">
        <v>45894</v>
      </c>
      <c r="C63" s="1" t="n">
        <v>46180</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46180</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10666-2026</t>
        </is>
      </c>
      <c r="B65" s="1" t="n">
        <v>46078</v>
      </c>
      <c r="C65" s="1" t="n">
        <v>46180</v>
      </c>
      <c r="D65" t="inlineStr">
        <is>
          <t>NORRBOTTENS LÄN</t>
        </is>
      </c>
      <c r="E65" t="inlineStr">
        <is>
          <t>GÄLLIVARE</t>
        </is>
      </c>
      <c r="G65" t="n">
        <v>74.09999999999999</v>
      </c>
      <c r="H65" t="n">
        <v>1</v>
      </c>
      <c r="I65" t="n">
        <v>1</v>
      </c>
      <c r="J65" t="n">
        <v>0</v>
      </c>
      <c r="K65" t="n">
        <v>0</v>
      </c>
      <c r="L65" t="n">
        <v>0</v>
      </c>
      <c r="M65" t="n">
        <v>0</v>
      </c>
      <c r="N65" t="n">
        <v>0</v>
      </c>
      <c r="O65" t="n">
        <v>0</v>
      </c>
      <c r="P65" t="n">
        <v>0</v>
      </c>
      <c r="Q65" t="n">
        <v>1</v>
      </c>
      <c r="R65" s="2" t="inlineStr">
        <is>
          <t>Spindelblomster</t>
        </is>
      </c>
      <c r="S65">
        <f>HYPERLINK("https://klasma.github.io/Logging_2523/artfynd/A 10666-2026 artfynd.xlsx", "A 10666-2026")</f>
        <v/>
      </c>
      <c r="T65">
        <f>HYPERLINK("https://klasma.github.io/Logging_2523/kartor/A 10666-2026 karta.png", "A 10666-2026")</f>
        <v/>
      </c>
      <c r="V65">
        <f>HYPERLINK("https://klasma.github.io/Logging_2523/klagomål/A 10666-2026 FSC-klagomål.docx", "A 10666-2026")</f>
        <v/>
      </c>
      <c r="W65">
        <f>HYPERLINK("https://klasma.github.io/Logging_2523/klagomålsmail/A 10666-2026 FSC-klagomål mail.docx", "A 10666-2026")</f>
        <v/>
      </c>
      <c r="X65">
        <f>HYPERLINK("https://klasma.github.io/Logging_2523/tillsyn/A 10666-2026 tillsynsbegäran.docx", "A 10666-2026")</f>
        <v/>
      </c>
      <c r="Y65">
        <f>HYPERLINK("https://klasma.github.io/Logging_2523/tillsynsmail/A 10666-2026 tillsynsbegäran mail.docx", "A 10666-2026")</f>
        <v/>
      </c>
    </row>
    <row r="66" ht="15" customHeight="1">
      <c r="A66" t="inlineStr">
        <is>
          <t>A 40956-2025</t>
        </is>
      </c>
      <c r="B66" s="1" t="n">
        <v>45897</v>
      </c>
      <c r="C66" s="1" t="n">
        <v>46180</v>
      </c>
      <c r="D66" t="inlineStr">
        <is>
          <t>NORRBOTTENS LÄN</t>
        </is>
      </c>
      <c r="E66" t="inlineStr">
        <is>
          <t>GÄLLIVARE</t>
        </is>
      </c>
      <c r="F66" t="inlineStr">
        <is>
          <t>SCA</t>
        </is>
      </c>
      <c r="G66" t="n">
        <v>0.4</v>
      </c>
      <c r="H66" t="n">
        <v>1</v>
      </c>
      <c r="I66" t="n">
        <v>0</v>
      </c>
      <c r="J66" t="n">
        <v>0</v>
      </c>
      <c r="K66" t="n">
        <v>0</v>
      </c>
      <c r="L66" t="n">
        <v>0</v>
      </c>
      <c r="M66" t="n">
        <v>0</v>
      </c>
      <c r="N66" t="n">
        <v>0</v>
      </c>
      <c r="O66" t="n">
        <v>0</v>
      </c>
      <c r="P66" t="n">
        <v>0</v>
      </c>
      <c r="Q66" t="n">
        <v>1</v>
      </c>
      <c r="R66" s="2" t="inlineStr">
        <is>
          <t>Revlummer</t>
        </is>
      </c>
      <c r="S66">
        <f>HYPERLINK("https://klasma.github.io/Logging_2523/artfynd/A 40956-2025 artfynd.xlsx", "A 40956-2025")</f>
        <v/>
      </c>
      <c r="T66">
        <f>HYPERLINK("https://klasma.github.io/Logging_2523/kartor/A 40956-2025 karta.png", "A 40956-2025")</f>
        <v/>
      </c>
      <c r="V66">
        <f>HYPERLINK("https://klasma.github.io/Logging_2523/klagomål/A 40956-2025 FSC-klagomål.docx", "A 40956-2025")</f>
        <v/>
      </c>
      <c r="W66">
        <f>HYPERLINK("https://klasma.github.io/Logging_2523/klagomålsmail/A 40956-2025 FSC-klagomål mail.docx", "A 40956-2025")</f>
        <v/>
      </c>
      <c r="X66">
        <f>HYPERLINK("https://klasma.github.io/Logging_2523/tillsyn/A 40956-2025 tillsynsbegäran.docx", "A 40956-2025")</f>
        <v/>
      </c>
      <c r="Y66">
        <f>HYPERLINK("https://klasma.github.io/Logging_2523/tillsynsmail/A 40956-2025 tillsynsbegäran mail.docx", "A 40956-2025")</f>
        <v/>
      </c>
    </row>
    <row r="67" ht="15" customHeight="1">
      <c r="A67" t="inlineStr">
        <is>
          <t>A 53801-2024</t>
        </is>
      </c>
      <c r="B67" s="1" t="n">
        <v>45615</v>
      </c>
      <c r="C67" s="1" t="n">
        <v>46180</v>
      </c>
      <c r="D67" t="inlineStr">
        <is>
          <t>NORRBOTTENS LÄN</t>
        </is>
      </c>
      <c r="E67" t="inlineStr">
        <is>
          <t>GÄLLIVARE</t>
        </is>
      </c>
      <c r="G67" t="n">
        <v>3.1</v>
      </c>
      <c r="H67" t="n">
        <v>1</v>
      </c>
      <c r="I67" t="n">
        <v>0</v>
      </c>
      <c r="J67" t="n">
        <v>0</v>
      </c>
      <c r="K67" t="n">
        <v>0</v>
      </c>
      <c r="L67" t="n">
        <v>0</v>
      </c>
      <c r="M67" t="n">
        <v>0</v>
      </c>
      <c r="N67" t="n">
        <v>0</v>
      </c>
      <c r="O67" t="n">
        <v>0</v>
      </c>
      <c r="P67" t="n">
        <v>0</v>
      </c>
      <c r="Q67" t="n">
        <v>1</v>
      </c>
      <c r="R67" s="2" t="inlineStr">
        <is>
          <t>Revlummer</t>
        </is>
      </c>
      <c r="S67">
        <f>HYPERLINK("https://klasma.github.io/Logging_2523/artfynd/A 53801-2024 artfynd.xlsx", "A 53801-2024")</f>
        <v/>
      </c>
      <c r="T67">
        <f>HYPERLINK("https://klasma.github.io/Logging_2523/kartor/A 53801-2024 karta.png", "A 53801-2024")</f>
        <v/>
      </c>
      <c r="V67">
        <f>HYPERLINK("https://klasma.github.io/Logging_2523/klagomål/A 53801-2024 FSC-klagomål.docx", "A 53801-2024")</f>
        <v/>
      </c>
      <c r="W67">
        <f>HYPERLINK("https://klasma.github.io/Logging_2523/klagomålsmail/A 53801-2024 FSC-klagomål mail.docx", "A 53801-2024")</f>
        <v/>
      </c>
      <c r="X67">
        <f>HYPERLINK("https://klasma.github.io/Logging_2523/tillsyn/A 53801-2024 tillsynsbegäran.docx", "A 53801-2024")</f>
        <v/>
      </c>
      <c r="Y67">
        <f>HYPERLINK("https://klasma.github.io/Logging_2523/tillsynsmail/A 53801-2024 tillsynsbegäran mail.docx", "A 53801-2024")</f>
        <v/>
      </c>
    </row>
    <row r="68" ht="15" customHeight="1">
      <c r="A68" t="inlineStr">
        <is>
          <t>A 27336-2023</t>
        </is>
      </c>
      <c r="B68" s="1" t="n">
        <v>45096</v>
      </c>
      <c r="C68" s="1" t="n">
        <v>46180</v>
      </c>
      <c r="D68" t="inlineStr">
        <is>
          <t>NORRBOTTENS LÄN</t>
        </is>
      </c>
      <c r="E68" t="inlineStr">
        <is>
          <t>GÄLLIVARE</t>
        </is>
      </c>
      <c r="G68" t="n">
        <v>1.8</v>
      </c>
      <c r="H68" t="n">
        <v>0</v>
      </c>
      <c r="I68" t="n">
        <v>1</v>
      </c>
      <c r="J68" t="n">
        <v>0</v>
      </c>
      <c r="K68" t="n">
        <v>0</v>
      </c>
      <c r="L68" t="n">
        <v>0</v>
      </c>
      <c r="M68" t="n">
        <v>0</v>
      </c>
      <c r="N68" t="n">
        <v>0</v>
      </c>
      <c r="O68" t="n">
        <v>0</v>
      </c>
      <c r="P68" t="n">
        <v>0</v>
      </c>
      <c r="Q68" t="n">
        <v>1</v>
      </c>
      <c r="R68" s="2" t="inlineStr">
        <is>
          <t>Dropptaggsvamp</t>
        </is>
      </c>
      <c r="S68">
        <f>HYPERLINK("https://klasma.github.io/Logging_2523/artfynd/A 27336-2023 artfynd.xlsx", "A 27336-2023")</f>
        <v/>
      </c>
      <c r="T68">
        <f>HYPERLINK("https://klasma.github.io/Logging_2523/kartor/A 27336-2023 karta.png", "A 27336-2023")</f>
        <v/>
      </c>
      <c r="V68">
        <f>HYPERLINK("https://klasma.github.io/Logging_2523/klagomål/A 27336-2023 FSC-klagomål.docx", "A 27336-2023")</f>
        <v/>
      </c>
      <c r="W68">
        <f>HYPERLINK("https://klasma.github.io/Logging_2523/klagomålsmail/A 27336-2023 FSC-klagomål mail.docx", "A 27336-2023")</f>
        <v/>
      </c>
      <c r="X68">
        <f>HYPERLINK("https://klasma.github.io/Logging_2523/tillsyn/A 27336-2023 tillsynsbegäran.docx", "A 27336-2023")</f>
        <v/>
      </c>
      <c r="Y68">
        <f>HYPERLINK("https://klasma.github.io/Logging_2523/tillsynsmail/A 27336-2023 tillsynsbegäran mail.docx", "A 27336-2023")</f>
        <v/>
      </c>
    </row>
    <row r="69" ht="15" customHeight="1">
      <c r="A69" t="inlineStr">
        <is>
          <t>A 26435-2024</t>
        </is>
      </c>
      <c r="B69" s="1" t="n">
        <v>45469.48792824074</v>
      </c>
      <c r="C69" s="1" t="n">
        <v>46180</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57535-2021</t>
        </is>
      </c>
      <c r="B70" s="1" t="n">
        <v>44483</v>
      </c>
      <c r="C70" s="1" t="n">
        <v>46180</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4891-2025</t>
        </is>
      </c>
      <c r="B71" s="1" t="n">
        <v>45688</v>
      </c>
      <c r="C71" s="1" t="n">
        <v>46180</v>
      </c>
      <c r="D71" t="inlineStr">
        <is>
          <t>NORRBOTTENS LÄN</t>
        </is>
      </c>
      <c r="E71" t="inlineStr">
        <is>
          <t>GÄLLIVARE</t>
        </is>
      </c>
      <c r="F71" t="inlineStr">
        <is>
          <t>SCA</t>
        </is>
      </c>
      <c r="G71" t="n">
        <v>1.3</v>
      </c>
      <c r="H71" t="n">
        <v>0</v>
      </c>
      <c r="I71" t="n">
        <v>0</v>
      </c>
      <c r="J71" t="n">
        <v>1</v>
      </c>
      <c r="K71" t="n">
        <v>0</v>
      </c>
      <c r="L71" t="n">
        <v>0</v>
      </c>
      <c r="M71" t="n">
        <v>0</v>
      </c>
      <c r="N71" t="n">
        <v>0</v>
      </c>
      <c r="O71" t="n">
        <v>1</v>
      </c>
      <c r="P71" t="n">
        <v>0</v>
      </c>
      <c r="Q71" t="n">
        <v>1</v>
      </c>
      <c r="R71" s="2" t="inlineStr">
        <is>
          <t>Tallticka</t>
        </is>
      </c>
      <c r="S71">
        <f>HYPERLINK("https://klasma.github.io/Logging_2523/artfynd/A 4891-2025 artfynd.xlsx", "A 4891-2025")</f>
        <v/>
      </c>
      <c r="T71">
        <f>HYPERLINK("https://klasma.github.io/Logging_2523/kartor/A 4891-2025 karta.png", "A 4891-2025")</f>
        <v/>
      </c>
      <c r="V71">
        <f>HYPERLINK("https://klasma.github.io/Logging_2523/klagomål/A 4891-2025 FSC-klagomål.docx", "A 4891-2025")</f>
        <v/>
      </c>
      <c r="W71">
        <f>HYPERLINK("https://klasma.github.io/Logging_2523/klagomålsmail/A 4891-2025 FSC-klagomål mail.docx", "A 4891-2025")</f>
        <v/>
      </c>
      <c r="X71">
        <f>HYPERLINK("https://klasma.github.io/Logging_2523/tillsyn/A 4891-2025 tillsynsbegäran.docx", "A 4891-2025")</f>
        <v/>
      </c>
      <c r="Y71">
        <f>HYPERLINK("https://klasma.github.io/Logging_2523/tillsynsmail/A 4891-2025 tillsynsbegäran mail.docx", "A 4891-2025")</f>
        <v/>
      </c>
    </row>
    <row r="72" ht="15" customHeight="1">
      <c r="A72" t="inlineStr">
        <is>
          <t>A 18043-2024</t>
        </is>
      </c>
      <c r="B72" s="1" t="n">
        <v>45420</v>
      </c>
      <c r="C72" s="1" t="n">
        <v>46180</v>
      </c>
      <c r="D72" t="inlineStr">
        <is>
          <t>NORRBOTTENS LÄN</t>
        </is>
      </c>
      <c r="E72" t="inlineStr">
        <is>
          <t>GÄLLIVARE</t>
        </is>
      </c>
      <c r="G72" t="n">
        <v>35.5</v>
      </c>
      <c r="H72" t="n">
        <v>0</v>
      </c>
      <c r="I72" t="n">
        <v>0</v>
      </c>
      <c r="J72" t="n">
        <v>1</v>
      </c>
      <c r="K72" t="n">
        <v>0</v>
      </c>
      <c r="L72" t="n">
        <v>0</v>
      </c>
      <c r="M72" t="n">
        <v>0</v>
      </c>
      <c r="N72" t="n">
        <v>0</v>
      </c>
      <c r="O72" t="n">
        <v>1</v>
      </c>
      <c r="P72" t="n">
        <v>0</v>
      </c>
      <c r="Q72" t="n">
        <v>1</v>
      </c>
      <c r="R72" s="2" t="inlineStr">
        <is>
          <t>Garnlav</t>
        </is>
      </c>
      <c r="S72">
        <f>HYPERLINK("https://klasma.github.io/Logging_2523/artfynd/A 18043-2024 artfynd.xlsx", "A 18043-2024")</f>
        <v/>
      </c>
      <c r="T72">
        <f>HYPERLINK("https://klasma.github.io/Logging_2523/kartor/A 18043-2024 karta.png", "A 18043-2024")</f>
        <v/>
      </c>
      <c r="V72">
        <f>HYPERLINK("https://klasma.github.io/Logging_2523/klagomål/A 18043-2024 FSC-klagomål.docx", "A 18043-2024")</f>
        <v/>
      </c>
      <c r="W72">
        <f>HYPERLINK("https://klasma.github.io/Logging_2523/klagomålsmail/A 18043-2024 FSC-klagomål mail.docx", "A 18043-2024")</f>
        <v/>
      </c>
      <c r="X72">
        <f>HYPERLINK("https://klasma.github.io/Logging_2523/tillsyn/A 18043-2024 tillsynsbegäran.docx", "A 18043-2024")</f>
        <v/>
      </c>
      <c r="Y72">
        <f>HYPERLINK("https://klasma.github.io/Logging_2523/tillsynsmail/A 18043-2024 tillsynsbegäran mail.docx", "A 18043-2024")</f>
        <v/>
      </c>
    </row>
    <row r="73" ht="15" customHeight="1">
      <c r="A73" t="inlineStr">
        <is>
          <t>A 23578-2025</t>
        </is>
      </c>
      <c r="B73" s="1" t="n">
        <v>45792</v>
      </c>
      <c r="C73" s="1" t="n">
        <v>46180</v>
      </c>
      <c r="D73" t="inlineStr">
        <is>
          <t>NORRBOTTENS LÄN</t>
        </is>
      </c>
      <c r="E73" t="inlineStr">
        <is>
          <t>GÄLLIVARE</t>
        </is>
      </c>
      <c r="F73" t="inlineStr">
        <is>
          <t>Allmännings- och besparingsskogar</t>
        </is>
      </c>
      <c r="G73" t="n">
        <v>51.6</v>
      </c>
      <c r="H73" t="n">
        <v>0</v>
      </c>
      <c r="I73" t="n">
        <v>0</v>
      </c>
      <c r="J73" t="n">
        <v>1</v>
      </c>
      <c r="K73" t="n">
        <v>0</v>
      </c>
      <c r="L73" t="n">
        <v>0</v>
      </c>
      <c r="M73" t="n">
        <v>0</v>
      </c>
      <c r="N73" t="n">
        <v>0</v>
      </c>
      <c r="O73" t="n">
        <v>1</v>
      </c>
      <c r="P73" t="n">
        <v>0</v>
      </c>
      <c r="Q73" t="n">
        <v>1</v>
      </c>
      <c r="R73" s="2" t="inlineStr">
        <is>
          <t>Garnlav</t>
        </is>
      </c>
      <c r="S73">
        <f>HYPERLINK("https://klasma.github.io/Logging_2523/artfynd/A 23578-2025 artfynd.xlsx", "A 23578-2025")</f>
        <v/>
      </c>
      <c r="T73">
        <f>HYPERLINK("https://klasma.github.io/Logging_2523/kartor/A 23578-2025 karta.png", "A 23578-2025")</f>
        <v/>
      </c>
      <c r="V73">
        <f>HYPERLINK("https://klasma.github.io/Logging_2523/klagomål/A 23578-2025 FSC-klagomål.docx", "A 23578-2025")</f>
        <v/>
      </c>
      <c r="W73">
        <f>HYPERLINK("https://klasma.github.io/Logging_2523/klagomålsmail/A 23578-2025 FSC-klagomål mail.docx", "A 23578-2025")</f>
        <v/>
      </c>
      <c r="X73">
        <f>HYPERLINK("https://klasma.github.io/Logging_2523/tillsyn/A 23578-2025 tillsynsbegäran.docx", "A 23578-2025")</f>
        <v/>
      </c>
      <c r="Y73">
        <f>HYPERLINK("https://klasma.github.io/Logging_2523/tillsynsmail/A 23578-2025 tillsynsbegäran mail.docx", "A 23578-2025")</f>
        <v/>
      </c>
    </row>
    <row r="74" ht="15" customHeight="1">
      <c r="A74" t="inlineStr">
        <is>
          <t>A 2018-2022</t>
        </is>
      </c>
      <c r="B74" s="1" t="n">
        <v>44575</v>
      </c>
      <c r="C74" s="1" t="n">
        <v>46180</v>
      </c>
      <c r="D74" t="inlineStr">
        <is>
          <t>NORRBOTTENS LÄN</t>
        </is>
      </c>
      <c r="E74" t="inlineStr">
        <is>
          <t>GÄLLIVARE</t>
        </is>
      </c>
      <c r="G74" t="n">
        <v>11</v>
      </c>
      <c r="H74" t="n">
        <v>0</v>
      </c>
      <c r="I74" t="n">
        <v>0</v>
      </c>
      <c r="J74" t="n">
        <v>0</v>
      </c>
      <c r="K74" t="n">
        <v>0</v>
      </c>
      <c r="L74" t="n">
        <v>0</v>
      </c>
      <c r="M74" t="n">
        <v>0</v>
      </c>
      <c r="N74" t="n">
        <v>0</v>
      </c>
      <c r="O74" t="n">
        <v>0</v>
      </c>
      <c r="P74" t="n">
        <v>0</v>
      </c>
      <c r="Q74" t="n">
        <v>0</v>
      </c>
      <c r="R74" s="2" t="inlineStr"/>
    </row>
    <row r="75" ht="15" customHeight="1">
      <c r="A75" t="inlineStr">
        <is>
          <t>A 18104-2022</t>
        </is>
      </c>
      <c r="B75" s="1" t="n">
        <v>44684</v>
      </c>
      <c r="C75" s="1" t="n">
        <v>46180</v>
      </c>
      <c r="D75" t="inlineStr">
        <is>
          <t>NORRBOTTENS LÄN</t>
        </is>
      </c>
      <c r="E75" t="inlineStr">
        <is>
          <t>GÄLLIVARE</t>
        </is>
      </c>
      <c r="G75" t="n">
        <v>8.4</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46180</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7690-2022</t>
        </is>
      </c>
      <c r="B77" s="1" t="n">
        <v>44607</v>
      </c>
      <c r="C77" s="1" t="n">
        <v>46180</v>
      </c>
      <c r="D77" t="inlineStr">
        <is>
          <t>NORRBOTTENS LÄN</t>
        </is>
      </c>
      <c r="E77" t="inlineStr">
        <is>
          <t>GÄLLIVARE</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37551-2021</t>
        </is>
      </c>
      <c r="B78" s="1" t="n">
        <v>44399</v>
      </c>
      <c r="C78" s="1" t="n">
        <v>46180</v>
      </c>
      <c r="D78" t="inlineStr">
        <is>
          <t>NORRBOTTENS LÄN</t>
        </is>
      </c>
      <c r="E78" t="inlineStr">
        <is>
          <t>GÄLLIVARE</t>
        </is>
      </c>
      <c r="G78" t="n">
        <v>0.6</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46180</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38188-2021</t>
        </is>
      </c>
      <c r="B80" s="1" t="n">
        <v>44405</v>
      </c>
      <c r="C80" s="1" t="n">
        <v>46180</v>
      </c>
      <c r="D80" t="inlineStr">
        <is>
          <t>NORRBOTTENS LÄN</t>
        </is>
      </c>
      <c r="E80" t="inlineStr">
        <is>
          <t>GÄLLIVARE</t>
        </is>
      </c>
      <c r="G80" t="n">
        <v>13</v>
      </c>
      <c r="H80" t="n">
        <v>0</v>
      </c>
      <c r="I80" t="n">
        <v>0</v>
      </c>
      <c r="J80" t="n">
        <v>0</v>
      </c>
      <c r="K80" t="n">
        <v>0</v>
      </c>
      <c r="L80" t="n">
        <v>0</v>
      </c>
      <c r="M80" t="n">
        <v>0</v>
      </c>
      <c r="N80" t="n">
        <v>0</v>
      </c>
      <c r="O80" t="n">
        <v>0</v>
      </c>
      <c r="P80" t="n">
        <v>0</v>
      </c>
      <c r="Q80" t="n">
        <v>0</v>
      </c>
      <c r="R80" s="2" t="inlineStr"/>
    </row>
    <row r="81" ht="15" customHeight="1">
      <c r="A81" t="inlineStr">
        <is>
          <t>A 44853-2021</t>
        </is>
      </c>
      <c r="B81" s="1" t="n">
        <v>44438</v>
      </c>
      <c r="C81" s="1" t="n">
        <v>46180</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55226-2022</t>
        </is>
      </c>
      <c r="B82" s="1" t="n">
        <v>44886.96305555556</v>
      </c>
      <c r="C82" s="1" t="n">
        <v>46180</v>
      </c>
      <c r="D82" t="inlineStr">
        <is>
          <t>NORRBOTTENS LÄN</t>
        </is>
      </c>
      <c r="E82" t="inlineStr">
        <is>
          <t>GÄLLIVARE</t>
        </is>
      </c>
      <c r="F82" t="inlineStr">
        <is>
          <t>SCA</t>
        </is>
      </c>
      <c r="G82" t="n">
        <v>8.300000000000001</v>
      </c>
      <c r="H82" t="n">
        <v>0</v>
      </c>
      <c r="I82" t="n">
        <v>0</v>
      </c>
      <c r="J82" t="n">
        <v>0</v>
      </c>
      <c r="K82" t="n">
        <v>0</v>
      </c>
      <c r="L82" t="n">
        <v>0</v>
      </c>
      <c r="M82" t="n">
        <v>0</v>
      </c>
      <c r="N82" t="n">
        <v>0</v>
      </c>
      <c r="O82" t="n">
        <v>0</v>
      </c>
      <c r="P82" t="n">
        <v>0</v>
      </c>
      <c r="Q82" t="n">
        <v>0</v>
      </c>
      <c r="R82" s="2" t="inlineStr"/>
    </row>
    <row r="83" ht="15" customHeight="1">
      <c r="A83" t="inlineStr">
        <is>
          <t>A 4016-2022</t>
        </is>
      </c>
      <c r="B83" s="1" t="n">
        <v>44587</v>
      </c>
      <c r="C83" s="1" t="n">
        <v>46180</v>
      </c>
      <c r="D83" t="inlineStr">
        <is>
          <t>NORRBOTTENS LÄN</t>
        </is>
      </c>
      <c r="E83" t="inlineStr">
        <is>
          <t>GÄLLIVARE</t>
        </is>
      </c>
      <c r="F83" t="inlineStr">
        <is>
          <t>SCA</t>
        </is>
      </c>
      <c r="G83" t="n">
        <v>1.6</v>
      </c>
      <c r="H83" t="n">
        <v>0</v>
      </c>
      <c r="I83" t="n">
        <v>0</v>
      </c>
      <c r="J83" t="n">
        <v>0</v>
      </c>
      <c r="K83" t="n">
        <v>0</v>
      </c>
      <c r="L83" t="n">
        <v>0</v>
      </c>
      <c r="M83" t="n">
        <v>0</v>
      </c>
      <c r="N83" t="n">
        <v>0</v>
      </c>
      <c r="O83" t="n">
        <v>0</v>
      </c>
      <c r="P83" t="n">
        <v>0</v>
      </c>
      <c r="Q83" t="n">
        <v>0</v>
      </c>
      <c r="R83" s="2" t="inlineStr"/>
    </row>
    <row r="84" ht="15" customHeight="1">
      <c r="A84" t="inlineStr">
        <is>
          <t>A 50729-2022</t>
        </is>
      </c>
      <c r="B84" s="1" t="n">
        <v>44862</v>
      </c>
      <c r="C84" s="1" t="n">
        <v>46180</v>
      </c>
      <c r="D84" t="inlineStr">
        <is>
          <t>NORRBOTTENS LÄN</t>
        </is>
      </c>
      <c r="E84" t="inlineStr">
        <is>
          <t>GÄLLIVARE</t>
        </is>
      </c>
      <c r="F84" t="inlineStr">
        <is>
          <t>SCA</t>
        </is>
      </c>
      <c r="G84" t="n">
        <v>19.8</v>
      </c>
      <c r="H84" t="n">
        <v>0</v>
      </c>
      <c r="I84" t="n">
        <v>0</v>
      </c>
      <c r="J84" t="n">
        <v>0</v>
      </c>
      <c r="K84" t="n">
        <v>0</v>
      </c>
      <c r="L84" t="n">
        <v>0</v>
      </c>
      <c r="M84" t="n">
        <v>0</v>
      </c>
      <c r="N84" t="n">
        <v>0</v>
      </c>
      <c r="O84" t="n">
        <v>0</v>
      </c>
      <c r="P84" t="n">
        <v>0</v>
      </c>
      <c r="Q84" t="n">
        <v>0</v>
      </c>
      <c r="R84" s="2" t="inlineStr"/>
    </row>
    <row r="85" ht="15" customHeight="1">
      <c r="A85" t="inlineStr">
        <is>
          <t>A 49869-2022</t>
        </is>
      </c>
      <c r="B85" s="1" t="n">
        <v>44862</v>
      </c>
      <c r="C85" s="1" t="n">
        <v>46180</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49870-2022</t>
        </is>
      </c>
      <c r="B86" s="1" t="n">
        <v>44862</v>
      </c>
      <c r="C86" s="1" t="n">
        <v>46180</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38183-2021</t>
        </is>
      </c>
      <c r="B87" s="1" t="n">
        <v>44405</v>
      </c>
      <c r="C87" s="1" t="n">
        <v>46180</v>
      </c>
      <c r="D87" t="inlineStr">
        <is>
          <t>NORRBOTTENS LÄN</t>
        </is>
      </c>
      <c r="E87" t="inlineStr">
        <is>
          <t>GÄLLIVARE</t>
        </is>
      </c>
      <c r="G87" t="n">
        <v>6</v>
      </c>
      <c r="H87" t="n">
        <v>0</v>
      </c>
      <c r="I87" t="n">
        <v>0</v>
      </c>
      <c r="J87" t="n">
        <v>0</v>
      </c>
      <c r="K87" t="n">
        <v>0</v>
      </c>
      <c r="L87" t="n">
        <v>0</v>
      </c>
      <c r="M87" t="n">
        <v>0</v>
      </c>
      <c r="N87" t="n">
        <v>0</v>
      </c>
      <c r="O87" t="n">
        <v>0</v>
      </c>
      <c r="P87" t="n">
        <v>0</v>
      </c>
      <c r="Q87" t="n">
        <v>0</v>
      </c>
      <c r="R87" s="2" t="inlineStr"/>
    </row>
    <row r="88" ht="15" customHeight="1">
      <c r="A88" t="inlineStr">
        <is>
          <t>A 38186-2021</t>
        </is>
      </c>
      <c r="B88" s="1" t="n">
        <v>44405</v>
      </c>
      <c r="C88" s="1" t="n">
        <v>46180</v>
      </c>
      <c r="D88" t="inlineStr">
        <is>
          <t>NORRBOTTENS LÄN</t>
        </is>
      </c>
      <c r="E88" t="inlineStr">
        <is>
          <t>GÄLLIVARE</t>
        </is>
      </c>
      <c r="G88" t="n">
        <v>2</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46180</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46180</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47808-2022</t>
        </is>
      </c>
      <c r="B91" s="1" t="n">
        <v>44854</v>
      </c>
      <c r="C91" s="1" t="n">
        <v>46180</v>
      </c>
      <c r="D91" t="inlineStr">
        <is>
          <t>NORRBOTTENS LÄN</t>
        </is>
      </c>
      <c r="E91" t="inlineStr">
        <is>
          <t>GÄLLIVARE</t>
        </is>
      </c>
      <c r="F91" t="inlineStr">
        <is>
          <t>SCA</t>
        </is>
      </c>
      <c r="G91" t="n">
        <v>3.1</v>
      </c>
      <c r="H91" t="n">
        <v>0</v>
      </c>
      <c r="I91" t="n">
        <v>0</v>
      </c>
      <c r="J91" t="n">
        <v>0</v>
      </c>
      <c r="K91" t="n">
        <v>0</v>
      </c>
      <c r="L91" t="n">
        <v>0</v>
      </c>
      <c r="M91" t="n">
        <v>0</v>
      </c>
      <c r="N91" t="n">
        <v>0</v>
      </c>
      <c r="O91" t="n">
        <v>0</v>
      </c>
      <c r="P91" t="n">
        <v>0</v>
      </c>
      <c r="Q91" t="n">
        <v>0</v>
      </c>
      <c r="R91" s="2" t="inlineStr"/>
    </row>
    <row r="92" ht="15" customHeight="1">
      <c r="A92" t="inlineStr">
        <is>
          <t>A 54842-2022</t>
        </is>
      </c>
      <c r="B92" s="1" t="n">
        <v>44883</v>
      </c>
      <c r="C92" s="1" t="n">
        <v>46180</v>
      </c>
      <c r="D92" t="inlineStr">
        <is>
          <t>NORRBOTTENS LÄN</t>
        </is>
      </c>
      <c r="E92" t="inlineStr">
        <is>
          <t>GÄLLIVARE</t>
        </is>
      </c>
      <c r="F92" t="inlineStr">
        <is>
          <t>SCA</t>
        </is>
      </c>
      <c r="G92" t="n">
        <v>3.3</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46180</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46180</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58343-2021</t>
        </is>
      </c>
      <c r="B95" s="1" t="n">
        <v>44488.41368055555</v>
      </c>
      <c r="C95" s="1" t="n">
        <v>46180</v>
      </c>
      <c r="D95" t="inlineStr">
        <is>
          <t>NORRBOTTENS LÄN</t>
        </is>
      </c>
      <c r="E95" t="inlineStr">
        <is>
          <t>GÄLLIVARE</t>
        </is>
      </c>
      <c r="F95" t="inlineStr">
        <is>
          <t>Sveaskog</t>
        </is>
      </c>
      <c r="G95" t="n">
        <v>9.1</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46180</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7685-2022</t>
        </is>
      </c>
      <c r="B97" s="1" t="n">
        <v>44607.9409837963</v>
      </c>
      <c r="C97" s="1" t="n">
        <v>46180</v>
      </c>
      <c r="D97" t="inlineStr">
        <is>
          <t>NORRBOTTENS LÄN</t>
        </is>
      </c>
      <c r="E97" t="inlineStr">
        <is>
          <t>GÄLLIVARE</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36233-2021</t>
        </is>
      </c>
      <c r="B98" s="1" t="n">
        <v>44389.93957175926</v>
      </c>
      <c r="C98" s="1" t="n">
        <v>46180</v>
      </c>
      <c r="D98" t="inlineStr">
        <is>
          <t>NORRBOTTENS LÄN</t>
        </is>
      </c>
      <c r="E98" t="inlineStr">
        <is>
          <t>GÄLLIVARE</t>
        </is>
      </c>
      <c r="F98" t="inlineStr">
        <is>
          <t>SCA</t>
        </is>
      </c>
      <c r="G98" t="n">
        <v>22.3</v>
      </c>
      <c r="H98" t="n">
        <v>0</v>
      </c>
      <c r="I98" t="n">
        <v>0</v>
      </c>
      <c r="J98" t="n">
        <v>0</v>
      </c>
      <c r="K98" t="n">
        <v>0</v>
      </c>
      <c r="L98" t="n">
        <v>0</v>
      </c>
      <c r="M98" t="n">
        <v>0</v>
      </c>
      <c r="N98" t="n">
        <v>0</v>
      </c>
      <c r="O98" t="n">
        <v>0</v>
      </c>
      <c r="P98" t="n">
        <v>0</v>
      </c>
      <c r="Q98" t="n">
        <v>0</v>
      </c>
      <c r="R98" s="2" t="inlineStr"/>
    </row>
    <row r="99" ht="15" customHeight="1">
      <c r="A99" t="inlineStr">
        <is>
          <t>A 35579-2022</t>
        </is>
      </c>
      <c r="B99" s="1" t="n">
        <v>44799</v>
      </c>
      <c r="C99" s="1" t="n">
        <v>46180</v>
      </c>
      <c r="D99" t="inlineStr">
        <is>
          <t>NORRBOTTENS LÄN</t>
        </is>
      </c>
      <c r="E99" t="inlineStr">
        <is>
          <t>GÄLLIVARE</t>
        </is>
      </c>
      <c r="F99" t="inlineStr">
        <is>
          <t>Allmännings- och besparingsskogar</t>
        </is>
      </c>
      <c r="G99" t="n">
        <v>7.9</v>
      </c>
      <c r="H99" t="n">
        <v>0</v>
      </c>
      <c r="I99" t="n">
        <v>0</v>
      </c>
      <c r="J99" t="n">
        <v>0</v>
      </c>
      <c r="K99" t="n">
        <v>0</v>
      </c>
      <c r="L99" t="n">
        <v>0</v>
      </c>
      <c r="M99" t="n">
        <v>0</v>
      </c>
      <c r="N99" t="n">
        <v>0</v>
      </c>
      <c r="O99" t="n">
        <v>0</v>
      </c>
      <c r="P99" t="n">
        <v>0</v>
      </c>
      <c r="Q99" t="n">
        <v>0</v>
      </c>
      <c r="R99" s="2" t="inlineStr"/>
    </row>
    <row r="100" ht="15" customHeight="1">
      <c r="A100" t="inlineStr">
        <is>
          <t>A 52181-2021</t>
        </is>
      </c>
      <c r="B100" s="1" t="n">
        <v>44463</v>
      </c>
      <c r="C100" s="1" t="n">
        <v>46180</v>
      </c>
      <c r="D100" t="inlineStr">
        <is>
          <t>NORRBOTTENS LÄN</t>
        </is>
      </c>
      <c r="E100" t="inlineStr">
        <is>
          <t>GÄLLIVARE</t>
        </is>
      </c>
      <c r="G100" t="n">
        <v>5.3</v>
      </c>
      <c r="H100" t="n">
        <v>0</v>
      </c>
      <c r="I100" t="n">
        <v>0</v>
      </c>
      <c r="J100" t="n">
        <v>0</v>
      </c>
      <c r="K100" t="n">
        <v>0</v>
      </c>
      <c r="L100" t="n">
        <v>0</v>
      </c>
      <c r="M100" t="n">
        <v>0</v>
      </c>
      <c r="N100" t="n">
        <v>0</v>
      </c>
      <c r="O100" t="n">
        <v>0</v>
      </c>
      <c r="P100" t="n">
        <v>0</v>
      </c>
      <c r="Q100" t="n">
        <v>0</v>
      </c>
      <c r="R100" s="2" t="inlineStr"/>
    </row>
    <row r="101" ht="15" customHeight="1">
      <c r="A101" t="inlineStr">
        <is>
          <t>A 58414-2021</t>
        </is>
      </c>
      <c r="B101" s="1" t="n">
        <v>44488</v>
      </c>
      <c r="C101" s="1" t="n">
        <v>46180</v>
      </c>
      <c r="D101" t="inlineStr">
        <is>
          <t>NORRBOTTENS LÄN</t>
        </is>
      </c>
      <c r="E101" t="inlineStr">
        <is>
          <t>GÄLLIVARE</t>
        </is>
      </c>
      <c r="F101" t="inlineStr">
        <is>
          <t>Sveaskog</t>
        </is>
      </c>
      <c r="G101" t="n">
        <v>6.2</v>
      </c>
      <c r="H101" t="n">
        <v>0</v>
      </c>
      <c r="I101" t="n">
        <v>0</v>
      </c>
      <c r="J101" t="n">
        <v>0</v>
      </c>
      <c r="K101" t="n">
        <v>0</v>
      </c>
      <c r="L101" t="n">
        <v>0</v>
      </c>
      <c r="M101" t="n">
        <v>0</v>
      </c>
      <c r="N101" t="n">
        <v>0</v>
      </c>
      <c r="O101" t="n">
        <v>0</v>
      </c>
      <c r="P101" t="n">
        <v>0</v>
      </c>
      <c r="Q101" t="n">
        <v>0</v>
      </c>
      <c r="R101" s="2" t="inlineStr"/>
    </row>
    <row r="102" ht="15" customHeight="1">
      <c r="A102" t="inlineStr">
        <is>
          <t>A 47779-2022</t>
        </is>
      </c>
      <c r="B102" s="1" t="n">
        <v>44854</v>
      </c>
      <c r="C102" s="1" t="n">
        <v>46180</v>
      </c>
      <c r="D102" t="inlineStr">
        <is>
          <t>NORRBOTTENS LÄN</t>
        </is>
      </c>
      <c r="E102" t="inlineStr">
        <is>
          <t>GÄLLIVARE</t>
        </is>
      </c>
      <c r="G102" t="n">
        <v>0.6</v>
      </c>
      <c r="H102" t="n">
        <v>0</v>
      </c>
      <c r="I102" t="n">
        <v>0</v>
      </c>
      <c r="J102" t="n">
        <v>0</v>
      </c>
      <c r="K102" t="n">
        <v>0</v>
      </c>
      <c r="L102" t="n">
        <v>0</v>
      </c>
      <c r="M102" t="n">
        <v>0</v>
      </c>
      <c r="N102" t="n">
        <v>0</v>
      </c>
      <c r="O102" t="n">
        <v>0</v>
      </c>
      <c r="P102" t="n">
        <v>0</v>
      </c>
      <c r="Q102" t="n">
        <v>0</v>
      </c>
      <c r="R102" s="2" t="inlineStr"/>
    </row>
    <row r="103" ht="15" customHeight="1">
      <c r="A103" t="inlineStr">
        <is>
          <t>A 20000-2022</t>
        </is>
      </c>
      <c r="B103" s="1" t="n">
        <v>44697</v>
      </c>
      <c r="C103" s="1" t="n">
        <v>46180</v>
      </c>
      <c r="D103" t="inlineStr">
        <is>
          <t>NORRBOTTENS LÄN</t>
        </is>
      </c>
      <c r="E103" t="inlineStr">
        <is>
          <t>GÄLLIVARE</t>
        </is>
      </c>
      <c r="G103" t="n">
        <v>1.2</v>
      </c>
      <c r="H103" t="n">
        <v>0</v>
      </c>
      <c r="I103" t="n">
        <v>0</v>
      </c>
      <c r="J103" t="n">
        <v>0</v>
      </c>
      <c r="K103" t="n">
        <v>0</v>
      </c>
      <c r="L103" t="n">
        <v>0</v>
      </c>
      <c r="M103" t="n">
        <v>0</v>
      </c>
      <c r="N103" t="n">
        <v>0</v>
      </c>
      <c r="O103" t="n">
        <v>0</v>
      </c>
      <c r="P103" t="n">
        <v>0</v>
      </c>
      <c r="Q103" t="n">
        <v>0</v>
      </c>
      <c r="R103" s="2" t="inlineStr"/>
    </row>
    <row r="104" ht="15" customHeight="1">
      <c r="A104" t="inlineStr">
        <is>
          <t>A 16549-2022</t>
        </is>
      </c>
      <c r="B104" s="1" t="n">
        <v>44672</v>
      </c>
      <c r="C104" s="1" t="n">
        <v>46180</v>
      </c>
      <c r="D104" t="inlineStr">
        <is>
          <t>NORRBOTTENS LÄN</t>
        </is>
      </c>
      <c r="E104" t="inlineStr">
        <is>
          <t>GÄLLIVARE</t>
        </is>
      </c>
      <c r="G104" t="n">
        <v>25.9</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46180</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46180</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46180</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40427-2022</t>
        </is>
      </c>
      <c r="B108" s="1" t="n">
        <v>44823</v>
      </c>
      <c r="C108" s="1" t="n">
        <v>46180</v>
      </c>
      <c r="D108" t="inlineStr">
        <is>
          <t>NORRBOTTENS LÄN</t>
        </is>
      </c>
      <c r="E108" t="inlineStr">
        <is>
          <t>GÄLLIVARE</t>
        </is>
      </c>
      <c r="G108" t="n">
        <v>0.9</v>
      </c>
      <c r="H108" t="n">
        <v>0</v>
      </c>
      <c r="I108" t="n">
        <v>0</v>
      </c>
      <c r="J108" t="n">
        <v>0</v>
      </c>
      <c r="K108" t="n">
        <v>0</v>
      </c>
      <c r="L108" t="n">
        <v>0</v>
      </c>
      <c r="M108" t="n">
        <v>0</v>
      </c>
      <c r="N108" t="n">
        <v>0</v>
      </c>
      <c r="O108" t="n">
        <v>0</v>
      </c>
      <c r="P108" t="n">
        <v>0</v>
      </c>
      <c r="Q108" t="n">
        <v>0</v>
      </c>
      <c r="R108" s="2" t="inlineStr"/>
    </row>
    <row r="109" ht="15" customHeight="1">
      <c r="A109" t="inlineStr">
        <is>
          <t>A 32196-2022</t>
        </is>
      </c>
      <c r="B109" s="1" t="n">
        <v>44781</v>
      </c>
      <c r="C109" s="1" t="n">
        <v>46180</v>
      </c>
      <c r="D109" t="inlineStr">
        <is>
          <t>NORRBOTTENS LÄN</t>
        </is>
      </c>
      <c r="E109" t="inlineStr">
        <is>
          <t>GÄLLIVARE</t>
        </is>
      </c>
      <c r="G109" t="n">
        <v>5.2</v>
      </c>
      <c r="H109" t="n">
        <v>0</v>
      </c>
      <c r="I109" t="n">
        <v>0</v>
      </c>
      <c r="J109" t="n">
        <v>0</v>
      </c>
      <c r="K109" t="n">
        <v>0</v>
      </c>
      <c r="L109" t="n">
        <v>0</v>
      </c>
      <c r="M109" t="n">
        <v>0</v>
      </c>
      <c r="N109" t="n">
        <v>0</v>
      </c>
      <c r="O109" t="n">
        <v>0</v>
      </c>
      <c r="P109" t="n">
        <v>0</v>
      </c>
      <c r="Q109" t="n">
        <v>0</v>
      </c>
      <c r="R109" s="2" t="inlineStr"/>
    </row>
    <row r="110" ht="15" customHeight="1">
      <c r="A110" t="inlineStr">
        <is>
          <t>A 39378-2022</t>
        </is>
      </c>
      <c r="B110" s="1" t="n">
        <v>44817</v>
      </c>
      <c r="C110" s="1" t="n">
        <v>46180</v>
      </c>
      <c r="D110" t="inlineStr">
        <is>
          <t>NORRBOTTENS LÄN</t>
        </is>
      </c>
      <c r="E110" t="inlineStr">
        <is>
          <t>GÄLLIVARE</t>
        </is>
      </c>
      <c r="F110" t="inlineStr">
        <is>
          <t>SCA</t>
        </is>
      </c>
      <c r="G110" t="n">
        <v>11.5</v>
      </c>
      <c r="H110" t="n">
        <v>0</v>
      </c>
      <c r="I110" t="n">
        <v>0</v>
      </c>
      <c r="J110" t="n">
        <v>0</v>
      </c>
      <c r="K110" t="n">
        <v>0</v>
      </c>
      <c r="L110" t="n">
        <v>0</v>
      </c>
      <c r="M110" t="n">
        <v>0</v>
      </c>
      <c r="N110" t="n">
        <v>0</v>
      </c>
      <c r="O110" t="n">
        <v>0</v>
      </c>
      <c r="P110" t="n">
        <v>0</v>
      </c>
      <c r="Q110" t="n">
        <v>0</v>
      </c>
      <c r="R110" s="2" t="inlineStr"/>
    </row>
    <row r="111" ht="15" customHeight="1">
      <c r="A111" t="inlineStr">
        <is>
          <t>A 33446-2022</t>
        </is>
      </c>
      <c r="B111" s="1" t="n">
        <v>44788.65056712963</v>
      </c>
      <c r="C111" s="1" t="n">
        <v>46180</v>
      </c>
      <c r="D111" t="inlineStr">
        <is>
          <t>NORRBOTTENS LÄN</t>
        </is>
      </c>
      <c r="E111" t="inlineStr">
        <is>
          <t>GÄLLIVARE</t>
        </is>
      </c>
      <c r="G111" t="n">
        <v>0.5</v>
      </c>
      <c r="H111" t="n">
        <v>0</v>
      </c>
      <c r="I111" t="n">
        <v>0</v>
      </c>
      <c r="J111" t="n">
        <v>0</v>
      </c>
      <c r="K111" t="n">
        <v>0</v>
      </c>
      <c r="L111" t="n">
        <v>0</v>
      </c>
      <c r="M111" t="n">
        <v>0</v>
      </c>
      <c r="N111" t="n">
        <v>0</v>
      </c>
      <c r="O111" t="n">
        <v>0</v>
      </c>
      <c r="P111" t="n">
        <v>0</v>
      </c>
      <c r="Q111" t="n">
        <v>0</v>
      </c>
      <c r="R111" s="2" t="inlineStr"/>
    </row>
    <row r="112" ht="15" customHeight="1">
      <c r="A112" t="inlineStr">
        <is>
          <t>A 58412-2021</t>
        </is>
      </c>
      <c r="B112" s="1" t="n">
        <v>44488.52082175926</v>
      </c>
      <c r="C112" s="1" t="n">
        <v>46180</v>
      </c>
      <c r="D112" t="inlineStr">
        <is>
          <t>NORRBOTTENS LÄN</t>
        </is>
      </c>
      <c r="E112" t="inlineStr">
        <is>
          <t>GÄLLIVARE</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46180</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42529-2021</t>
        </is>
      </c>
      <c r="B114" s="1" t="n">
        <v>44427.93604166667</v>
      </c>
      <c r="C114" s="1" t="n">
        <v>46180</v>
      </c>
      <c r="D114" t="inlineStr">
        <is>
          <t>NORRBOTTENS LÄN</t>
        </is>
      </c>
      <c r="E114" t="inlineStr">
        <is>
          <t>GÄLLIVARE</t>
        </is>
      </c>
      <c r="F114" t="inlineStr">
        <is>
          <t>SCA</t>
        </is>
      </c>
      <c r="G114" t="n">
        <v>0.8</v>
      </c>
      <c r="H114" t="n">
        <v>0</v>
      </c>
      <c r="I114" t="n">
        <v>0</v>
      </c>
      <c r="J114" t="n">
        <v>0</v>
      </c>
      <c r="K114" t="n">
        <v>0</v>
      </c>
      <c r="L114" t="n">
        <v>0</v>
      </c>
      <c r="M114" t="n">
        <v>0</v>
      </c>
      <c r="N114" t="n">
        <v>0</v>
      </c>
      <c r="O114" t="n">
        <v>0</v>
      </c>
      <c r="P114" t="n">
        <v>0</v>
      </c>
      <c r="Q114" t="n">
        <v>0</v>
      </c>
      <c r="R114" s="2" t="inlineStr"/>
    </row>
    <row r="115" ht="15" customHeight="1">
      <c r="A115" t="inlineStr">
        <is>
          <t>A 41057-2021</t>
        </is>
      </c>
      <c r="B115" s="1" t="n">
        <v>44421.97289351852</v>
      </c>
      <c r="C115" s="1" t="n">
        <v>46180</v>
      </c>
      <c r="D115" t="inlineStr">
        <is>
          <t>NORRBOTTENS LÄN</t>
        </is>
      </c>
      <c r="E115" t="inlineStr">
        <is>
          <t>GÄLLIVARE</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7538-2022</t>
        </is>
      </c>
      <c r="B116" s="1" t="n">
        <v>44607</v>
      </c>
      <c r="C116" s="1" t="n">
        <v>46180</v>
      </c>
      <c r="D116" t="inlineStr">
        <is>
          <t>NORRBOTTENS LÄN</t>
        </is>
      </c>
      <c r="E116" t="inlineStr">
        <is>
          <t>GÄLLIVARE</t>
        </is>
      </c>
      <c r="G116" t="n">
        <v>1.8</v>
      </c>
      <c r="H116" t="n">
        <v>0</v>
      </c>
      <c r="I116" t="n">
        <v>0</v>
      </c>
      <c r="J116" t="n">
        <v>0</v>
      </c>
      <c r="K116" t="n">
        <v>0</v>
      </c>
      <c r="L116" t="n">
        <v>0</v>
      </c>
      <c r="M116" t="n">
        <v>0</v>
      </c>
      <c r="N116" t="n">
        <v>0</v>
      </c>
      <c r="O116" t="n">
        <v>0</v>
      </c>
      <c r="P116" t="n">
        <v>0</v>
      </c>
      <c r="Q116" t="n">
        <v>0</v>
      </c>
      <c r="R116" s="2" t="inlineStr"/>
    </row>
    <row r="117" ht="15" customHeight="1">
      <c r="A117" t="inlineStr">
        <is>
          <t>A 32720-2022</t>
        </is>
      </c>
      <c r="B117" s="1" t="n">
        <v>44783</v>
      </c>
      <c r="C117" s="1" t="n">
        <v>46180</v>
      </c>
      <c r="D117" t="inlineStr">
        <is>
          <t>NORRBOTTENS LÄN</t>
        </is>
      </c>
      <c r="E117" t="inlineStr">
        <is>
          <t>GÄLLIVARE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46180</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51243-2023</t>
        </is>
      </c>
      <c r="B119" s="1" t="n">
        <v>45212</v>
      </c>
      <c r="C119" s="1" t="n">
        <v>46180</v>
      </c>
      <c r="D119" t="inlineStr">
        <is>
          <t>NORRBOTTENS LÄN</t>
        </is>
      </c>
      <c r="E119" t="inlineStr">
        <is>
          <t>GÄLLIVARE</t>
        </is>
      </c>
      <c r="G119" t="n">
        <v>3.2</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46180</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46180</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17205-2024</t>
        </is>
      </c>
      <c r="B122" s="1" t="n">
        <v>45413.65241898148</v>
      </c>
      <c r="C122" s="1" t="n">
        <v>46180</v>
      </c>
      <c r="D122" t="inlineStr">
        <is>
          <t>NORRBOTTENS LÄN</t>
        </is>
      </c>
      <c r="E122" t="inlineStr">
        <is>
          <t>GÄLLIVARE</t>
        </is>
      </c>
      <c r="G122" t="n">
        <v>1.1</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46180</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46180</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59194-2022</t>
        </is>
      </c>
      <c r="B125" s="1" t="n">
        <v>44904</v>
      </c>
      <c r="C125" s="1" t="n">
        <v>46180</v>
      </c>
      <c r="D125" t="inlineStr">
        <is>
          <t>NORRBOTTENS LÄN</t>
        </is>
      </c>
      <c r="E125" t="inlineStr">
        <is>
          <t>GÄLLIVARE</t>
        </is>
      </c>
      <c r="G125" t="n">
        <v>3.4</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46180</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4756-2023</t>
        </is>
      </c>
      <c r="B127" s="1" t="n">
        <v>44953</v>
      </c>
      <c r="C127" s="1" t="n">
        <v>46180</v>
      </c>
      <c r="D127" t="inlineStr">
        <is>
          <t>NORRBOTTENS LÄN</t>
        </is>
      </c>
      <c r="E127" t="inlineStr">
        <is>
          <t>GÄLLIVARE</t>
        </is>
      </c>
      <c r="G127" t="n">
        <v>4.2</v>
      </c>
      <c r="H127" t="n">
        <v>0</v>
      </c>
      <c r="I127" t="n">
        <v>0</v>
      </c>
      <c r="J127" t="n">
        <v>0</v>
      </c>
      <c r="K127" t="n">
        <v>0</v>
      </c>
      <c r="L127" t="n">
        <v>0</v>
      </c>
      <c r="M127" t="n">
        <v>0</v>
      </c>
      <c r="N127" t="n">
        <v>0</v>
      </c>
      <c r="O127" t="n">
        <v>0</v>
      </c>
      <c r="P127" t="n">
        <v>0</v>
      </c>
      <c r="Q127" t="n">
        <v>0</v>
      </c>
      <c r="R127" s="2" t="inlineStr"/>
    </row>
    <row r="128" ht="15" customHeight="1">
      <c r="A128" t="inlineStr">
        <is>
          <t>A 30026-2023</t>
        </is>
      </c>
      <c r="B128" s="1" t="n">
        <v>45110.31878472222</v>
      </c>
      <c r="C128" s="1" t="n">
        <v>46180</v>
      </c>
      <c r="D128" t="inlineStr">
        <is>
          <t>NORRBOTTENS LÄN</t>
        </is>
      </c>
      <c r="E128" t="inlineStr">
        <is>
          <t>GÄLLIVARE</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42886-2022</t>
        </is>
      </c>
      <c r="B129" s="1" t="n">
        <v>44832.953125</v>
      </c>
      <c r="C129" s="1" t="n">
        <v>46180</v>
      </c>
      <c r="D129" t="inlineStr">
        <is>
          <t>NORRBOTTENS LÄN</t>
        </is>
      </c>
      <c r="E129" t="inlineStr">
        <is>
          <t>GÄLLIVARE</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24148-2025</t>
        </is>
      </c>
      <c r="B130" s="1" t="n">
        <v>45796</v>
      </c>
      <c r="C130" s="1" t="n">
        <v>46180</v>
      </c>
      <c r="D130" t="inlineStr">
        <is>
          <t>NORRBOTTENS LÄN</t>
        </is>
      </c>
      <c r="E130" t="inlineStr">
        <is>
          <t>GÄLLIVARE</t>
        </is>
      </c>
      <c r="G130" t="n">
        <v>3.6</v>
      </c>
      <c r="H130" t="n">
        <v>0</v>
      </c>
      <c r="I130" t="n">
        <v>0</v>
      </c>
      <c r="J130" t="n">
        <v>0</v>
      </c>
      <c r="K130" t="n">
        <v>0</v>
      </c>
      <c r="L130" t="n">
        <v>0</v>
      </c>
      <c r="M130" t="n">
        <v>0</v>
      </c>
      <c r="N130" t="n">
        <v>0</v>
      </c>
      <c r="O130" t="n">
        <v>0</v>
      </c>
      <c r="P130" t="n">
        <v>0</v>
      </c>
      <c r="Q130" t="n">
        <v>0</v>
      </c>
      <c r="R130" s="2" t="inlineStr"/>
    </row>
    <row r="131" ht="15" customHeight="1">
      <c r="A131" t="inlineStr">
        <is>
          <t>A 5086-2025</t>
        </is>
      </c>
      <c r="B131" s="1" t="n">
        <v>45691</v>
      </c>
      <c r="C131" s="1" t="n">
        <v>46180</v>
      </c>
      <c r="D131" t="inlineStr">
        <is>
          <t>NORRBOTTENS LÄN</t>
        </is>
      </c>
      <c r="E131" t="inlineStr">
        <is>
          <t>GÄLLIVARE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25488-2024</t>
        </is>
      </c>
      <c r="B132" s="1" t="n">
        <v>45463</v>
      </c>
      <c r="C132" s="1" t="n">
        <v>46180</v>
      </c>
      <c r="D132" t="inlineStr">
        <is>
          <t>NORRBOTTENS LÄN</t>
        </is>
      </c>
      <c r="E132" t="inlineStr">
        <is>
          <t>GÄLLIVARE</t>
        </is>
      </c>
      <c r="G132" t="n">
        <v>13.6</v>
      </c>
      <c r="H132" t="n">
        <v>0</v>
      </c>
      <c r="I132" t="n">
        <v>0</v>
      </c>
      <c r="J132" t="n">
        <v>0</v>
      </c>
      <c r="K132" t="n">
        <v>0</v>
      </c>
      <c r="L132" t="n">
        <v>0</v>
      </c>
      <c r="M132" t="n">
        <v>0</v>
      </c>
      <c r="N132" t="n">
        <v>0</v>
      </c>
      <c r="O132" t="n">
        <v>0</v>
      </c>
      <c r="P132" t="n">
        <v>0</v>
      </c>
      <c r="Q132" t="n">
        <v>0</v>
      </c>
      <c r="R132" s="2" t="inlineStr"/>
    </row>
    <row r="133" ht="15" customHeight="1">
      <c r="A133" t="inlineStr">
        <is>
          <t>A 48531-2023</t>
        </is>
      </c>
      <c r="B133" s="1" t="n">
        <v>45208</v>
      </c>
      <c r="C133" s="1" t="n">
        <v>46180</v>
      </c>
      <c r="D133" t="inlineStr">
        <is>
          <t>NORRBOTTENS LÄN</t>
        </is>
      </c>
      <c r="E133" t="inlineStr">
        <is>
          <t>GÄLLIVARE</t>
        </is>
      </c>
      <c r="G133" t="n">
        <v>16.5</v>
      </c>
      <c r="H133" t="n">
        <v>0</v>
      </c>
      <c r="I133" t="n">
        <v>0</v>
      </c>
      <c r="J133" t="n">
        <v>0</v>
      </c>
      <c r="K133" t="n">
        <v>0</v>
      </c>
      <c r="L133" t="n">
        <v>0</v>
      </c>
      <c r="M133" t="n">
        <v>0</v>
      </c>
      <c r="N133" t="n">
        <v>0</v>
      </c>
      <c r="O133" t="n">
        <v>0</v>
      </c>
      <c r="P133" t="n">
        <v>0</v>
      </c>
      <c r="Q133" t="n">
        <v>0</v>
      </c>
      <c r="R133" s="2" t="inlineStr"/>
    </row>
    <row r="134" ht="15" customHeight="1">
      <c r="A134" t="inlineStr">
        <is>
          <t>A 36251-2023</t>
        </is>
      </c>
      <c r="B134" s="1" t="n">
        <v>45150.94185185185</v>
      </c>
      <c r="C134" s="1" t="n">
        <v>46180</v>
      </c>
      <c r="D134" t="inlineStr">
        <is>
          <t>NORRBOTTENS LÄN</t>
        </is>
      </c>
      <c r="E134" t="inlineStr">
        <is>
          <t>GÄLLIVARE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36969-2023</t>
        </is>
      </c>
      <c r="B135" s="1" t="n">
        <v>45154.95400462963</v>
      </c>
      <c r="C135" s="1" t="n">
        <v>46180</v>
      </c>
      <c r="D135" t="inlineStr">
        <is>
          <t>NORRBOTTENS LÄN</t>
        </is>
      </c>
      <c r="E135" t="inlineStr">
        <is>
          <t>GÄLLIVARE</t>
        </is>
      </c>
      <c r="F135" t="inlineStr">
        <is>
          <t>SCA</t>
        </is>
      </c>
      <c r="G135" t="n">
        <v>10.8</v>
      </c>
      <c r="H135" t="n">
        <v>0</v>
      </c>
      <c r="I135" t="n">
        <v>0</v>
      </c>
      <c r="J135" t="n">
        <v>0</v>
      </c>
      <c r="K135" t="n">
        <v>0</v>
      </c>
      <c r="L135" t="n">
        <v>0</v>
      </c>
      <c r="M135" t="n">
        <v>0</v>
      </c>
      <c r="N135" t="n">
        <v>0</v>
      </c>
      <c r="O135" t="n">
        <v>0</v>
      </c>
      <c r="P135" t="n">
        <v>0</v>
      </c>
      <c r="Q135" t="n">
        <v>0</v>
      </c>
      <c r="R135" s="2" t="inlineStr"/>
    </row>
    <row r="136" ht="15" customHeight="1">
      <c r="A136" t="inlineStr">
        <is>
          <t>A 28046-2024</t>
        </is>
      </c>
      <c r="B136" s="1" t="n">
        <v>45476</v>
      </c>
      <c r="C136" s="1" t="n">
        <v>46180</v>
      </c>
      <c r="D136" t="inlineStr">
        <is>
          <t>NORRBOTTENS LÄN</t>
        </is>
      </c>
      <c r="E136" t="inlineStr">
        <is>
          <t>GÄLLIVARE</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55221-2022</t>
        </is>
      </c>
      <c r="B137" s="1" t="n">
        <v>44886</v>
      </c>
      <c r="C137" s="1" t="n">
        <v>46180</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55223-2022</t>
        </is>
      </c>
      <c r="B138" s="1" t="n">
        <v>44886</v>
      </c>
      <c r="C138" s="1" t="n">
        <v>46180</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1089-2026</t>
        </is>
      </c>
      <c r="B139" s="1" t="n">
        <v>46030.65762731482</v>
      </c>
      <c r="C139" s="1" t="n">
        <v>46180</v>
      </c>
      <c r="D139" t="inlineStr">
        <is>
          <t>NORRBOTTENS LÄN</t>
        </is>
      </c>
      <c r="E139" t="inlineStr">
        <is>
          <t>GÄLLIVARE</t>
        </is>
      </c>
      <c r="G139" t="n">
        <v>0.8</v>
      </c>
      <c r="H139" t="n">
        <v>0</v>
      </c>
      <c r="I139" t="n">
        <v>0</v>
      </c>
      <c r="J139" t="n">
        <v>0</v>
      </c>
      <c r="K139" t="n">
        <v>0</v>
      </c>
      <c r="L139" t="n">
        <v>0</v>
      </c>
      <c r="M139" t="n">
        <v>0</v>
      </c>
      <c r="N139" t="n">
        <v>0</v>
      </c>
      <c r="O139" t="n">
        <v>0</v>
      </c>
      <c r="P139" t="n">
        <v>0</v>
      </c>
      <c r="Q139" t="n">
        <v>0</v>
      </c>
      <c r="R139" s="2" t="inlineStr"/>
    </row>
    <row r="140" ht="15" customHeight="1">
      <c r="A140" t="inlineStr">
        <is>
          <t>A 53784-2024</t>
        </is>
      </c>
      <c r="B140" s="1" t="n">
        <v>45615</v>
      </c>
      <c r="C140" s="1" t="n">
        <v>46180</v>
      </c>
      <c r="D140" t="inlineStr">
        <is>
          <t>NORRBOTTENS LÄN</t>
        </is>
      </c>
      <c r="E140" t="inlineStr">
        <is>
          <t>GÄLLIVARE</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705-2026</t>
        </is>
      </c>
      <c r="B141" s="1" t="n">
        <v>46029</v>
      </c>
      <c r="C141" s="1" t="n">
        <v>46180</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55588-2023</t>
        </is>
      </c>
      <c r="B142" s="1" t="n">
        <v>45238.67594907407</v>
      </c>
      <c r="C142" s="1" t="n">
        <v>46180</v>
      </c>
      <c r="D142" t="inlineStr">
        <is>
          <t>NORRBOTTENS LÄN</t>
        </is>
      </c>
      <c r="E142" t="inlineStr">
        <is>
          <t>GÄLLIVARE</t>
        </is>
      </c>
      <c r="G142" t="n">
        <v>4.1</v>
      </c>
      <c r="H142" t="n">
        <v>0</v>
      </c>
      <c r="I142" t="n">
        <v>0</v>
      </c>
      <c r="J142" t="n">
        <v>0</v>
      </c>
      <c r="K142" t="n">
        <v>0</v>
      </c>
      <c r="L142" t="n">
        <v>0</v>
      </c>
      <c r="M142" t="n">
        <v>0</v>
      </c>
      <c r="N142" t="n">
        <v>0</v>
      </c>
      <c r="O142" t="n">
        <v>0</v>
      </c>
      <c r="P142" t="n">
        <v>0</v>
      </c>
      <c r="Q142" t="n">
        <v>0</v>
      </c>
      <c r="R142" s="2" t="inlineStr"/>
    </row>
    <row r="143" ht="15" customHeight="1">
      <c r="A143" t="inlineStr">
        <is>
          <t>A 1086-2026</t>
        </is>
      </c>
      <c r="B143" s="1" t="n">
        <v>46030.65734953704</v>
      </c>
      <c r="C143" s="1" t="n">
        <v>46180</v>
      </c>
      <c r="D143" t="inlineStr">
        <is>
          <t>NORRBOTTENS LÄN</t>
        </is>
      </c>
      <c r="E143" t="inlineStr">
        <is>
          <t>GÄLLIVARE</t>
        </is>
      </c>
      <c r="G143" t="n">
        <v>4.9</v>
      </c>
      <c r="H143" t="n">
        <v>0</v>
      </c>
      <c r="I143" t="n">
        <v>0</v>
      </c>
      <c r="J143" t="n">
        <v>0</v>
      </c>
      <c r="K143" t="n">
        <v>0</v>
      </c>
      <c r="L143" t="n">
        <v>0</v>
      </c>
      <c r="M143" t="n">
        <v>0</v>
      </c>
      <c r="N143" t="n">
        <v>0</v>
      </c>
      <c r="O143" t="n">
        <v>0</v>
      </c>
      <c r="P143" t="n">
        <v>0</v>
      </c>
      <c r="Q143" t="n">
        <v>0</v>
      </c>
      <c r="R143" s="2" t="inlineStr"/>
    </row>
    <row r="144" ht="15" customHeight="1">
      <c r="A144" t="inlineStr">
        <is>
          <t>A 1087-2026</t>
        </is>
      </c>
      <c r="B144" s="1" t="n">
        <v>46030.65747685185</v>
      </c>
      <c r="C144" s="1" t="n">
        <v>46180</v>
      </c>
      <c r="D144" t="inlineStr">
        <is>
          <t>NORRBOTTENS LÄN</t>
        </is>
      </c>
      <c r="E144" t="inlineStr">
        <is>
          <t>GÄLLIVARE</t>
        </is>
      </c>
      <c r="G144" t="n">
        <v>1.5</v>
      </c>
      <c r="H144" t="n">
        <v>0</v>
      </c>
      <c r="I144" t="n">
        <v>0</v>
      </c>
      <c r="J144" t="n">
        <v>0</v>
      </c>
      <c r="K144" t="n">
        <v>0</v>
      </c>
      <c r="L144" t="n">
        <v>0</v>
      </c>
      <c r="M144" t="n">
        <v>0</v>
      </c>
      <c r="N144" t="n">
        <v>0</v>
      </c>
      <c r="O144" t="n">
        <v>0</v>
      </c>
      <c r="P144" t="n">
        <v>0</v>
      </c>
      <c r="Q144" t="n">
        <v>0</v>
      </c>
      <c r="R144" s="2" t="inlineStr"/>
    </row>
    <row r="145" ht="15" customHeight="1">
      <c r="A145" t="inlineStr">
        <is>
          <t>A 1088-2026</t>
        </is>
      </c>
      <c r="B145" s="1" t="n">
        <v>46030.65751157407</v>
      </c>
      <c r="C145" s="1" t="n">
        <v>46180</v>
      </c>
      <c r="D145" t="inlineStr">
        <is>
          <t>NORRBOTTENS LÄN</t>
        </is>
      </c>
      <c r="E145" t="inlineStr">
        <is>
          <t>GÄLLIVARE</t>
        </is>
      </c>
      <c r="G145" t="n">
        <v>0.9</v>
      </c>
      <c r="H145" t="n">
        <v>0</v>
      </c>
      <c r="I145" t="n">
        <v>0</v>
      </c>
      <c r="J145" t="n">
        <v>0</v>
      </c>
      <c r="K145" t="n">
        <v>0</v>
      </c>
      <c r="L145" t="n">
        <v>0</v>
      </c>
      <c r="M145" t="n">
        <v>0</v>
      </c>
      <c r="N145" t="n">
        <v>0</v>
      </c>
      <c r="O145" t="n">
        <v>0</v>
      </c>
      <c r="P145" t="n">
        <v>0</v>
      </c>
      <c r="Q145" t="n">
        <v>0</v>
      </c>
      <c r="R145" s="2" t="inlineStr"/>
    </row>
    <row r="146" ht="15" customHeight="1">
      <c r="A146" t="inlineStr">
        <is>
          <t>A 1612-2026</t>
        </is>
      </c>
      <c r="B146" s="1" t="n">
        <v>46034</v>
      </c>
      <c r="C146" s="1" t="n">
        <v>46180</v>
      </c>
      <c r="D146" t="inlineStr">
        <is>
          <t>NORRBOTTENS LÄN</t>
        </is>
      </c>
      <c r="E146" t="inlineStr">
        <is>
          <t>GÄLLIVARE</t>
        </is>
      </c>
      <c r="G146" t="n">
        <v>2.6</v>
      </c>
      <c r="H146" t="n">
        <v>0</v>
      </c>
      <c r="I146" t="n">
        <v>0</v>
      </c>
      <c r="J146" t="n">
        <v>0</v>
      </c>
      <c r="K146" t="n">
        <v>0</v>
      </c>
      <c r="L146" t="n">
        <v>0</v>
      </c>
      <c r="M146" t="n">
        <v>0</v>
      </c>
      <c r="N146" t="n">
        <v>0</v>
      </c>
      <c r="O146" t="n">
        <v>0</v>
      </c>
      <c r="P146" t="n">
        <v>0</v>
      </c>
      <c r="Q146" t="n">
        <v>0</v>
      </c>
      <c r="R146" s="2" t="inlineStr"/>
    </row>
    <row r="147" ht="15" customHeight="1">
      <c r="A147" t="inlineStr">
        <is>
          <t>A 1304-2026</t>
        </is>
      </c>
      <c r="B147" s="1" t="n">
        <v>46031</v>
      </c>
      <c r="C147" s="1" t="n">
        <v>46180</v>
      </c>
      <c r="D147" t="inlineStr">
        <is>
          <t>NORRBOTTENS LÄN</t>
        </is>
      </c>
      <c r="E147" t="inlineStr">
        <is>
          <t>GÄLLIVARE</t>
        </is>
      </c>
      <c r="G147" t="n">
        <v>17</v>
      </c>
      <c r="H147" t="n">
        <v>0</v>
      </c>
      <c r="I147" t="n">
        <v>0</v>
      </c>
      <c r="J147" t="n">
        <v>0</v>
      </c>
      <c r="K147" t="n">
        <v>0</v>
      </c>
      <c r="L147" t="n">
        <v>0</v>
      </c>
      <c r="M147" t="n">
        <v>0</v>
      </c>
      <c r="N147" t="n">
        <v>0</v>
      </c>
      <c r="O147" t="n">
        <v>0</v>
      </c>
      <c r="P147" t="n">
        <v>0</v>
      </c>
      <c r="Q147" t="n">
        <v>0</v>
      </c>
      <c r="R147" s="2" t="inlineStr"/>
    </row>
    <row r="148" ht="15" customHeight="1">
      <c r="A148" t="inlineStr">
        <is>
          <t>A 1594-2026</t>
        </is>
      </c>
      <c r="B148" s="1" t="n">
        <v>46034</v>
      </c>
      <c r="C148" s="1" t="n">
        <v>46180</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4918-2025</t>
        </is>
      </c>
      <c r="B149" s="1" t="n">
        <v>45688.68222222223</v>
      </c>
      <c r="C149" s="1" t="n">
        <v>46180</v>
      </c>
      <c r="D149" t="inlineStr">
        <is>
          <t>NORRBOTTENS LÄN</t>
        </is>
      </c>
      <c r="E149" t="inlineStr">
        <is>
          <t>GÄLLIVARE</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56259-2023</t>
        </is>
      </c>
      <c r="B150" s="1" t="n">
        <v>45240.94666666666</v>
      </c>
      <c r="C150" s="1" t="n">
        <v>46180</v>
      </c>
      <c r="D150" t="inlineStr">
        <is>
          <t>NORRBOTTENS LÄN</t>
        </is>
      </c>
      <c r="E150" t="inlineStr">
        <is>
          <t>GÄLLIVARE</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24624-2025</t>
        </is>
      </c>
      <c r="B151" s="1" t="n">
        <v>45798.59435185185</v>
      </c>
      <c r="C151" s="1" t="n">
        <v>46180</v>
      </c>
      <c r="D151" t="inlineStr">
        <is>
          <t>NORRBOTTENS LÄN</t>
        </is>
      </c>
      <c r="E151" t="inlineStr">
        <is>
          <t>GÄLLIVARE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24237-2025</t>
        </is>
      </c>
      <c r="B152" s="1" t="n">
        <v>45797</v>
      </c>
      <c r="C152" s="1" t="n">
        <v>46180</v>
      </c>
      <c r="D152" t="inlineStr">
        <is>
          <t>NORRBOTTENS LÄN</t>
        </is>
      </c>
      <c r="E152" t="inlineStr">
        <is>
          <t>GÄLLIVARE</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24221-2025</t>
        </is>
      </c>
      <c r="B153" s="1" t="n">
        <v>45797.36483796296</v>
      </c>
      <c r="C153" s="1" t="n">
        <v>46180</v>
      </c>
      <c r="D153" t="inlineStr">
        <is>
          <t>NORRBOTTENS LÄN</t>
        </is>
      </c>
      <c r="E153" t="inlineStr">
        <is>
          <t>GÄLLIVARE</t>
        </is>
      </c>
      <c r="G153" t="n">
        <v>5.6</v>
      </c>
      <c r="H153" t="n">
        <v>0</v>
      </c>
      <c r="I153" t="n">
        <v>0</v>
      </c>
      <c r="J153" t="n">
        <v>0</v>
      </c>
      <c r="K153" t="n">
        <v>0</v>
      </c>
      <c r="L153" t="n">
        <v>0</v>
      </c>
      <c r="M153" t="n">
        <v>0</v>
      </c>
      <c r="N153" t="n">
        <v>0</v>
      </c>
      <c r="O153" t="n">
        <v>0</v>
      </c>
      <c r="P153" t="n">
        <v>0</v>
      </c>
      <c r="Q153" t="n">
        <v>0</v>
      </c>
      <c r="R153" s="2" t="inlineStr"/>
    </row>
    <row r="154" ht="15" customHeight="1">
      <c r="A154" t="inlineStr">
        <is>
          <t>A 1631-2026</t>
        </is>
      </c>
      <c r="B154" s="1" t="n">
        <v>46034</v>
      </c>
      <c r="C154" s="1" t="n">
        <v>46180</v>
      </c>
      <c r="D154" t="inlineStr">
        <is>
          <t>NORRBOTTENS LÄN</t>
        </is>
      </c>
      <c r="E154" t="inlineStr">
        <is>
          <t>GÄLLIVARE</t>
        </is>
      </c>
      <c r="G154" t="n">
        <v>1.3</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46180</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24276-2025</t>
        </is>
      </c>
      <c r="B156" s="1" t="n">
        <v>45797.44836805556</v>
      </c>
      <c r="C156" s="1" t="n">
        <v>46180</v>
      </c>
      <c r="D156" t="inlineStr">
        <is>
          <t>NORRBOTTENS LÄN</t>
        </is>
      </c>
      <c r="E156" t="inlineStr">
        <is>
          <t>GÄLLIVARE</t>
        </is>
      </c>
      <c r="F156" t="inlineStr">
        <is>
          <t>SCA</t>
        </is>
      </c>
      <c r="G156" t="n">
        <v>9.6</v>
      </c>
      <c r="H156" t="n">
        <v>0</v>
      </c>
      <c r="I156" t="n">
        <v>0</v>
      </c>
      <c r="J156" t="n">
        <v>0</v>
      </c>
      <c r="K156" t="n">
        <v>0</v>
      </c>
      <c r="L156" t="n">
        <v>0</v>
      </c>
      <c r="M156" t="n">
        <v>0</v>
      </c>
      <c r="N156" t="n">
        <v>0</v>
      </c>
      <c r="O156" t="n">
        <v>0</v>
      </c>
      <c r="P156" t="n">
        <v>0</v>
      </c>
      <c r="Q156" t="n">
        <v>0</v>
      </c>
      <c r="R156" s="2" t="inlineStr"/>
    </row>
    <row r="157" ht="15" customHeight="1">
      <c r="A157" t="inlineStr">
        <is>
          <t>A 36681-2021</t>
        </is>
      </c>
      <c r="B157" s="1" t="n">
        <v>44392</v>
      </c>
      <c r="C157" s="1" t="n">
        <v>46180</v>
      </c>
      <c r="D157" t="inlineStr">
        <is>
          <t>NORRBOTTENS LÄN</t>
        </is>
      </c>
      <c r="E157" t="inlineStr">
        <is>
          <t>GÄLLIVARE</t>
        </is>
      </c>
      <c r="G157" t="n">
        <v>7.6</v>
      </c>
      <c r="H157" t="n">
        <v>0</v>
      </c>
      <c r="I157" t="n">
        <v>0</v>
      </c>
      <c r="J157" t="n">
        <v>0</v>
      </c>
      <c r="K157" t="n">
        <v>0</v>
      </c>
      <c r="L157" t="n">
        <v>0</v>
      </c>
      <c r="M157" t="n">
        <v>0</v>
      </c>
      <c r="N157" t="n">
        <v>0</v>
      </c>
      <c r="O157" t="n">
        <v>0</v>
      </c>
      <c r="P157" t="n">
        <v>0</v>
      </c>
      <c r="Q157" t="n">
        <v>0</v>
      </c>
      <c r="R157" s="2" t="inlineStr"/>
    </row>
    <row r="158" ht="15" customHeight="1">
      <c r="A158" t="inlineStr">
        <is>
          <t>A 33742-2025</t>
        </is>
      </c>
      <c r="B158" s="1" t="n">
        <v>45842.34484953704</v>
      </c>
      <c r="C158" s="1" t="n">
        <v>46180</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25035-2025</t>
        </is>
      </c>
      <c r="B159" s="1" t="n">
        <v>45799.65689814815</v>
      </c>
      <c r="C159" s="1" t="n">
        <v>46180</v>
      </c>
      <c r="D159" t="inlineStr">
        <is>
          <t>NORRBOTTENS LÄN</t>
        </is>
      </c>
      <c r="E159" t="inlineStr">
        <is>
          <t>GÄLLIVARE</t>
        </is>
      </c>
      <c r="F159" t="inlineStr">
        <is>
          <t>SCA</t>
        </is>
      </c>
      <c r="G159" t="n">
        <v>4.2</v>
      </c>
      <c r="H159" t="n">
        <v>0</v>
      </c>
      <c r="I159" t="n">
        <v>0</v>
      </c>
      <c r="J159" t="n">
        <v>0</v>
      </c>
      <c r="K159" t="n">
        <v>0</v>
      </c>
      <c r="L159" t="n">
        <v>0</v>
      </c>
      <c r="M159" t="n">
        <v>0</v>
      </c>
      <c r="N159" t="n">
        <v>0</v>
      </c>
      <c r="O159" t="n">
        <v>0</v>
      </c>
      <c r="P159" t="n">
        <v>0</v>
      </c>
      <c r="Q159" t="n">
        <v>0</v>
      </c>
      <c r="R159" s="2" t="inlineStr"/>
    </row>
    <row r="160" ht="15" customHeight="1">
      <c r="A160" t="inlineStr">
        <is>
          <t>A 39168-2025</t>
        </is>
      </c>
      <c r="B160" s="1" t="n">
        <v>45888.63964120371</v>
      </c>
      <c r="C160" s="1" t="n">
        <v>46180</v>
      </c>
      <c r="D160" t="inlineStr">
        <is>
          <t>NORRBOTTENS LÄN</t>
        </is>
      </c>
      <c r="E160" t="inlineStr">
        <is>
          <t>GÄLLIVARE</t>
        </is>
      </c>
      <c r="G160" t="n">
        <v>7.5</v>
      </c>
      <c r="H160" t="n">
        <v>0</v>
      </c>
      <c r="I160" t="n">
        <v>0</v>
      </c>
      <c r="J160" t="n">
        <v>0</v>
      </c>
      <c r="K160" t="n">
        <v>0</v>
      </c>
      <c r="L160" t="n">
        <v>0</v>
      </c>
      <c r="M160" t="n">
        <v>0</v>
      </c>
      <c r="N160" t="n">
        <v>0</v>
      </c>
      <c r="O160" t="n">
        <v>0</v>
      </c>
      <c r="P160" t="n">
        <v>0</v>
      </c>
      <c r="Q160" t="n">
        <v>0</v>
      </c>
      <c r="R160" s="2" t="inlineStr"/>
    </row>
    <row r="161" ht="15" customHeight="1">
      <c r="A161" t="inlineStr">
        <is>
          <t>A 24734-2025</t>
        </is>
      </c>
      <c r="B161" s="1" t="n">
        <v>45799</v>
      </c>
      <c r="C161" s="1" t="n">
        <v>46180</v>
      </c>
      <c r="D161" t="inlineStr">
        <is>
          <t>NORRBOTTENS LÄN</t>
        </is>
      </c>
      <c r="E161" t="inlineStr">
        <is>
          <t>GÄLLIVARE</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38896-2025</t>
        </is>
      </c>
      <c r="B162" s="1" t="n">
        <v>45887</v>
      </c>
      <c r="C162" s="1" t="n">
        <v>46180</v>
      </c>
      <c r="D162" t="inlineStr">
        <is>
          <t>NORRBOTTENS LÄN</t>
        </is>
      </c>
      <c r="E162" t="inlineStr">
        <is>
          <t>GÄLLIVARE</t>
        </is>
      </c>
      <c r="G162" t="n">
        <v>5</v>
      </c>
      <c r="H162" t="n">
        <v>0</v>
      </c>
      <c r="I162" t="n">
        <v>0</v>
      </c>
      <c r="J162" t="n">
        <v>0</v>
      </c>
      <c r="K162" t="n">
        <v>0</v>
      </c>
      <c r="L162" t="n">
        <v>0</v>
      </c>
      <c r="M162" t="n">
        <v>0</v>
      </c>
      <c r="N162" t="n">
        <v>0</v>
      </c>
      <c r="O162" t="n">
        <v>0</v>
      </c>
      <c r="P162" t="n">
        <v>0</v>
      </c>
      <c r="Q162" t="n">
        <v>0</v>
      </c>
      <c r="R162" s="2" t="inlineStr"/>
    </row>
    <row r="163" ht="15" customHeight="1">
      <c r="A163" t="inlineStr">
        <is>
          <t>A 1834-2026</t>
        </is>
      </c>
      <c r="B163" s="1" t="n">
        <v>46035</v>
      </c>
      <c r="C163" s="1" t="n">
        <v>46180</v>
      </c>
      <c r="D163" t="inlineStr">
        <is>
          <t>NORRBOTTENS LÄN</t>
        </is>
      </c>
      <c r="E163" t="inlineStr">
        <is>
          <t>GÄLLIVARE</t>
        </is>
      </c>
      <c r="G163" t="n">
        <v>17.4</v>
      </c>
      <c r="H163" t="n">
        <v>0</v>
      </c>
      <c r="I163" t="n">
        <v>0</v>
      </c>
      <c r="J163" t="n">
        <v>0</v>
      </c>
      <c r="K163" t="n">
        <v>0</v>
      </c>
      <c r="L163" t="n">
        <v>0</v>
      </c>
      <c r="M163" t="n">
        <v>0</v>
      </c>
      <c r="N163" t="n">
        <v>0</v>
      </c>
      <c r="O163" t="n">
        <v>0</v>
      </c>
      <c r="P163" t="n">
        <v>0</v>
      </c>
      <c r="Q163" t="n">
        <v>0</v>
      </c>
      <c r="R163" s="2" t="inlineStr"/>
    </row>
    <row r="164" ht="15" customHeight="1">
      <c r="A164" t="inlineStr">
        <is>
          <t>A 23495-2024</t>
        </is>
      </c>
      <c r="B164" s="1" t="n">
        <v>45453</v>
      </c>
      <c r="C164" s="1" t="n">
        <v>46180</v>
      </c>
      <c r="D164" t="inlineStr">
        <is>
          <t>NORRBOTTENS LÄN</t>
        </is>
      </c>
      <c r="E164" t="inlineStr">
        <is>
          <t>GÄLLIVARE</t>
        </is>
      </c>
      <c r="F164" t="inlineStr">
        <is>
          <t>Allmännings- och besparingsskogar</t>
        </is>
      </c>
      <c r="G164" t="n">
        <v>15.4</v>
      </c>
      <c r="H164" t="n">
        <v>0</v>
      </c>
      <c r="I164" t="n">
        <v>0</v>
      </c>
      <c r="J164" t="n">
        <v>0</v>
      </c>
      <c r="K164" t="n">
        <v>0</v>
      </c>
      <c r="L164" t="n">
        <v>0</v>
      </c>
      <c r="M164" t="n">
        <v>0</v>
      </c>
      <c r="N164" t="n">
        <v>0</v>
      </c>
      <c r="O164" t="n">
        <v>0</v>
      </c>
      <c r="P164" t="n">
        <v>0</v>
      </c>
      <c r="Q164" t="n">
        <v>0</v>
      </c>
      <c r="R164" s="2" t="inlineStr"/>
    </row>
    <row r="165" ht="15" customHeight="1">
      <c r="A165" t="inlineStr">
        <is>
          <t>A 38895-2025</t>
        </is>
      </c>
      <c r="B165" s="1" t="n">
        <v>45887</v>
      </c>
      <c r="C165" s="1" t="n">
        <v>46180</v>
      </c>
      <c r="D165" t="inlineStr">
        <is>
          <t>NORRBOTTENS LÄN</t>
        </is>
      </c>
      <c r="E165" t="inlineStr">
        <is>
          <t>GÄLLIVARE</t>
        </is>
      </c>
      <c r="G165" t="n">
        <v>1.7</v>
      </c>
      <c r="H165" t="n">
        <v>0</v>
      </c>
      <c r="I165" t="n">
        <v>0</v>
      </c>
      <c r="J165" t="n">
        <v>0</v>
      </c>
      <c r="K165" t="n">
        <v>0</v>
      </c>
      <c r="L165" t="n">
        <v>0</v>
      </c>
      <c r="M165" t="n">
        <v>0</v>
      </c>
      <c r="N165" t="n">
        <v>0</v>
      </c>
      <c r="O165" t="n">
        <v>0</v>
      </c>
      <c r="P165" t="n">
        <v>0</v>
      </c>
      <c r="Q165" t="n">
        <v>0</v>
      </c>
      <c r="R165" s="2" t="inlineStr"/>
    </row>
    <row r="166" ht="15" customHeight="1">
      <c r="A166" t="inlineStr">
        <is>
          <t>A 25038-2025</t>
        </is>
      </c>
      <c r="B166" s="1" t="n">
        <v>45799.65711805555</v>
      </c>
      <c r="C166" s="1" t="n">
        <v>46180</v>
      </c>
      <c r="D166" t="inlineStr">
        <is>
          <t>NORRBOTTENS LÄN</t>
        </is>
      </c>
      <c r="E166" t="inlineStr">
        <is>
          <t>GÄLLIVARE</t>
        </is>
      </c>
      <c r="F166" t="inlineStr">
        <is>
          <t>SCA</t>
        </is>
      </c>
      <c r="G166" t="n">
        <v>4.4</v>
      </c>
      <c r="H166" t="n">
        <v>0</v>
      </c>
      <c r="I166" t="n">
        <v>0</v>
      </c>
      <c r="J166" t="n">
        <v>0</v>
      </c>
      <c r="K166" t="n">
        <v>0</v>
      </c>
      <c r="L166" t="n">
        <v>0</v>
      </c>
      <c r="M166" t="n">
        <v>0</v>
      </c>
      <c r="N166" t="n">
        <v>0</v>
      </c>
      <c r="O166" t="n">
        <v>0</v>
      </c>
      <c r="P166" t="n">
        <v>0</v>
      </c>
      <c r="Q166" t="n">
        <v>0</v>
      </c>
      <c r="R166" s="2" t="inlineStr"/>
    </row>
    <row r="167" ht="15" customHeight="1">
      <c r="A167" t="inlineStr">
        <is>
          <t>A 2798-2026</t>
        </is>
      </c>
      <c r="B167" s="1" t="n">
        <v>46038.40663194445</v>
      </c>
      <c r="C167" s="1" t="n">
        <v>46180</v>
      </c>
      <c r="D167" t="inlineStr">
        <is>
          <t>NORRBOTTENS LÄN</t>
        </is>
      </c>
      <c r="E167" t="inlineStr">
        <is>
          <t>GÄLLIVARE</t>
        </is>
      </c>
      <c r="G167" t="n">
        <v>5.2</v>
      </c>
      <c r="H167" t="n">
        <v>0</v>
      </c>
      <c r="I167" t="n">
        <v>0</v>
      </c>
      <c r="J167" t="n">
        <v>0</v>
      </c>
      <c r="K167" t="n">
        <v>0</v>
      </c>
      <c r="L167" t="n">
        <v>0</v>
      </c>
      <c r="M167" t="n">
        <v>0</v>
      </c>
      <c r="N167" t="n">
        <v>0</v>
      </c>
      <c r="O167" t="n">
        <v>0</v>
      </c>
      <c r="P167" t="n">
        <v>0</v>
      </c>
      <c r="Q167" t="n">
        <v>0</v>
      </c>
      <c r="R167" s="2" t="inlineStr"/>
    </row>
    <row r="168" ht="15" customHeight="1">
      <c r="A168" t="inlineStr">
        <is>
          <t>A 1657-2026</t>
        </is>
      </c>
      <c r="B168" s="1" t="n">
        <v>46034</v>
      </c>
      <c r="C168" s="1" t="n">
        <v>46180</v>
      </c>
      <c r="D168" t="inlineStr">
        <is>
          <t>NORRBOTTENS LÄN</t>
        </is>
      </c>
      <c r="E168" t="inlineStr">
        <is>
          <t>GÄLLIVARE</t>
        </is>
      </c>
      <c r="G168" t="n">
        <v>2.2</v>
      </c>
      <c r="H168" t="n">
        <v>0</v>
      </c>
      <c r="I168" t="n">
        <v>0</v>
      </c>
      <c r="J168" t="n">
        <v>0</v>
      </c>
      <c r="K168" t="n">
        <v>0</v>
      </c>
      <c r="L168" t="n">
        <v>0</v>
      </c>
      <c r="M168" t="n">
        <v>0</v>
      </c>
      <c r="N168" t="n">
        <v>0</v>
      </c>
      <c r="O168" t="n">
        <v>0</v>
      </c>
      <c r="P168" t="n">
        <v>0</v>
      </c>
      <c r="Q168" t="n">
        <v>0</v>
      </c>
      <c r="R168" s="2" t="inlineStr"/>
    </row>
    <row r="169" ht="15" customHeight="1">
      <c r="A169" t="inlineStr">
        <is>
          <t>A 57442-2022</t>
        </is>
      </c>
      <c r="B169" s="1" t="n">
        <v>44896</v>
      </c>
      <c r="C169" s="1" t="n">
        <v>46180</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24739-2025</t>
        </is>
      </c>
      <c r="B170" s="1" t="n">
        <v>45799</v>
      </c>
      <c r="C170" s="1" t="n">
        <v>46180</v>
      </c>
      <c r="D170" t="inlineStr">
        <is>
          <t>NORRBOTTENS LÄN</t>
        </is>
      </c>
      <c r="E170" t="inlineStr">
        <is>
          <t>GÄLLIVARE</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24741-2025</t>
        </is>
      </c>
      <c r="B171" s="1" t="n">
        <v>45799.34563657407</v>
      </c>
      <c r="C171" s="1" t="n">
        <v>46180</v>
      </c>
      <c r="D171" t="inlineStr">
        <is>
          <t>NORRBOTTENS LÄN</t>
        </is>
      </c>
      <c r="E171" t="inlineStr">
        <is>
          <t>GÄLLIVARE</t>
        </is>
      </c>
      <c r="F171" t="inlineStr">
        <is>
          <t>SCA</t>
        </is>
      </c>
      <c r="G171" t="n">
        <v>16.2</v>
      </c>
      <c r="H171" t="n">
        <v>0</v>
      </c>
      <c r="I171" t="n">
        <v>0</v>
      </c>
      <c r="J171" t="n">
        <v>0</v>
      </c>
      <c r="K171" t="n">
        <v>0</v>
      </c>
      <c r="L171" t="n">
        <v>0</v>
      </c>
      <c r="M171" t="n">
        <v>0</v>
      </c>
      <c r="N171" t="n">
        <v>0</v>
      </c>
      <c r="O171" t="n">
        <v>0</v>
      </c>
      <c r="P171" t="n">
        <v>0</v>
      </c>
      <c r="Q171" t="n">
        <v>0</v>
      </c>
      <c r="R171" s="2" t="inlineStr"/>
    </row>
    <row r="172" ht="15" customHeight="1">
      <c r="A172" t="inlineStr">
        <is>
          <t>A 39337-2025</t>
        </is>
      </c>
      <c r="B172" s="1" t="n">
        <v>45889</v>
      </c>
      <c r="C172" s="1" t="n">
        <v>46180</v>
      </c>
      <c r="D172" t="inlineStr">
        <is>
          <t>NORRBOTTENS LÄN</t>
        </is>
      </c>
      <c r="E172" t="inlineStr">
        <is>
          <t>GÄLLIVARE</t>
        </is>
      </c>
      <c r="F172" t="inlineStr">
        <is>
          <t>Sveaskog</t>
        </is>
      </c>
      <c r="G172" t="n">
        <v>36.8</v>
      </c>
      <c r="H172" t="n">
        <v>0</v>
      </c>
      <c r="I172" t="n">
        <v>0</v>
      </c>
      <c r="J172" t="n">
        <v>0</v>
      </c>
      <c r="K172" t="n">
        <v>0</v>
      </c>
      <c r="L172" t="n">
        <v>0</v>
      </c>
      <c r="M172" t="n">
        <v>0</v>
      </c>
      <c r="N172" t="n">
        <v>0</v>
      </c>
      <c r="O172" t="n">
        <v>0</v>
      </c>
      <c r="P172" t="n">
        <v>0</v>
      </c>
      <c r="Q172" t="n">
        <v>0</v>
      </c>
      <c r="R172" s="2" t="inlineStr"/>
    </row>
    <row r="173" ht="15" customHeight="1">
      <c r="A173" t="inlineStr">
        <is>
          <t>A 39414-2025</t>
        </is>
      </c>
      <c r="B173" s="1" t="n">
        <v>45889.65699074074</v>
      </c>
      <c r="C173" s="1" t="n">
        <v>46180</v>
      </c>
      <c r="D173" t="inlineStr">
        <is>
          <t>NORRBOTTENS LÄN</t>
        </is>
      </c>
      <c r="E173" t="inlineStr">
        <is>
          <t>GÄLLIVARE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5481-2025</t>
        </is>
      </c>
      <c r="B174" s="1" t="n">
        <v>45693</v>
      </c>
      <c r="C174" s="1" t="n">
        <v>46180</v>
      </c>
      <c r="D174" t="inlineStr">
        <is>
          <t>NORRBOTTENS LÄN</t>
        </is>
      </c>
      <c r="E174" t="inlineStr">
        <is>
          <t>GÄLLIVARE</t>
        </is>
      </c>
      <c r="F174" t="inlineStr">
        <is>
          <t>SCA</t>
        </is>
      </c>
      <c r="G174" t="n">
        <v>13.1</v>
      </c>
      <c r="H174" t="n">
        <v>0</v>
      </c>
      <c r="I174" t="n">
        <v>0</v>
      </c>
      <c r="J174" t="n">
        <v>0</v>
      </c>
      <c r="K174" t="n">
        <v>0</v>
      </c>
      <c r="L174" t="n">
        <v>0</v>
      </c>
      <c r="M174" t="n">
        <v>0</v>
      </c>
      <c r="N174" t="n">
        <v>0</v>
      </c>
      <c r="O174" t="n">
        <v>0</v>
      </c>
      <c r="P174" t="n">
        <v>0</v>
      </c>
      <c r="Q174" t="n">
        <v>0</v>
      </c>
      <c r="R174" s="2" t="inlineStr"/>
    </row>
    <row r="175" ht="15" customHeight="1">
      <c r="A175" t="inlineStr">
        <is>
          <t>A 39440-2025</t>
        </is>
      </c>
      <c r="B175" s="1" t="n">
        <v>45889.68805555555</v>
      </c>
      <c r="C175" s="1" t="n">
        <v>46180</v>
      </c>
      <c r="D175" t="inlineStr">
        <is>
          <t>NORRBOTTENS LÄN</t>
        </is>
      </c>
      <c r="E175" t="inlineStr">
        <is>
          <t>GÄLLIVARE</t>
        </is>
      </c>
      <c r="G175" t="n">
        <v>7.6</v>
      </c>
      <c r="H175" t="n">
        <v>0</v>
      </c>
      <c r="I175" t="n">
        <v>0</v>
      </c>
      <c r="J175" t="n">
        <v>0</v>
      </c>
      <c r="K175" t="n">
        <v>0</v>
      </c>
      <c r="L175" t="n">
        <v>0</v>
      </c>
      <c r="M175" t="n">
        <v>0</v>
      </c>
      <c r="N175" t="n">
        <v>0</v>
      </c>
      <c r="O175" t="n">
        <v>0</v>
      </c>
      <c r="P175" t="n">
        <v>0</v>
      </c>
      <c r="Q175" t="n">
        <v>0</v>
      </c>
      <c r="R175" s="2" t="inlineStr"/>
    </row>
    <row r="176" ht="15" customHeight="1">
      <c r="A176" t="inlineStr">
        <is>
          <t>A 39413-2025</t>
        </is>
      </c>
      <c r="B176" s="1" t="n">
        <v>45889.65671296296</v>
      </c>
      <c r="C176" s="1" t="n">
        <v>46180</v>
      </c>
      <c r="D176" t="inlineStr">
        <is>
          <t>NORRBOTTENS LÄN</t>
        </is>
      </c>
      <c r="E176" t="inlineStr">
        <is>
          <t>GÄLLIVARE</t>
        </is>
      </c>
      <c r="F176" t="inlineStr">
        <is>
          <t>SCA</t>
        </is>
      </c>
      <c r="G176" t="n">
        <v>3.6</v>
      </c>
      <c r="H176" t="n">
        <v>0</v>
      </c>
      <c r="I176" t="n">
        <v>0</v>
      </c>
      <c r="J176" t="n">
        <v>0</v>
      </c>
      <c r="K176" t="n">
        <v>0</v>
      </c>
      <c r="L176" t="n">
        <v>0</v>
      </c>
      <c r="M176" t="n">
        <v>0</v>
      </c>
      <c r="N176" t="n">
        <v>0</v>
      </c>
      <c r="O176" t="n">
        <v>0</v>
      </c>
      <c r="P176" t="n">
        <v>0</v>
      </c>
      <c r="Q176" t="n">
        <v>0</v>
      </c>
      <c r="R176" s="2" t="inlineStr"/>
    </row>
    <row r="177" ht="15" customHeight="1">
      <c r="A177" t="inlineStr">
        <is>
          <t>A 39638-2025</t>
        </is>
      </c>
      <c r="B177" s="1" t="n">
        <v>45890.60027777778</v>
      </c>
      <c r="C177" s="1" t="n">
        <v>46180</v>
      </c>
      <c r="D177" t="inlineStr">
        <is>
          <t>NORRBOTTENS LÄN</t>
        </is>
      </c>
      <c r="E177" t="inlineStr">
        <is>
          <t>GÄLLIVARE</t>
        </is>
      </c>
      <c r="F177" t="inlineStr">
        <is>
          <t>Sveaskog</t>
        </is>
      </c>
      <c r="G177" t="n">
        <v>8.5</v>
      </c>
      <c r="H177" t="n">
        <v>0</v>
      </c>
      <c r="I177" t="n">
        <v>0</v>
      </c>
      <c r="J177" t="n">
        <v>0</v>
      </c>
      <c r="K177" t="n">
        <v>0</v>
      </c>
      <c r="L177" t="n">
        <v>0</v>
      </c>
      <c r="M177" t="n">
        <v>0</v>
      </c>
      <c r="N177" t="n">
        <v>0</v>
      </c>
      <c r="O177" t="n">
        <v>0</v>
      </c>
      <c r="P177" t="n">
        <v>0</v>
      </c>
      <c r="Q177" t="n">
        <v>0</v>
      </c>
      <c r="R177" s="2" t="inlineStr"/>
    </row>
    <row r="178" ht="15" customHeight="1">
      <c r="A178" t="inlineStr">
        <is>
          <t>A 39261-2025</t>
        </is>
      </c>
      <c r="B178" s="1" t="n">
        <v>45889.37136574074</v>
      </c>
      <c r="C178" s="1" t="n">
        <v>46180</v>
      </c>
      <c r="D178" t="inlineStr">
        <is>
          <t>NORRBOTTENS LÄN</t>
        </is>
      </c>
      <c r="E178" t="inlineStr">
        <is>
          <t>GÄLLIVARE</t>
        </is>
      </c>
      <c r="G178" t="n">
        <v>6.8</v>
      </c>
      <c r="H178" t="n">
        <v>0</v>
      </c>
      <c r="I178" t="n">
        <v>0</v>
      </c>
      <c r="J178" t="n">
        <v>0</v>
      </c>
      <c r="K178" t="n">
        <v>0</v>
      </c>
      <c r="L178" t="n">
        <v>0</v>
      </c>
      <c r="M178" t="n">
        <v>0</v>
      </c>
      <c r="N178" t="n">
        <v>0</v>
      </c>
      <c r="O178" t="n">
        <v>0</v>
      </c>
      <c r="P178" t="n">
        <v>0</v>
      </c>
      <c r="Q178" t="n">
        <v>0</v>
      </c>
      <c r="R178" s="2" t="inlineStr"/>
    </row>
    <row r="179" ht="15" customHeight="1">
      <c r="A179" t="inlineStr">
        <is>
          <t>A 55381-2024</t>
        </is>
      </c>
      <c r="B179" s="1" t="n">
        <v>45622</v>
      </c>
      <c r="C179" s="1" t="n">
        <v>46180</v>
      </c>
      <c r="D179" t="inlineStr">
        <is>
          <t>NORRBOTTENS LÄN</t>
        </is>
      </c>
      <c r="E179" t="inlineStr">
        <is>
          <t>GÄLLIVARE</t>
        </is>
      </c>
      <c r="F179" t="inlineStr">
        <is>
          <t>Sveaskog</t>
        </is>
      </c>
      <c r="G179" t="n">
        <v>11.7</v>
      </c>
      <c r="H179" t="n">
        <v>0</v>
      </c>
      <c r="I179" t="n">
        <v>0</v>
      </c>
      <c r="J179" t="n">
        <v>0</v>
      </c>
      <c r="K179" t="n">
        <v>0</v>
      </c>
      <c r="L179" t="n">
        <v>0</v>
      </c>
      <c r="M179" t="n">
        <v>0</v>
      </c>
      <c r="N179" t="n">
        <v>0</v>
      </c>
      <c r="O179" t="n">
        <v>0</v>
      </c>
      <c r="P179" t="n">
        <v>0</v>
      </c>
      <c r="Q179" t="n">
        <v>0</v>
      </c>
      <c r="R179" s="2" t="inlineStr"/>
    </row>
    <row r="180" ht="15" customHeight="1">
      <c r="A180" t="inlineStr">
        <is>
          <t>A 39793-2025</t>
        </is>
      </c>
      <c r="B180" s="1" t="n">
        <v>45891.48686342593</v>
      </c>
      <c r="C180" s="1" t="n">
        <v>46180</v>
      </c>
      <c r="D180" t="inlineStr">
        <is>
          <t>NORRBOTTENS LÄN</t>
        </is>
      </c>
      <c r="E180" t="inlineStr">
        <is>
          <t>GÄLLIVARE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30364-2024</t>
        </is>
      </c>
      <c r="B181" s="1" t="n">
        <v>45491</v>
      </c>
      <c r="C181" s="1" t="n">
        <v>46180</v>
      </c>
      <c r="D181" t="inlineStr">
        <is>
          <t>NORRBOTTENS LÄN</t>
        </is>
      </c>
      <c r="E181" t="inlineStr">
        <is>
          <t>GÄLLIVARE</t>
        </is>
      </c>
      <c r="G181" t="n">
        <v>3.3</v>
      </c>
      <c r="H181" t="n">
        <v>0</v>
      </c>
      <c r="I181" t="n">
        <v>0</v>
      </c>
      <c r="J181" t="n">
        <v>0</v>
      </c>
      <c r="K181" t="n">
        <v>0</v>
      </c>
      <c r="L181" t="n">
        <v>0</v>
      </c>
      <c r="M181" t="n">
        <v>0</v>
      </c>
      <c r="N181" t="n">
        <v>0</v>
      </c>
      <c r="O181" t="n">
        <v>0</v>
      </c>
      <c r="P181" t="n">
        <v>0</v>
      </c>
      <c r="Q181" t="n">
        <v>0</v>
      </c>
      <c r="R181" s="2" t="inlineStr"/>
    </row>
    <row r="182" ht="15" customHeight="1">
      <c r="A182" t="inlineStr">
        <is>
          <t>A 39960-2025</t>
        </is>
      </c>
      <c r="B182" s="1" t="n">
        <v>45892.48996527777</v>
      </c>
      <c r="C182" s="1" t="n">
        <v>46180</v>
      </c>
      <c r="D182" t="inlineStr">
        <is>
          <t>NORRBOTTENS LÄN</t>
        </is>
      </c>
      <c r="E182" t="inlineStr">
        <is>
          <t>GÄLLIVARE</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11290-2023</t>
        </is>
      </c>
      <c r="B183" s="1" t="n">
        <v>44992</v>
      </c>
      <c r="C183" s="1" t="n">
        <v>46180</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25981-2025</t>
        </is>
      </c>
      <c r="B184" s="1" t="n">
        <v>45804</v>
      </c>
      <c r="C184" s="1" t="n">
        <v>46180</v>
      </c>
      <c r="D184" t="inlineStr">
        <is>
          <t>NORRBOTTENS LÄN</t>
        </is>
      </c>
      <c r="E184" t="inlineStr">
        <is>
          <t>GÄLLIVARE</t>
        </is>
      </c>
      <c r="G184" t="n">
        <v>5.9</v>
      </c>
      <c r="H184" t="n">
        <v>0</v>
      </c>
      <c r="I184" t="n">
        <v>0</v>
      </c>
      <c r="J184" t="n">
        <v>0</v>
      </c>
      <c r="K184" t="n">
        <v>0</v>
      </c>
      <c r="L184" t="n">
        <v>0</v>
      </c>
      <c r="M184" t="n">
        <v>0</v>
      </c>
      <c r="N184" t="n">
        <v>0</v>
      </c>
      <c r="O184" t="n">
        <v>0</v>
      </c>
      <c r="P184" t="n">
        <v>0</v>
      </c>
      <c r="Q184" t="n">
        <v>0</v>
      </c>
      <c r="R184" s="2" t="inlineStr"/>
    </row>
    <row r="185" ht="15" customHeight="1">
      <c r="A185" t="inlineStr">
        <is>
          <t>A 39962-2025</t>
        </is>
      </c>
      <c r="B185" s="1" t="n">
        <v>45892.4903587963</v>
      </c>
      <c r="C185" s="1" t="n">
        <v>46180</v>
      </c>
      <c r="D185" t="inlineStr">
        <is>
          <t>NORRBOTTENS LÄN</t>
        </is>
      </c>
      <c r="E185" t="inlineStr">
        <is>
          <t>GÄLLIVARE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47166-2023</t>
        </is>
      </c>
      <c r="B186" s="1" t="n">
        <v>45201</v>
      </c>
      <c r="C186" s="1" t="n">
        <v>46180</v>
      </c>
      <c r="D186" t="inlineStr">
        <is>
          <t>NORRBOTTENS LÄN</t>
        </is>
      </c>
      <c r="E186" t="inlineStr">
        <is>
          <t>GÄLLIVARE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47613-2023</t>
        </is>
      </c>
      <c r="B187" s="1" t="n">
        <v>45198</v>
      </c>
      <c r="C187" s="1" t="n">
        <v>46180</v>
      </c>
      <c r="D187" t="inlineStr">
        <is>
          <t>NORRBOTTENS LÄN</t>
        </is>
      </c>
      <c r="E187" t="inlineStr">
        <is>
          <t>GÄLLIVARE</t>
        </is>
      </c>
      <c r="G187" t="n">
        <v>1.9</v>
      </c>
      <c r="H187" t="n">
        <v>0</v>
      </c>
      <c r="I187" t="n">
        <v>0</v>
      </c>
      <c r="J187" t="n">
        <v>0</v>
      </c>
      <c r="K187" t="n">
        <v>0</v>
      </c>
      <c r="L187" t="n">
        <v>0</v>
      </c>
      <c r="M187" t="n">
        <v>0</v>
      </c>
      <c r="N187" t="n">
        <v>0</v>
      </c>
      <c r="O187" t="n">
        <v>0</v>
      </c>
      <c r="P187" t="n">
        <v>0</v>
      </c>
      <c r="Q187" t="n">
        <v>0</v>
      </c>
      <c r="R187" s="2" t="inlineStr"/>
    </row>
    <row r="188" ht="15" customHeight="1">
      <c r="A188" t="inlineStr">
        <is>
          <t>A 61795-2022</t>
        </is>
      </c>
      <c r="B188" s="1" t="n">
        <v>44911</v>
      </c>
      <c r="C188" s="1" t="n">
        <v>46180</v>
      </c>
      <c r="D188" t="inlineStr">
        <is>
          <t>NORRBOTTENS LÄN</t>
        </is>
      </c>
      <c r="E188" t="inlineStr">
        <is>
          <t>GÄLLIVARE</t>
        </is>
      </c>
      <c r="G188" t="n">
        <v>2.5</v>
      </c>
      <c r="H188" t="n">
        <v>0</v>
      </c>
      <c r="I188" t="n">
        <v>0</v>
      </c>
      <c r="J188" t="n">
        <v>0</v>
      </c>
      <c r="K188" t="n">
        <v>0</v>
      </c>
      <c r="L188" t="n">
        <v>0</v>
      </c>
      <c r="M188" t="n">
        <v>0</v>
      </c>
      <c r="N188" t="n">
        <v>0</v>
      </c>
      <c r="O188" t="n">
        <v>0</v>
      </c>
      <c r="P188" t="n">
        <v>0</v>
      </c>
      <c r="Q188" t="n">
        <v>0</v>
      </c>
      <c r="R188" s="2" t="inlineStr"/>
    </row>
    <row r="189" ht="15" customHeight="1">
      <c r="A189" t="inlineStr">
        <is>
          <t>A 64372-2023</t>
        </is>
      </c>
      <c r="B189" s="1" t="n">
        <v>45280</v>
      </c>
      <c r="C189" s="1" t="n">
        <v>46180</v>
      </c>
      <c r="D189" t="inlineStr">
        <is>
          <t>NORRBOTTENS LÄN</t>
        </is>
      </c>
      <c r="E189" t="inlineStr">
        <is>
          <t>GÄLLIVARE</t>
        </is>
      </c>
      <c r="G189" t="n">
        <v>3.3</v>
      </c>
      <c r="H189" t="n">
        <v>0</v>
      </c>
      <c r="I189" t="n">
        <v>0</v>
      </c>
      <c r="J189" t="n">
        <v>0</v>
      </c>
      <c r="K189" t="n">
        <v>0</v>
      </c>
      <c r="L189" t="n">
        <v>0</v>
      </c>
      <c r="M189" t="n">
        <v>0</v>
      </c>
      <c r="N189" t="n">
        <v>0</v>
      </c>
      <c r="O189" t="n">
        <v>0</v>
      </c>
      <c r="P189" t="n">
        <v>0</v>
      </c>
      <c r="Q189" t="n">
        <v>0</v>
      </c>
      <c r="R189" s="2" t="inlineStr"/>
    </row>
    <row r="190" ht="15" customHeight="1">
      <c r="A190" t="inlineStr">
        <is>
          <t>A 26284-2025</t>
        </is>
      </c>
      <c r="B190" s="1" t="n">
        <v>45805</v>
      </c>
      <c r="C190" s="1" t="n">
        <v>46180</v>
      </c>
      <c r="D190" t="inlineStr">
        <is>
          <t>NORRBOTTENS LÄN</t>
        </is>
      </c>
      <c r="E190" t="inlineStr">
        <is>
          <t>GÄLLIVARE</t>
        </is>
      </c>
      <c r="F190" t="inlineStr">
        <is>
          <t>Sveaskog</t>
        </is>
      </c>
      <c r="G190" t="n">
        <v>4.2</v>
      </c>
      <c r="H190" t="n">
        <v>0</v>
      </c>
      <c r="I190" t="n">
        <v>0</v>
      </c>
      <c r="J190" t="n">
        <v>0</v>
      </c>
      <c r="K190" t="n">
        <v>0</v>
      </c>
      <c r="L190" t="n">
        <v>0</v>
      </c>
      <c r="M190" t="n">
        <v>0</v>
      </c>
      <c r="N190" t="n">
        <v>0</v>
      </c>
      <c r="O190" t="n">
        <v>0</v>
      </c>
      <c r="P190" t="n">
        <v>0</v>
      </c>
      <c r="Q190" t="n">
        <v>0</v>
      </c>
      <c r="R190" s="2" t="inlineStr"/>
    </row>
    <row r="191" ht="15" customHeight="1">
      <c r="A191" t="inlineStr">
        <is>
          <t>A 41165-2025</t>
        </is>
      </c>
      <c r="B191" s="1" t="n">
        <v>45898.53658564815</v>
      </c>
      <c r="C191" s="1" t="n">
        <v>46180</v>
      </c>
      <c r="D191" t="inlineStr">
        <is>
          <t>NORRBOTTENS LÄN</t>
        </is>
      </c>
      <c r="E191" t="inlineStr">
        <is>
          <t>GÄLLIVARE</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41169-2025</t>
        </is>
      </c>
      <c r="B192" s="1" t="n">
        <v>45898.54578703704</v>
      </c>
      <c r="C192" s="1" t="n">
        <v>46180</v>
      </c>
      <c r="D192" t="inlineStr">
        <is>
          <t>NORRBOTTENS LÄN</t>
        </is>
      </c>
      <c r="E192" t="inlineStr">
        <is>
          <t>GÄLLIVARE</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26243-2025</t>
        </is>
      </c>
      <c r="B193" s="1" t="n">
        <v>45805.57359953703</v>
      </c>
      <c r="C193" s="1" t="n">
        <v>46180</v>
      </c>
      <c r="D193" t="inlineStr">
        <is>
          <t>NORRBOTTENS LÄN</t>
        </is>
      </c>
      <c r="E193" t="inlineStr">
        <is>
          <t>GÄLLIVARE</t>
        </is>
      </c>
      <c r="F193" t="inlineStr">
        <is>
          <t>SCA</t>
        </is>
      </c>
      <c r="G193" t="n">
        <v>3.3</v>
      </c>
      <c r="H193" t="n">
        <v>0</v>
      </c>
      <c r="I193" t="n">
        <v>0</v>
      </c>
      <c r="J193" t="n">
        <v>0</v>
      </c>
      <c r="K193" t="n">
        <v>0</v>
      </c>
      <c r="L193" t="n">
        <v>0</v>
      </c>
      <c r="M193" t="n">
        <v>0</v>
      </c>
      <c r="N193" t="n">
        <v>0</v>
      </c>
      <c r="O193" t="n">
        <v>0</v>
      </c>
      <c r="P193" t="n">
        <v>0</v>
      </c>
      <c r="Q193" t="n">
        <v>0</v>
      </c>
      <c r="R193" s="2" t="inlineStr"/>
    </row>
    <row r="194" ht="15" customHeight="1">
      <c r="A194" t="inlineStr">
        <is>
          <t>A 26291-2025</t>
        </is>
      </c>
      <c r="B194" s="1" t="n">
        <v>45805</v>
      </c>
      <c r="C194" s="1" t="n">
        <v>46180</v>
      </c>
      <c r="D194" t="inlineStr">
        <is>
          <t>NORRBOTTENS LÄN</t>
        </is>
      </c>
      <c r="E194" t="inlineStr">
        <is>
          <t>GÄLLIVARE</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26242-2025</t>
        </is>
      </c>
      <c r="B195" s="1" t="n">
        <v>45805</v>
      </c>
      <c r="C195" s="1" t="n">
        <v>46180</v>
      </c>
      <c r="D195" t="inlineStr">
        <is>
          <t>NORRBOTTENS LÄN</t>
        </is>
      </c>
      <c r="E195" t="inlineStr">
        <is>
          <t>GÄLLIVARE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26208-2025</t>
        </is>
      </c>
      <c r="B196" s="1" t="n">
        <v>45805.53162037037</v>
      </c>
      <c r="C196" s="1" t="n">
        <v>46180</v>
      </c>
      <c r="D196" t="inlineStr">
        <is>
          <t>NORRBOTTENS LÄN</t>
        </is>
      </c>
      <c r="E196" t="inlineStr">
        <is>
          <t>GÄLLIVARE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8152-2025</t>
        </is>
      </c>
      <c r="B197" s="1" t="n">
        <v>45708</v>
      </c>
      <c r="C197" s="1" t="n">
        <v>46180</v>
      </c>
      <c r="D197" t="inlineStr">
        <is>
          <t>NORRBOTTENS LÄN</t>
        </is>
      </c>
      <c r="E197" t="inlineStr">
        <is>
          <t>GÄLLIVARE</t>
        </is>
      </c>
      <c r="F197" t="inlineStr">
        <is>
          <t>Sveaskog</t>
        </is>
      </c>
      <c r="G197" t="n">
        <v>42.1</v>
      </c>
      <c r="H197" t="n">
        <v>0</v>
      </c>
      <c r="I197" t="n">
        <v>0</v>
      </c>
      <c r="J197" t="n">
        <v>0</v>
      </c>
      <c r="K197" t="n">
        <v>0</v>
      </c>
      <c r="L197" t="n">
        <v>0</v>
      </c>
      <c r="M197" t="n">
        <v>0</v>
      </c>
      <c r="N197" t="n">
        <v>0</v>
      </c>
      <c r="O197" t="n">
        <v>0</v>
      </c>
      <c r="P197" t="n">
        <v>0</v>
      </c>
      <c r="Q197" t="n">
        <v>0</v>
      </c>
      <c r="R197" s="2" t="inlineStr"/>
    </row>
    <row r="198" ht="15" customHeight="1">
      <c r="A198" t="inlineStr">
        <is>
          <t>A 41789-2025</t>
        </is>
      </c>
      <c r="B198" s="1" t="n">
        <v>45902.59466435185</v>
      </c>
      <c r="C198" s="1" t="n">
        <v>46180</v>
      </c>
      <c r="D198" t="inlineStr">
        <is>
          <t>NORRBOTTENS LÄN</t>
        </is>
      </c>
      <c r="E198" t="inlineStr">
        <is>
          <t>GÄLLIVARE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41791-2025</t>
        </is>
      </c>
      <c r="B199" s="1" t="n">
        <v>45902.59523148148</v>
      </c>
      <c r="C199" s="1" t="n">
        <v>46180</v>
      </c>
      <c r="D199" t="inlineStr">
        <is>
          <t>NORRBOTTENS LÄN</t>
        </is>
      </c>
      <c r="E199" t="inlineStr">
        <is>
          <t>GÄLLIVARE</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26772-2025</t>
        </is>
      </c>
      <c r="B200" s="1" t="n">
        <v>45810</v>
      </c>
      <c r="C200" s="1" t="n">
        <v>46180</v>
      </c>
      <c r="D200" t="inlineStr">
        <is>
          <t>NORRBOTTENS LÄN</t>
        </is>
      </c>
      <c r="E200" t="inlineStr">
        <is>
          <t>GÄLLIVARE</t>
        </is>
      </c>
      <c r="F200" t="inlineStr">
        <is>
          <t>SCA</t>
        </is>
      </c>
      <c r="G200" t="n">
        <v>6.8</v>
      </c>
      <c r="H200" t="n">
        <v>0</v>
      </c>
      <c r="I200" t="n">
        <v>0</v>
      </c>
      <c r="J200" t="n">
        <v>0</v>
      </c>
      <c r="K200" t="n">
        <v>0</v>
      </c>
      <c r="L200" t="n">
        <v>0</v>
      </c>
      <c r="M200" t="n">
        <v>0</v>
      </c>
      <c r="N200" t="n">
        <v>0</v>
      </c>
      <c r="O200" t="n">
        <v>0</v>
      </c>
      <c r="P200" t="n">
        <v>0</v>
      </c>
      <c r="Q200" t="n">
        <v>0</v>
      </c>
      <c r="R200" s="2" t="inlineStr"/>
    </row>
    <row r="201" ht="15" customHeight="1">
      <c r="A201" t="inlineStr">
        <is>
          <t>A 36511-2024</t>
        </is>
      </c>
      <c r="B201" s="1" t="n">
        <v>45537</v>
      </c>
      <c r="C201" s="1" t="n">
        <v>46180</v>
      </c>
      <c r="D201" t="inlineStr">
        <is>
          <t>NORRBOTTENS LÄN</t>
        </is>
      </c>
      <c r="E201" t="inlineStr">
        <is>
          <t>GÄLLIVARE</t>
        </is>
      </c>
      <c r="F201" t="inlineStr">
        <is>
          <t>Sveaskog</t>
        </is>
      </c>
      <c r="G201" t="n">
        <v>9.4</v>
      </c>
      <c r="H201" t="n">
        <v>0</v>
      </c>
      <c r="I201" t="n">
        <v>0</v>
      </c>
      <c r="J201" t="n">
        <v>0</v>
      </c>
      <c r="K201" t="n">
        <v>0</v>
      </c>
      <c r="L201" t="n">
        <v>0</v>
      </c>
      <c r="M201" t="n">
        <v>0</v>
      </c>
      <c r="N201" t="n">
        <v>0</v>
      </c>
      <c r="O201" t="n">
        <v>0</v>
      </c>
      <c r="P201" t="n">
        <v>0</v>
      </c>
      <c r="Q201" t="n">
        <v>0</v>
      </c>
      <c r="R201" s="2" t="inlineStr"/>
    </row>
    <row r="202" ht="15" customHeight="1">
      <c r="A202" t="inlineStr">
        <is>
          <t>A 41450-2025</t>
        </is>
      </c>
      <c r="B202" s="1" t="n">
        <v>45901.42961805555</v>
      </c>
      <c r="C202" s="1" t="n">
        <v>46180</v>
      </c>
      <c r="D202" t="inlineStr">
        <is>
          <t>NORRBOTTENS LÄN</t>
        </is>
      </c>
      <c r="E202" t="inlineStr">
        <is>
          <t>GÄLLIVARE</t>
        </is>
      </c>
      <c r="F202" t="inlineStr">
        <is>
          <t>Sveaskog</t>
        </is>
      </c>
      <c r="G202" t="n">
        <v>14.4</v>
      </c>
      <c r="H202" t="n">
        <v>0</v>
      </c>
      <c r="I202" t="n">
        <v>0</v>
      </c>
      <c r="J202" t="n">
        <v>0</v>
      </c>
      <c r="K202" t="n">
        <v>0</v>
      </c>
      <c r="L202" t="n">
        <v>0</v>
      </c>
      <c r="M202" t="n">
        <v>0</v>
      </c>
      <c r="N202" t="n">
        <v>0</v>
      </c>
      <c r="O202" t="n">
        <v>0</v>
      </c>
      <c r="P202" t="n">
        <v>0</v>
      </c>
      <c r="Q202" t="n">
        <v>0</v>
      </c>
      <c r="R202" s="2" t="inlineStr"/>
    </row>
    <row r="203" ht="15" customHeight="1">
      <c r="A203" t="inlineStr">
        <is>
          <t>A 41944-2024</t>
        </is>
      </c>
      <c r="B203" s="1" t="n">
        <v>45561</v>
      </c>
      <c r="C203" s="1" t="n">
        <v>46180</v>
      </c>
      <c r="D203" t="inlineStr">
        <is>
          <t>NORRBOTTENS LÄN</t>
        </is>
      </c>
      <c r="E203" t="inlineStr">
        <is>
          <t>GÄLLIVARE</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46180</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46180</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16857-2025</t>
        </is>
      </c>
      <c r="B206" s="1" t="n">
        <v>45751</v>
      </c>
      <c r="C206" s="1" t="n">
        <v>46180</v>
      </c>
      <c r="D206" t="inlineStr">
        <is>
          <t>NORRBOTTENS LÄN</t>
        </is>
      </c>
      <c r="E206" t="inlineStr">
        <is>
          <t>GÄLLIVARE</t>
        </is>
      </c>
      <c r="G206" t="n">
        <v>1.7</v>
      </c>
      <c r="H206" t="n">
        <v>0</v>
      </c>
      <c r="I206" t="n">
        <v>0</v>
      </c>
      <c r="J206" t="n">
        <v>0</v>
      </c>
      <c r="K206" t="n">
        <v>0</v>
      </c>
      <c r="L206" t="n">
        <v>0</v>
      </c>
      <c r="M206" t="n">
        <v>0</v>
      </c>
      <c r="N206" t="n">
        <v>0</v>
      </c>
      <c r="O206" t="n">
        <v>0</v>
      </c>
      <c r="P206" t="n">
        <v>0</v>
      </c>
      <c r="Q206" t="n">
        <v>0</v>
      </c>
      <c r="R206" s="2" t="inlineStr"/>
    </row>
    <row r="207" ht="15" customHeight="1">
      <c r="A207" t="inlineStr">
        <is>
          <t>A 27567-2025</t>
        </is>
      </c>
      <c r="B207" s="1" t="n">
        <v>45813.48991898148</v>
      </c>
      <c r="C207" s="1" t="n">
        <v>46180</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42896-2025</t>
        </is>
      </c>
      <c r="B208" s="1" t="n">
        <v>45908.67270833333</v>
      </c>
      <c r="C208" s="1" t="n">
        <v>46180</v>
      </c>
      <c r="D208" t="inlineStr">
        <is>
          <t>NORRBOTTENS LÄN</t>
        </is>
      </c>
      <c r="E208" t="inlineStr">
        <is>
          <t>GÄLLIVARE</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3161-2026</t>
        </is>
      </c>
      <c r="B209" s="1" t="n">
        <v>46041</v>
      </c>
      <c r="C209" s="1" t="n">
        <v>46180</v>
      </c>
      <c r="D209" t="inlineStr">
        <is>
          <t>NORRBOTTENS LÄN</t>
        </is>
      </c>
      <c r="E209" t="inlineStr">
        <is>
          <t>GÄLLIVARE</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44328-2024</t>
        </is>
      </c>
      <c r="B210" s="1" t="n">
        <v>45573</v>
      </c>
      <c r="C210" s="1" t="n">
        <v>46180</v>
      </c>
      <c r="D210" t="inlineStr">
        <is>
          <t>NORRBOTTENS LÄN</t>
        </is>
      </c>
      <c r="E210" t="inlineStr">
        <is>
          <t>GÄLLIVARE</t>
        </is>
      </c>
      <c r="G210" t="n">
        <v>1.8</v>
      </c>
      <c r="H210" t="n">
        <v>0</v>
      </c>
      <c r="I210" t="n">
        <v>0</v>
      </c>
      <c r="J210" t="n">
        <v>0</v>
      </c>
      <c r="K210" t="n">
        <v>0</v>
      </c>
      <c r="L210" t="n">
        <v>0</v>
      </c>
      <c r="M210" t="n">
        <v>0</v>
      </c>
      <c r="N210" t="n">
        <v>0</v>
      </c>
      <c r="O210" t="n">
        <v>0</v>
      </c>
      <c r="P210" t="n">
        <v>0</v>
      </c>
      <c r="Q210" t="n">
        <v>0</v>
      </c>
      <c r="R210" s="2" t="inlineStr"/>
    </row>
    <row r="211" ht="15" customHeight="1">
      <c r="A211" t="inlineStr">
        <is>
          <t>A 42458-2025</t>
        </is>
      </c>
      <c r="B211" s="1" t="n">
        <v>45905.45395833333</v>
      </c>
      <c r="C211" s="1" t="n">
        <v>46180</v>
      </c>
      <c r="D211" t="inlineStr">
        <is>
          <t>NORRBOTTENS LÄN</t>
        </is>
      </c>
      <c r="E211" t="inlineStr">
        <is>
          <t>GÄLLIVARE</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42895-2025</t>
        </is>
      </c>
      <c r="B212" s="1" t="n">
        <v>45908.67048611111</v>
      </c>
      <c r="C212" s="1" t="n">
        <v>46180</v>
      </c>
      <c r="D212" t="inlineStr">
        <is>
          <t>NORRBOTTENS LÄN</t>
        </is>
      </c>
      <c r="E212" t="inlineStr">
        <is>
          <t>GÄLLIVARE</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15373-2024</t>
        </is>
      </c>
      <c r="B213" s="1" t="n">
        <v>45400</v>
      </c>
      <c r="C213" s="1" t="n">
        <v>46180</v>
      </c>
      <c r="D213" t="inlineStr">
        <is>
          <t>NORRBOTTENS LÄN</t>
        </is>
      </c>
      <c r="E213" t="inlineStr">
        <is>
          <t>GÄLLIVARE</t>
        </is>
      </c>
      <c r="G213" t="n">
        <v>4.1</v>
      </c>
      <c r="H213" t="n">
        <v>0</v>
      </c>
      <c r="I213" t="n">
        <v>0</v>
      </c>
      <c r="J213" t="n">
        <v>0</v>
      </c>
      <c r="K213" t="n">
        <v>0</v>
      </c>
      <c r="L213" t="n">
        <v>0</v>
      </c>
      <c r="M213" t="n">
        <v>0</v>
      </c>
      <c r="N213" t="n">
        <v>0</v>
      </c>
      <c r="O213" t="n">
        <v>0</v>
      </c>
      <c r="P213" t="n">
        <v>0</v>
      </c>
      <c r="Q213" t="n">
        <v>0</v>
      </c>
      <c r="R213" s="2" t="inlineStr"/>
    </row>
    <row r="214" ht="15" customHeight="1">
      <c r="A214" t="inlineStr">
        <is>
          <t>A 42906-2025</t>
        </is>
      </c>
      <c r="B214" s="1" t="n">
        <v>45908.68728009259</v>
      </c>
      <c r="C214" s="1" t="n">
        <v>46180</v>
      </c>
      <c r="D214" t="inlineStr">
        <is>
          <t>NORRBOTTENS LÄN</t>
        </is>
      </c>
      <c r="E214" t="inlineStr">
        <is>
          <t>GÄLLIVARE</t>
        </is>
      </c>
      <c r="F214" t="inlineStr">
        <is>
          <t>Sveaskog</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21159-2023</t>
        </is>
      </c>
      <c r="B215" s="1" t="n">
        <v>45062</v>
      </c>
      <c r="C215" s="1" t="n">
        <v>46180</v>
      </c>
      <c r="D215" t="inlineStr">
        <is>
          <t>NORRBOTTENS LÄN</t>
        </is>
      </c>
      <c r="E215" t="inlineStr">
        <is>
          <t>GÄLLIVARE</t>
        </is>
      </c>
      <c r="F215" t="inlineStr">
        <is>
          <t>Sveaskog</t>
        </is>
      </c>
      <c r="G215" t="n">
        <v>111</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46180</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17418-2024</t>
        </is>
      </c>
      <c r="B217" s="1" t="n">
        <v>45414</v>
      </c>
      <c r="C217" s="1" t="n">
        <v>46180</v>
      </c>
      <c r="D217" t="inlineStr">
        <is>
          <t>NORRBOTTENS LÄN</t>
        </is>
      </c>
      <c r="E217" t="inlineStr">
        <is>
          <t>GÄLLIVARE</t>
        </is>
      </c>
      <c r="F217" t="inlineStr">
        <is>
          <t>SCA</t>
        </is>
      </c>
      <c r="G217" t="n">
        <v>48.6</v>
      </c>
      <c r="H217" t="n">
        <v>0</v>
      </c>
      <c r="I217" t="n">
        <v>0</v>
      </c>
      <c r="J217" t="n">
        <v>0</v>
      </c>
      <c r="K217" t="n">
        <v>0</v>
      </c>
      <c r="L217" t="n">
        <v>0</v>
      </c>
      <c r="M217" t="n">
        <v>0</v>
      </c>
      <c r="N217" t="n">
        <v>0</v>
      </c>
      <c r="O217" t="n">
        <v>0</v>
      </c>
      <c r="P217" t="n">
        <v>0</v>
      </c>
      <c r="Q217" t="n">
        <v>0</v>
      </c>
      <c r="R217" s="2" t="inlineStr"/>
    </row>
    <row r="218" ht="15" customHeight="1">
      <c r="A218" t="inlineStr">
        <is>
          <t>A 28126-2025</t>
        </is>
      </c>
      <c r="B218" s="1" t="n">
        <v>45818.31854166667</v>
      </c>
      <c r="C218" s="1" t="n">
        <v>46180</v>
      </c>
      <c r="D218" t="inlineStr">
        <is>
          <t>NORRBOTTENS LÄN</t>
        </is>
      </c>
      <c r="E218" t="inlineStr">
        <is>
          <t>GÄLLIVARE</t>
        </is>
      </c>
      <c r="F218" t="inlineStr">
        <is>
          <t>Sveaskog</t>
        </is>
      </c>
      <c r="G218" t="n">
        <v>29.9</v>
      </c>
      <c r="H218" t="n">
        <v>0</v>
      </c>
      <c r="I218" t="n">
        <v>0</v>
      </c>
      <c r="J218" t="n">
        <v>0</v>
      </c>
      <c r="K218" t="n">
        <v>0</v>
      </c>
      <c r="L218" t="n">
        <v>0</v>
      </c>
      <c r="M218" t="n">
        <v>0</v>
      </c>
      <c r="N218" t="n">
        <v>0</v>
      </c>
      <c r="O218" t="n">
        <v>0</v>
      </c>
      <c r="P218" t="n">
        <v>0</v>
      </c>
      <c r="Q218" t="n">
        <v>0</v>
      </c>
      <c r="R218" s="2" t="inlineStr"/>
    </row>
    <row r="219" ht="15" customHeight="1">
      <c r="A219" t="inlineStr">
        <is>
          <t>A 20126-2023</t>
        </is>
      </c>
      <c r="B219" s="1" t="n">
        <v>45051</v>
      </c>
      <c r="C219" s="1" t="n">
        <v>46180</v>
      </c>
      <c r="D219" t="inlineStr">
        <is>
          <t>NORRBOTTENS LÄN</t>
        </is>
      </c>
      <c r="E219" t="inlineStr">
        <is>
          <t>GÄLLIVARE</t>
        </is>
      </c>
      <c r="G219" t="n">
        <v>2.8</v>
      </c>
      <c r="H219" t="n">
        <v>0</v>
      </c>
      <c r="I219" t="n">
        <v>0</v>
      </c>
      <c r="J219" t="n">
        <v>0</v>
      </c>
      <c r="K219" t="n">
        <v>0</v>
      </c>
      <c r="L219" t="n">
        <v>0</v>
      </c>
      <c r="M219" t="n">
        <v>0</v>
      </c>
      <c r="N219" t="n">
        <v>0</v>
      </c>
      <c r="O219" t="n">
        <v>0</v>
      </c>
      <c r="P219" t="n">
        <v>0</v>
      </c>
      <c r="Q219" t="n">
        <v>0</v>
      </c>
      <c r="R219" s="2" t="inlineStr"/>
    </row>
    <row r="220" ht="15" customHeight="1">
      <c r="A220" t="inlineStr">
        <is>
          <t>A 28124-2025</t>
        </is>
      </c>
      <c r="B220" s="1" t="n">
        <v>45818.31184027778</v>
      </c>
      <c r="C220" s="1" t="n">
        <v>46180</v>
      </c>
      <c r="D220" t="inlineStr">
        <is>
          <t>NORRBOTTENS LÄN</t>
        </is>
      </c>
      <c r="E220" t="inlineStr">
        <is>
          <t>GÄLLIVARE</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28125-2025</t>
        </is>
      </c>
      <c r="B221" s="1" t="n">
        <v>45818.31322916667</v>
      </c>
      <c r="C221" s="1" t="n">
        <v>46180</v>
      </c>
      <c r="D221" t="inlineStr">
        <is>
          <t>NORRBOTTENS LÄN</t>
        </is>
      </c>
      <c r="E221" t="inlineStr">
        <is>
          <t>GÄLLIVARE</t>
        </is>
      </c>
      <c r="F221" t="inlineStr">
        <is>
          <t>Sveaskog</t>
        </is>
      </c>
      <c r="G221" t="n">
        <v>11.3</v>
      </c>
      <c r="H221" t="n">
        <v>0</v>
      </c>
      <c r="I221" t="n">
        <v>0</v>
      </c>
      <c r="J221" t="n">
        <v>0</v>
      </c>
      <c r="K221" t="n">
        <v>0</v>
      </c>
      <c r="L221" t="n">
        <v>0</v>
      </c>
      <c r="M221" t="n">
        <v>0</v>
      </c>
      <c r="N221" t="n">
        <v>0</v>
      </c>
      <c r="O221" t="n">
        <v>0</v>
      </c>
      <c r="P221" t="n">
        <v>0</v>
      </c>
      <c r="Q221" t="n">
        <v>0</v>
      </c>
      <c r="R221" s="2" t="inlineStr"/>
    </row>
    <row r="222" ht="15" customHeight="1">
      <c r="A222" t="inlineStr">
        <is>
          <t>A 61679-2022</t>
        </is>
      </c>
      <c r="B222" s="1" t="n">
        <v>44909</v>
      </c>
      <c r="C222" s="1" t="n">
        <v>46180</v>
      </c>
      <c r="D222" t="inlineStr">
        <is>
          <t>NORRBOTTENS LÄN</t>
        </is>
      </c>
      <c r="E222" t="inlineStr">
        <is>
          <t>GÄLLIVARE</t>
        </is>
      </c>
      <c r="G222" t="n">
        <v>5.7</v>
      </c>
      <c r="H222" t="n">
        <v>0</v>
      </c>
      <c r="I222" t="n">
        <v>0</v>
      </c>
      <c r="J222" t="n">
        <v>0</v>
      </c>
      <c r="K222" t="n">
        <v>0</v>
      </c>
      <c r="L222" t="n">
        <v>0</v>
      </c>
      <c r="M222" t="n">
        <v>0</v>
      </c>
      <c r="N222" t="n">
        <v>0</v>
      </c>
      <c r="O222" t="n">
        <v>0</v>
      </c>
      <c r="P222" t="n">
        <v>0</v>
      </c>
      <c r="Q222" t="n">
        <v>0</v>
      </c>
      <c r="R222" s="2" t="inlineStr"/>
    </row>
    <row r="223" ht="15" customHeight="1">
      <c r="A223" t="inlineStr">
        <is>
          <t>A 43070-2025</t>
        </is>
      </c>
      <c r="B223" s="1" t="n">
        <v>45909.59554398148</v>
      </c>
      <c r="C223" s="1" t="n">
        <v>46180</v>
      </c>
      <c r="D223" t="inlineStr">
        <is>
          <t>NORRBOTTENS LÄN</t>
        </is>
      </c>
      <c r="E223" t="inlineStr">
        <is>
          <t>GÄLLIVARE</t>
        </is>
      </c>
      <c r="G223" t="n">
        <v>24.5</v>
      </c>
      <c r="H223" t="n">
        <v>0</v>
      </c>
      <c r="I223" t="n">
        <v>0</v>
      </c>
      <c r="J223" t="n">
        <v>0</v>
      </c>
      <c r="K223" t="n">
        <v>0</v>
      </c>
      <c r="L223" t="n">
        <v>0</v>
      </c>
      <c r="M223" t="n">
        <v>0</v>
      </c>
      <c r="N223" t="n">
        <v>0</v>
      </c>
      <c r="O223" t="n">
        <v>0</v>
      </c>
      <c r="P223" t="n">
        <v>0</v>
      </c>
      <c r="Q223" t="n">
        <v>0</v>
      </c>
      <c r="R223" s="2" t="inlineStr"/>
    </row>
    <row r="224" ht="15" customHeight="1">
      <c r="A224" t="inlineStr">
        <is>
          <t>A 28580-2025</t>
        </is>
      </c>
      <c r="B224" s="1" t="n">
        <v>45819.57340277778</v>
      </c>
      <c r="C224" s="1" t="n">
        <v>46180</v>
      </c>
      <c r="D224" t="inlineStr">
        <is>
          <t>NORRBOTTENS LÄN</t>
        </is>
      </c>
      <c r="E224" t="inlineStr">
        <is>
          <t>GÄLLIVARE</t>
        </is>
      </c>
      <c r="G224" t="n">
        <v>11.9</v>
      </c>
      <c r="H224" t="n">
        <v>0</v>
      </c>
      <c r="I224" t="n">
        <v>0</v>
      </c>
      <c r="J224" t="n">
        <v>0</v>
      </c>
      <c r="K224" t="n">
        <v>0</v>
      </c>
      <c r="L224" t="n">
        <v>0</v>
      </c>
      <c r="M224" t="n">
        <v>0</v>
      </c>
      <c r="N224" t="n">
        <v>0</v>
      </c>
      <c r="O224" t="n">
        <v>0</v>
      </c>
      <c r="P224" t="n">
        <v>0</v>
      </c>
      <c r="Q224" t="n">
        <v>0</v>
      </c>
      <c r="R224" s="2" t="inlineStr"/>
    </row>
    <row r="225" ht="15" customHeight="1">
      <c r="A225" t="inlineStr">
        <is>
          <t>A 43813-2025</t>
        </is>
      </c>
      <c r="B225" s="1" t="n">
        <v>45912.59456018519</v>
      </c>
      <c r="C225" s="1" t="n">
        <v>46180</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43816-2025</t>
        </is>
      </c>
      <c r="B226" s="1" t="n">
        <v>45912.59518518519</v>
      </c>
      <c r="C226" s="1" t="n">
        <v>46180</v>
      </c>
      <c r="D226" t="inlineStr">
        <is>
          <t>NORRBOTTENS LÄN</t>
        </is>
      </c>
      <c r="E226" t="inlineStr">
        <is>
          <t>GÄLLIVARE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36246-2023</t>
        </is>
      </c>
      <c r="B227" s="1" t="n">
        <v>45150</v>
      </c>
      <c r="C227" s="1" t="n">
        <v>46180</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58776-2022</t>
        </is>
      </c>
      <c r="B228" s="1" t="n">
        <v>44895</v>
      </c>
      <c r="C228" s="1" t="n">
        <v>46180</v>
      </c>
      <c r="D228" t="inlineStr">
        <is>
          <t>NORRBOTTENS LÄN</t>
        </is>
      </c>
      <c r="E228" t="inlineStr">
        <is>
          <t>GÄLLIVARE</t>
        </is>
      </c>
      <c r="G228" t="n">
        <v>12.1</v>
      </c>
      <c r="H228" t="n">
        <v>0</v>
      </c>
      <c r="I228" t="n">
        <v>0</v>
      </c>
      <c r="J228" t="n">
        <v>0</v>
      </c>
      <c r="K228" t="n">
        <v>0</v>
      </c>
      <c r="L228" t="n">
        <v>0</v>
      </c>
      <c r="M228" t="n">
        <v>0</v>
      </c>
      <c r="N228" t="n">
        <v>0</v>
      </c>
      <c r="O228" t="n">
        <v>0</v>
      </c>
      <c r="P228" t="n">
        <v>0</v>
      </c>
      <c r="Q228" t="n">
        <v>0</v>
      </c>
      <c r="R228" s="2" t="inlineStr"/>
    </row>
    <row r="229" ht="15" customHeight="1">
      <c r="A229" t="inlineStr">
        <is>
          <t>A 29383-2025</t>
        </is>
      </c>
      <c r="B229" s="1" t="n">
        <v>45824</v>
      </c>
      <c r="C229" s="1" t="n">
        <v>46180</v>
      </c>
      <c r="D229" t="inlineStr">
        <is>
          <t>NORRBOTTENS LÄN</t>
        </is>
      </c>
      <c r="E229" t="inlineStr">
        <is>
          <t>GÄLLIVARE</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29481-2025</t>
        </is>
      </c>
      <c r="B230" s="1" t="n">
        <v>45824</v>
      </c>
      <c r="C230" s="1" t="n">
        <v>46180</v>
      </c>
      <c r="D230" t="inlineStr">
        <is>
          <t>NORRBOTTENS LÄN</t>
        </is>
      </c>
      <c r="E230" t="inlineStr">
        <is>
          <t>GÄLLIVARE</t>
        </is>
      </c>
      <c r="F230" t="inlineStr">
        <is>
          <t>Allmännings- och besparingsskogar</t>
        </is>
      </c>
      <c r="G230" t="n">
        <v>4.5</v>
      </c>
      <c r="H230" t="n">
        <v>0</v>
      </c>
      <c r="I230" t="n">
        <v>0</v>
      </c>
      <c r="J230" t="n">
        <v>0</v>
      </c>
      <c r="K230" t="n">
        <v>0</v>
      </c>
      <c r="L230" t="n">
        <v>0</v>
      </c>
      <c r="M230" t="n">
        <v>0</v>
      </c>
      <c r="N230" t="n">
        <v>0</v>
      </c>
      <c r="O230" t="n">
        <v>0</v>
      </c>
      <c r="P230" t="n">
        <v>0</v>
      </c>
      <c r="Q230" t="n">
        <v>0</v>
      </c>
      <c r="R230" s="2" t="inlineStr"/>
    </row>
    <row r="231" ht="15" customHeight="1">
      <c r="A231" t="inlineStr">
        <is>
          <t>A 29478-2025</t>
        </is>
      </c>
      <c r="B231" s="1" t="n">
        <v>45824</v>
      </c>
      <c r="C231" s="1" t="n">
        <v>46180</v>
      </c>
      <c r="D231" t="inlineStr">
        <is>
          <t>NORRBOTTENS LÄN</t>
        </is>
      </c>
      <c r="E231" t="inlineStr">
        <is>
          <t>GÄLLIVARE</t>
        </is>
      </c>
      <c r="F231" t="inlineStr">
        <is>
          <t>Allmännings- och besparingsskogar</t>
        </is>
      </c>
      <c r="G231" t="n">
        <v>6.1</v>
      </c>
      <c r="H231" t="n">
        <v>0</v>
      </c>
      <c r="I231" t="n">
        <v>0</v>
      </c>
      <c r="J231" t="n">
        <v>0</v>
      </c>
      <c r="K231" t="n">
        <v>0</v>
      </c>
      <c r="L231" t="n">
        <v>0</v>
      </c>
      <c r="M231" t="n">
        <v>0</v>
      </c>
      <c r="N231" t="n">
        <v>0</v>
      </c>
      <c r="O231" t="n">
        <v>0</v>
      </c>
      <c r="P231" t="n">
        <v>0</v>
      </c>
      <c r="Q231" t="n">
        <v>0</v>
      </c>
      <c r="R231" s="2" t="inlineStr"/>
    </row>
    <row r="232" ht="15" customHeight="1">
      <c r="A232" t="inlineStr">
        <is>
          <t>A 29476-2025</t>
        </is>
      </c>
      <c r="B232" s="1" t="n">
        <v>45824</v>
      </c>
      <c r="C232" s="1" t="n">
        <v>46180</v>
      </c>
      <c r="D232" t="inlineStr">
        <is>
          <t>NORRBOTTENS LÄN</t>
        </is>
      </c>
      <c r="E232" t="inlineStr">
        <is>
          <t>GÄLLIVARE</t>
        </is>
      </c>
      <c r="F232" t="inlineStr">
        <is>
          <t>Allmännings- och besparingsskogar</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4185-2023</t>
        </is>
      </c>
      <c r="B233" s="1" t="n">
        <v>44953</v>
      </c>
      <c r="C233" s="1" t="n">
        <v>46180</v>
      </c>
      <c r="D233" t="inlineStr">
        <is>
          <t>NORRBOTTENS LÄN</t>
        </is>
      </c>
      <c r="E233" t="inlineStr">
        <is>
          <t>GÄLLIVARE</t>
        </is>
      </c>
      <c r="G233" t="n">
        <v>2.7</v>
      </c>
      <c r="H233" t="n">
        <v>0</v>
      </c>
      <c r="I233" t="n">
        <v>0</v>
      </c>
      <c r="J233" t="n">
        <v>0</v>
      </c>
      <c r="K233" t="n">
        <v>0</v>
      </c>
      <c r="L233" t="n">
        <v>0</v>
      </c>
      <c r="M233" t="n">
        <v>0</v>
      </c>
      <c r="N233" t="n">
        <v>0</v>
      </c>
      <c r="O233" t="n">
        <v>0</v>
      </c>
      <c r="P233" t="n">
        <v>0</v>
      </c>
      <c r="Q233" t="n">
        <v>0</v>
      </c>
      <c r="R233" s="2" t="inlineStr"/>
    </row>
    <row r="234" ht="15" customHeight="1">
      <c r="A234" t="inlineStr">
        <is>
          <t>A 29841-2025</t>
        </is>
      </c>
      <c r="B234" s="1" t="n">
        <v>45826.30746527778</v>
      </c>
      <c r="C234" s="1" t="n">
        <v>46180</v>
      </c>
      <c r="D234" t="inlineStr">
        <is>
          <t>NORRBOTTENS LÄN</t>
        </is>
      </c>
      <c r="E234" t="inlineStr">
        <is>
          <t>GÄLLIVARE</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41713-2024</t>
        </is>
      </c>
      <c r="B235" s="1" t="n">
        <v>45560.71907407408</v>
      </c>
      <c r="C235" s="1" t="n">
        <v>46180</v>
      </c>
      <c r="D235" t="inlineStr">
        <is>
          <t>NORRBOTTENS LÄN</t>
        </is>
      </c>
      <c r="E235" t="inlineStr">
        <is>
          <t>GÄLLIVARE</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46180</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30030-2025</t>
        </is>
      </c>
      <c r="B237" s="1" t="n">
        <v>45826.56829861111</v>
      </c>
      <c r="C237" s="1" t="n">
        <v>46180</v>
      </c>
      <c r="D237" t="inlineStr">
        <is>
          <t>NORRBOTTENS LÄN</t>
        </is>
      </c>
      <c r="E237" t="inlineStr">
        <is>
          <t>GÄLLIVARE</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46180</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5709-2023</t>
        </is>
      </c>
      <c r="B239" s="1" t="n">
        <v>44960</v>
      </c>
      <c r="C239" s="1" t="n">
        <v>46180</v>
      </c>
      <c r="D239" t="inlineStr">
        <is>
          <t>NORRBOTTENS LÄN</t>
        </is>
      </c>
      <c r="E239" t="inlineStr">
        <is>
          <t>GÄLLIVARE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49877-2023</t>
        </is>
      </c>
      <c r="B240" s="1" t="n">
        <v>45212.95590277778</v>
      </c>
      <c r="C240" s="1" t="n">
        <v>46180</v>
      </c>
      <c r="D240" t="inlineStr">
        <is>
          <t>NORRBOTTENS LÄN</t>
        </is>
      </c>
      <c r="E240" t="inlineStr">
        <is>
          <t>GÄLLIVARE</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46180</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44449-2025</t>
        </is>
      </c>
      <c r="B242" s="1" t="n">
        <v>45916</v>
      </c>
      <c r="C242" s="1" t="n">
        <v>46180</v>
      </c>
      <c r="D242" t="inlineStr">
        <is>
          <t>NORRBOTTENS LÄN</t>
        </is>
      </c>
      <c r="E242" t="inlineStr">
        <is>
          <t>GÄLLIVARE</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39060-2024</t>
        </is>
      </c>
      <c r="B243" s="1" t="n">
        <v>45548</v>
      </c>
      <c r="C243" s="1" t="n">
        <v>46180</v>
      </c>
      <c r="D243" t="inlineStr">
        <is>
          <t>NORRBOTTENS LÄN</t>
        </is>
      </c>
      <c r="E243" t="inlineStr">
        <is>
          <t>GÄLLIVARE</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30253-2025</t>
        </is>
      </c>
      <c r="B244" s="1" t="n">
        <v>45827.4234375</v>
      </c>
      <c r="C244" s="1" t="n">
        <v>46180</v>
      </c>
      <c r="D244" t="inlineStr">
        <is>
          <t>NORRBOTTENS LÄN</t>
        </is>
      </c>
      <c r="E244" t="inlineStr">
        <is>
          <t>GÄLLIVARE</t>
        </is>
      </c>
      <c r="F244" t="inlineStr">
        <is>
          <t>Sveaskog</t>
        </is>
      </c>
      <c r="G244" t="n">
        <v>25.6</v>
      </c>
      <c r="H244" t="n">
        <v>0</v>
      </c>
      <c r="I244" t="n">
        <v>0</v>
      </c>
      <c r="J244" t="n">
        <v>0</v>
      </c>
      <c r="K244" t="n">
        <v>0</v>
      </c>
      <c r="L244" t="n">
        <v>0</v>
      </c>
      <c r="M244" t="n">
        <v>0</v>
      </c>
      <c r="N244" t="n">
        <v>0</v>
      </c>
      <c r="O244" t="n">
        <v>0</v>
      </c>
      <c r="P244" t="n">
        <v>0</v>
      </c>
      <c r="Q244" t="n">
        <v>0</v>
      </c>
      <c r="R244" s="2" t="inlineStr"/>
    </row>
    <row r="245" ht="15" customHeight="1">
      <c r="A245" t="inlineStr">
        <is>
          <t>A 30305-2025</t>
        </is>
      </c>
      <c r="B245" s="1" t="n">
        <v>45827.48145833334</v>
      </c>
      <c r="C245" s="1" t="n">
        <v>46180</v>
      </c>
      <c r="D245" t="inlineStr">
        <is>
          <t>NORRBOTTENS LÄN</t>
        </is>
      </c>
      <c r="E245" t="inlineStr">
        <is>
          <t>GÄLLIVARE</t>
        </is>
      </c>
      <c r="F245" t="inlineStr">
        <is>
          <t>Sveaskog</t>
        </is>
      </c>
      <c r="G245" t="n">
        <v>33.6</v>
      </c>
      <c r="H245" t="n">
        <v>0</v>
      </c>
      <c r="I245" t="n">
        <v>0</v>
      </c>
      <c r="J245" t="n">
        <v>0</v>
      </c>
      <c r="K245" t="n">
        <v>0</v>
      </c>
      <c r="L245" t="n">
        <v>0</v>
      </c>
      <c r="M245" t="n">
        <v>0</v>
      </c>
      <c r="N245" t="n">
        <v>0</v>
      </c>
      <c r="O245" t="n">
        <v>0</v>
      </c>
      <c r="P245" t="n">
        <v>0</v>
      </c>
      <c r="Q245" t="n">
        <v>0</v>
      </c>
      <c r="R245" s="2" t="inlineStr"/>
    </row>
    <row r="246" ht="15" customHeight="1">
      <c r="A246" t="inlineStr">
        <is>
          <t>A 30476-2025</t>
        </is>
      </c>
      <c r="B246" s="1" t="n">
        <v>45828</v>
      </c>
      <c r="C246" s="1" t="n">
        <v>46180</v>
      </c>
      <c r="D246" t="inlineStr">
        <is>
          <t>NORRBOTTENS LÄN</t>
        </is>
      </c>
      <c r="E246" t="inlineStr">
        <is>
          <t>GÄLLIVARE</t>
        </is>
      </c>
      <c r="G246" t="n">
        <v>8.1</v>
      </c>
      <c r="H246" t="n">
        <v>0</v>
      </c>
      <c r="I246" t="n">
        <v>0</v>
      </c>
      <c r="J246" t="n">
        <v>0</v>
      </c>
      <c r="K246" t="n">
        <v>0</v>
      </c>
      <c r="L246" t="n">
        <v>0</v>
      </c>
      <c r="M246" t="n">
        <v>0</v>
      </c>
      <c r="N246" t="n">
        <v>0</v>
      </c>
      <c r="O246" t="n">
        <v>0</v>
      </c>
      <c r="P246" t="n">
        <v>0</v>
      </c>
      <c r="Q246" t="n">
        <v>0</v>
      </c>
      <c r="R246" s="2" t="inlineStr"/>
    </row>
    <row r="247" ht="15" customHeight="1">
      <c r="A247" t="inlineStr">
        <is>
          <t>A 44373-2025</t>
        </is>
      </c>
      <c r="B247" s="1" t="n">
        <v>45916.46555555556</v>
      </c>
      <c r="C247" s="1" t="n">
        <v>46180</v>
      </c>
      <c r="D247" t="inlineStr">
        <is>
          <t>NORRBOTTENS LÄN</t>
        </is>
      </c>
      <c r="E247" t="inlineStr">
        <is>
          <t>GÄLLIVARE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44440-2025</t>
        </is>
      </c>
      <c r="B248" s="1" t="n">
        <v>45916.58972222222</v>
      </c>
      <c r="C248" s="1" t="n">
        <v>46180</v>
      </c>
      <c r="D248" t="inlineStr">
        <is>
          <t>NORRBOTTENS LÄN</t>
        </is>
      </c>
      <c r="E248" t="inlineStr">
        <is>
          <t>GÄLLIVARE</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43672-2025</t>
        </is>
      </c>
      <c r="B249" s="1" t="n">
        <v>45912</v>
      </c>
      <c r="C249" s="1" t="n">
        <v>46180</v>
      </c>
      <c r="D249" t="inlineStr">
        <is>
          <t>NORRBOTTENS LÄN</t>
        </is>
      </c>
      <c r="E249" t="inlineStr">
        <is>
          <t>GÄLLIVARE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31097-2025</t>
        </is>
      </c>
      <c r="B250" s="1" t="n">
        <v>45832.59638888889</v>
      </c>
      <c r="C250" s="1" t="n">
        <v>46180</v>
      </c>
      <c r="D250" t="inlineStr">
        <is>
          <t>NORRBOTTENS LÄN</t>
        </is>
      </c>
      <c r="E250" t="inlineStr">
        <is>
          <t>GÄLLIVARE</t>
        </is>
      </c>
      <c r="G250" t="n">
        <v>6.6</v>
      </c>
      <c r="H250" t="n">
        <v>0</v>
      </c>
      <c r="I250" t="n">
        <v>0</v>
      </c>
      <c r="J250" t="n">
        <v>0</v>
      </c>
      <c r="K250" t="n">
        <v>0</v>
      </c>
      <c r="L250" t="n">
        <v>0</v>
      </c>
      <c r="M250" t="n">
        <v>0</v>
      </c>
      <c r="N250" t="n">
        <v>0</v>
      </c>
      <c r="O250" t="n">
        <v>0</v>
      </c>
      <c r="P250" t="n">
        <v>0</v>
      </c>
      <c r="Q250" t="n">
        <v>0</v>
      </c>
      <c r="R250" s="2" t="inlineStr"/>
    </row>
    <row r="251" ht="15" customHeight="1">
      <c r="A251" t="inlineStr">
        <is>
          <t>A 31652-2025</t>
        </is>
      </c>
      <c r="B251" s="1" t="n">
        <v>45834</v>
      </c>
      <c r="C251" s="1" t="n">
        <v>46180</v>
      </c>
      <c r="D251" t="inlineStr">
        <is>
          <t>NORRBOTTENS LÄN</t>
        </is>
      </c>
      <c r="E251" t="inlineStr">
        <is>
          <t>GÄLLIVARE</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55034-2023</t>
        </is>
      </c>
      <c r="B252" s="1" t="n">
        <v>45237</v>
      </c>
      <c r="C252" s="1" t="n">
        <v>46180</v>
      </c>
      <c r="D252" t="inlineStr">
        <is>
          <t>NORRBOTTENS LÄN</t>
        </is>
      </c>
      <c r="E252" t="inlineStr">
        <is>
          <t>GÄLLIVARE</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45387-2025</t>
        </is>
      </c>
      <c r="B253" s="1" t="n">
        <v>45922</v>
      </c>
      <c r="C253" s="1" t="n">
        <v>46180</v>
      </c>
      <c r="D253" t="inlineStr">
        <is>
          <t>NORRBOTTENS LÄN</t>
        </is>
      </c>
      <c r="E253" t="inlineStr">
        <is>
          <t>GÄLLIVARE</t>
        </is>
      </c>
      <c r="F253" t="inlineStr">
        <is>
          <t>SCA</t>
        </is>
      </c>
      <c r="G253" t="n">
        <v>28.4</v>
      </c>
      <c r="H253" t="n">
        <v>0</v>
      </c>
      <c r="I253" t="n">
        <v>0</v>
      </c>
      <c r="J253" t="n">
        <v>0</v>
      </c>
      <c r="K253" t="n">
        <v>0</v>
      </c>
      <c r="L253" t="n">
        <v>0</v>
      </c>
      <c r="M253" t="n">
        <v>0</v>
      </c>
      <c r="N253" t="n">
        <v>0</v>
      </c>
      <c r="O253" t="n">
        <v>0</v>
      </c>
      <c r="P253" t="n">
        <v>0</v>
      </c>
      <c r="Q253" t="n">
        <v>0</v>
      </c>
      <c r="R253" s="2" t="inlineStr"/>
    </row>
    <row r="254" ht="15" customHeight="1">
      <c r="A254" t="inlineStr">
        <is>
          <t>A 31647-2025</t>
        </is>
      </c>
      <c r="B254" s="1" t="n">
        <v>45834.34582175926</v>
      </c>
      <c r="C254" s="1" t="n">
        <v>46180</v>
      </c>
      <c r="D254" t="inlineStr">
        <is>
          <t>NORRBOTTENS LÄN</t>
        </is>
      </c>
      <c r="E254" t="inlineStr">
        <is>
          <t>GÄLLIVARE</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31643-2025</t>
        </is>
      </c>
      <c r="B255" s="1" t="n">
        <v>45834.34496527778</v>
      </c>
      <c r="C255" s="1" t="n">
        <v>46180</v>
      </c>
      <c r="D255" t="inlineStr">
        <is>
          <t>NORRBOTTENS LÄN</t>
        </is>
      </c>
      <c r="E255" t="inlineStr">
        <is>
          <t>GÄLLIVARE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31644-2025</t>
        </is>
      </c>
      <c r="B256" s="1" t="n">
        <v>45834.34519675926</v>
      </c>
      <c r="C256" s="1" t="n">
        <v>46180</v>
      </c>
      <c r="D256" t="inlineStr">
        <is>
          <t>NORRBOTTENS LÄN</t>
        </is>
      </c>
      <c r="E256" t="inlineStr">
        <is>
          <t>GÄLLIVARE</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31648-2025</t>
        </is>
      </c>
      <c r="B257" s="1" t="n">
        <v>45834</v>
      </c>
      <c r="C257" s="1" t="n">
        <v>46180</v>
      </c>
      <c r="D257" t="inlineStr">
        <is>
          <t>NORRBOTTENS LÄN</t>
        </is>
      </c>
      <c r="E257" t="inlineStr">
        <is>
          <t>GÄLLIVARE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31650-2025</t>
        </is>
      </c>
      <c r="B258" s="1" t="n">
        <v>45834.3466087963</v>
      </c>
      <c r="C258" s="1" t="n">
        <v>46180</v>
      </c>
      <c r="D258" t="inlineStr">
        <is>
          <t>NORRBOTTENS LÄN</t>
        </is>
      </c>
      <c r="E258" t="inlineStr">
        <is>
          <t>GÄLLIVARE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31653-2025</t>
        </is>
      </c>
      <c r="B259" s="1" t="n">
        <v>45834.34711805556</v>
      </c>
      <c r="C259" s="1" t="n">
        <v>46180</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31430-2025</t>
        </is>
      </c>
      <c r="B260" s="1" t="n">
        <v>45833.49342592592</v>
      </c>
      <c r="C260" s="1" t="n">
        <v>46180</v>
      </c>
      <c r="D260" t="inlineStr">
        <is>
          <t>NORRBOTTENS LÄN</t>
        </is>
      </c>
      <c r="E260" t="inlineStr">
        <is>
          <t>GÄLLIVARE</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31436-2025</t>
        </is>
      </c>
      <c r="B261" s="1" t="n">
        <v>45833.49737268518</v>
      </c>
      <c r="C261" s="1" t="n">
        <v>46180</v>
      </c>
      <c r="D261" t="inlineStr">
        <is>
          <t>NORRBOTTENS LÄN</t>
        </is>
      </c>
      <c r="E261" t="inlineStr">
        <is>
          <t>GÄLLIVARE</t>
        </is>
      </c>
      <c r="F261" t="inlineStr">
        <is>
          <t>Sveaskog</t>
        </is>
      </c>
      <c r="G261" t="n">
        <v>3.6</v>
      </c>
      <c r="H261" t="n">
        <v>0</v>
      </c>
      <c r="I261" t="n">
        <v>0</v>
      </c>
      <c r="J261" t="n">
        <v>0</v>
      </c>
      <c r="K261" t="n">
        <v>0</v>
      </c>
      <c r="L261" t="n">
        <v>0</v>
      </c>
      <c r="M261" t="n">
        <v>0</v>
      </c>
      <c r="N261" t="n">
        <v>0</v>
      </c>
      <c r="O261" t="n">
        <v>0</v>
      </c>
      <c r="P261" t="n">
        <v>0</v>
      </c>
      <c r="Q261" t="n">
        <v>0</v>
      </c>
      <c r="R261" s="2" t="inlineStr"/>
    </row>
    <row r="262" ht="15" customHeight="1">
      <c r="A262" t="inlineStr">
        <is>
          <t>A 31553-2025</t>
        </is>
      </c>
      <c r="B262" s="1" t="n">
        <v>45833</v>
      </c>
      <c r="C262" s="1" t="n">
        <v>46180</v>
      </c>
      <c r="D262" t="inlineStr">
        <is>
          <t>NORRBOTTENS LÄN</t>
        </is>
      </c>
      <c r="E262" t="inlineStr">
        <is>
          <t>GÄLLIVARE</t>
        </is>
      </c>
      <c r="F262" t="inlineStr">
        <is>
          <t>Allmännings- och besparingsskogar</t>
        </is>
      </c>
      <c r="G262" t="n">
        <v>40.8</v>
      </c>
      <c r="H262" t="n">
        <v>0</v>
      </c>
      <c r="I262" t="n">
        <v>0</v>
      </c>
      <c r="J262" t="n">
        <v>0</v>
      </c>
      <c r="K262" t="n">
        <v>0</v>
      </c>
      <c r="L262" t="n">
        <v>0</v>
      </c>
      <c r="M262" t="n">
        <v>0</v>
      </c>
      <c r="N262" t="n">
        <v>0</v>
      </c>
      <c r="O262" t="n">
        <v>0</v>
      </c>
      <c r="P262" t="n">
        <v>0</v>
      </c>
      <c r="Q262" t="n">
        <v>0</v>
      </c>
      <c r="R262" s="2" t="inlineStr"/>
    </row>
    <row r="263" ht="15" customHeight="1">
      <c r="A263" t="inlineStr">
        <is>
          <t>A 50095-2024</t>
        </is>
      </c>
      <c r="B263" s="1" t="n">
        <v>45600</v>
      </c>
      <c r="C263" s="1" t="n">
        <v>46180</v>
      </c>
      <c r="D263" t="inlineStr">
        <is>
          <t>NORRBOTTENS LÄN</t>
        </is>
      </c>
      <c r="E263" t="inlineStr">
        <is>
          <t>GÄLLIVARE</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27050-2022</t>
        </is>
      </c>
      <c r="B264" s="1" t="n">
        <v>44741</v>
      </c>
      <c r="C264" s="1" t="n">
        <v>46180</v>
      </c>
      <c r="D264" t="inlineStr">
        <is>
          <t>NORRBOTTENS LÄN</t>
        </is>
      </c>
      <c r="E264" t="inlineStr">
        <is>
          <t>GÄLLIVARE</t>
        </is>
      </c>
      <c r="F264" t="inlineStr">
        <is>
          <t>Övriga Aktiebolag</t>
        </is>
      </c>
      <c r="G264" t="n">
        <v>2.8</v>
      </c>
      <c r="H264" t="n">
        <v>0</v>
      </c>
      <c r="I264" t="n">
        <v>0</v>
      </c>
      <c r="J264" t="n">
        <v>0</v>
      </c>
      <c r="K264" t="n">
        <v>0</v>
      </c>
      <c r="L264" t="n">
        <v>0</v>
      </c>
      <c r="M264" t="n">
        <v>0</v>
      </c>
      <c r="N264" t="n">
        <v>0</v>
      </c>
      <c r="O264" t="n">
        <v>0</v>
      </c>
      <c r="P264" t="n">
        <v>0</v>
      </c>
      <c r="Q264" t="n">
        <v>0</v>
      </c>
      <c r="R264" s="2" t="inlineStr"/>
    </row>
    <row r="265" ht="15" customHeight="1">
      <c r="A265" t="inlineStr">
        <is>
          <t>A 46318-2025</t>
        </is>
      </c>
      <c r="B265" s="1" t="n">
        <v>45925</v>
      </c>
      <c r="C265" s="1" t="n">
        <v>46180</v>
      </c>
      <c r="D265" t="inlineStr">
        <is>
          <t>NORRBOTTENS LÄN</t>
        </is>
      </c>
      <c r="E265" t="inlineStr">
        <is>
          <t>GÄLLIVARE</t>
        </is>
      </c>
      <c r="G265" t="n">
        <v>10.2</v>
      </c>
      <c r="H265" t="n">
        <v>0</v>
      </c>
      <c r="I265" t="n">
        <v>0</v>
      </c>
      <c r="J265" t="n">
        <v>0</v>
      </c>
      <c r="K265" t="n">
        <v>0</v>
      </c>
      <c r="L265" t="n">
        <v>0</v>
      </c>
      <c r="M265" t="n">
        <v>0</v>
      </c>
      <c r="N265" t="n">
        <v>0</v>
      </c>
      <c r="O265" t="n">
        <v>0</v>
      </c>
      <c r="P265" t="n">
        <v>0</v>
      </c>
      <c r="Q265" t="n">
        <v>0</v>
      </c>
      <c r="R265" s="2" t="inlineStr"/>
    </row>
    <row r="266" ht="15" customHeight="1">
      <c r="A266" t="inlineStr">
        <is>
          <t>A 45026-2023</t>
        </is>
      </c>
      <c r="B266" s="1" t="n">
        <v>45190.96262731482</v>
      </c>
      <c r="C266" s="1" t="n">
        <v>46180</v>
      </c>
      <c r="D266" t="inlineStr">
        <is>
          <t>NORRBOTTENS LÄN</t>
        </is>
      </c>
      <c r="E266" t="inlineStr">
        <is>
          <t>GÄLLIVARE</t>
        </is>
      </c>
      <c r="F266" t="inlineStr">
        <is>
          <t>SCA</t>
        </is>
      </c>
      <c r="G266" t="n">
        <v>12.6</v>
      </c>
      <c r="H266" t="n">
        <v>0</v>
      </c>
      <c r="I266" t="n">
        <v>0</v>
      </c>
      <c r="J266" t="n">
        <v>0</v>
      </c>
      <c r="K266" t="n">
        <v>0</v>
      </c>
      <c r="L266" t="n">
        <v>0</v>
      </c>
      <c r="M266" t="n">
        <v>0</v>
      </c>
      <c r="N266" t="n">
        <v>0</v>
      </c>
      <c r="O266" t="n">
        <v>0</v>
      </c>
      <c r="P266" t="n">
        <v>0</v>
      </c>
      <c r="Q266" t="n">
        <v>0</v>
      </c>
      <c r="R266" s="2" t="inlineStr"/>
    </row>
    <row r="267" ht="15" customHeight="1">
      <c r="A267" t="inlineStr">
        <is>
          <t>A 30781-2023</t>
        </is>
      </c>
      <c r="B267" s="1" t="n">
        <v>45112</v>
      </c>
      <c r="C267" s="1" t="n">
        <v>46180</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46418-2025</t>
        </is>
      </c>
      <c r="B268" s="1" t="n">
        <v>45925.59481481482</v>
      </c>
      <c r="C268" s="1" t="n">
        <v>46180</v>
      </c>
      <c r="D268" t="inlineStr">
        <is>
          <t>NORRBOTTENS LÄN</t>
        </is>
      </c>
      <c r="E268" t="inlineStr">
        <is>
          <t>GÄLLIVARE</t>
        </is>
      </c>
      <c r="F268" t="inlineStr">
        <is>
          <t>SCA</t>
        </is>
      </c>
      <c r="G268" t="n">
        <v>8.4</v>
      </c>
      <c r="H268" t="n">
        <v>0</v>
      </c>
      <c r="I268" t="n">
        <v>0</v>
      </c>
      <c r="J268" t="n">
        <v>0</v>
      </c>
      <c r="K268" t="n">
        <v>0</v>
      </c>
      <c r="L268" t="n">
        <v>0</v>
      </c>
      <c r="M268" t="n">
        <v>0</v>
      </c>
      <c r="N268" t="n">
        <v>0</v>
      </c>
      <c r="O268" t="n">
        <v>0</v>
      </c>
      <c r="P268" t="n">
        <v>0</v>
      </c>
      <c r="Q268" t="n">
        <v>0</v>
      </c>
      <c r="R268" s="2" t="inlineStr"/>
    </row>
    <row r="269" ht="15" customHeight="1">
      <c r="A269" t="inlineStr">
        <is>
          <t>A 33226-2025</t>
        </is>
      </c>
      <c r="B269" s="1" t="n">
        <v>45840.63622685185</v>
      </c>
      <c r="C269" s="1" t="n">
        <v>46180</v>
      </c>
      <c r="D269" t="inlineStr">
        <is>
          <t>NORRBOTTENS LÄN</t>
        </is>
      </c>
      <c r="E269" t="inlineStr">
        <is>
          <t>GÄLLIVARE</t>
        </is>
      </c>
      <c r="F269" t="inlineStr">
        <is>
          <t>SCA</t>
        </is>
      </c>
      <c r="G269" t="n">
        <v>10.8</v>
      </c>
      <c r="H269" t="n">
        <v>0</v>
      </c>
      <c r="I269" t="n">
        <v>0</v>
      </c>
      <c r="J269" t="n">
        <v>0</v>
      </c>
      <c r="K269" t="n">
        <v>0</v>
      </c>
      <c r="L269" t="n">
        <v>0</v>
      </c>
      <c r="M269" t="n">
        <v>0</v>
      </c>
      <c r="N269" t="n">
        <v>0</v>
      </c>
      <c r="O269" t="n">
        <v>0</v>
      </c>
      <c r="P269" t="n">
        <v>0</v>
      </c>
      <c r="Q269" t="n">
        <v>0</v>
      </c>
      <c r="R269" s="2" t="inlineStr"/>
    </row>
    <row r="270" ht="15" customHeight="1">
      <c r="A270" t="inlineStr">
        <is>
          <t>A 46386-2025</t>
        </is>
      </c>
      <c r="B270" s="1" t="n">
        <v>45925.53197916667</v>
      </c>
      <c r="C270" s="1" t="n">
        <v>46180</v>
      </c>
      <c r="D270" t="inlineStr">
        <is>
          <t>NORRBOTTENS LÄN</t>
        </is>
      </c>
      <c r="E270" t="inlineStr">
        <is>
          <t>GÄLLIVARE</t>
        </is>
      </c>
      <c r="F270" t="inlineStr">
        <is>
          <t>SCA</t>
        </is>
      </c>
      <c r="G270" t="n">
        <v>7.3</v>
      </c>
      <c r="H270" t="n">
        <v>0</v>
      </c>
      <c r="I270" t="n">
        <v>0</v>
      </c>
      <c r="J270" t="n">
        <v>0</v>
      </c>
      <c r="K270" t="n">
        <v>0</v>
      </c>
      <c r="L270" t="n">
        <v>0</v>
      </c>
      <c r="M270" t="n">
        <v>0</v>
      </c>
      <c r="N270" t="n">
        <v>0</v>
      </c>
      <c r="O270" t="n">
        <v>0</v>
      </c>
      <c r="P270" t="n">
        <v>0</v>
      </c>
      <c r="Q270" t="n">
        <v>0</v>
      </c>
      <c r="R270" s="2" t="inlineStr"/>
    </row>
    <row r="271" ht="15" customHeight="1">
      <c r="A271" t="inlineStr">
        <is>
          <t>A 47208-2025</t>
        </is>
      </c>
      <c r="B271" s="1" t="n">
        <v>45930.37351851852</v>
      </c>
      <c r="C271" s="1" t="n">
        <v>46180</v>
      </c>
      <c r="D271" t="inlineStr">
        <is>
          <t>NORRBOTTENS LÄN</t>
        </is>
      </c>
      <c r="E271" t="inlineStr">
        <is>
          <t>GÄLLIVARE</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47205-2025</t>
        </is>
      </c>
      <c r="B272" s="1" t="n">
        <v>45930.36988425926</v>
      </c>
      <c r="C272" s="1" t="n">
        <v>46180</v>
      </c>
      <c r="D272" t="inlineStr">
        <is>
          <t>NORRBOTTENS LÄN</t>
        </is>
      </c>
      <c r="E272" t="inlineStr">
        <is>
          <t>GÄLLIVARE</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25467-2024</t>
        </is>
      </c>
      <c r="B273" s="1" t="n">
        <v>45463</v>
      </c>
      <c r="C273" s="1" t="n">
        <v>46180</v>
      </c>
      <c r="D273" t="inlineStr">
        <is>
          <t>NORRBOTTENS LÄN</t>
        </is>
      </c>
      <c r="E273" t="inlineStr">
        <is>
          <t>GÄLLIVARE</t>
        </is>
      </c>
      <c r="G273" t="n">
        <v>3</v>
      </c>
      <c r="H273" t="n">
        <v>0</v>
      </c>
      <c r="I273" t="n">
        <v>0</v>
      </c>
      <c r="J273" t="n">
        <v>0</v>
      </c>
      <c r="K273" t="n">
        <v>0</v>
      </c>
      <c r="L273" t="n">
        <v>0</v>
      </c>
      <c r="M273" t="n">
        <v>0</v>
      </c>
      <c r="N273" t="n">
        <v>0</v>
      </c>
      <c r="O273" t="n">
        <v>0</v>
      </c>
      <c r="P273" t="n">
        <v>0</v>
      </c>
      <c r="Q273" t="n">
        <v>0</v>
      </c>
      <c r="R273" s="2" t="inlineStr"/>
    </row>
    <row r="274" ht="15" customHeight="1">
      <c r="A274" t="inlineStr">
        <is>
          <t>A 47190-2025</t>
        </is>
      </c>
      <c r="B274" s="1" t="n">
        <v>45930</v>
      </c>
      <c r="C274" s="1" t="n">
        <v>46180</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32943-2025</t>
        </is>
      </c>
      <c r="B275" s="1" t="n">
        <v>45839</v>
      </c>
      <c r="C275" s="1" t="n">
        <v>46180</v>
      </c>
      <c r="D275" t="inlineStr">
        <is>
          <t>NORRBOTTENS LÄN</t>
        </is>
      </c>
      <c r="E275" t="inlineStr">
        <is>
          <t>GÄLLIVARE</t>
        </is>
      </c>
      <c r="G275" t="n">
        <v>16.8</v>
      </c>
      <c r="H275" t="n">
        <v>0</v>
      </c>
      <c r="I275" t="n">
        <v>0</v>
      </c>
      <c r="J275" t="n">
        <v>0</v>
      </c>
      <c r="K275" t="n">
        <v>0</v>
      </c>
      <c r="L275" t="n">
        <v>0</v>
      </c>
      <c r="M275" t="n">
        <v>0</v>
      </c>
      <c r="N275" t="n">
        <v>0</v>
      </c>
      <c r="O275" t="n">
        <v>0</v>
      </c>
      <c r="P275" t="n">
        <v>0</v>
      </c>
      <c r="Q275" t="n">
        <v>0</v>
      </c>
      <c r="R275" s="2" t="inlineStr"/>
    </row>
    <row r="276" ht="15" customHeight="1">
      <c r="A276" t="inlineStr">
        <is>
          <t>A 32936-2025</t>
        </is>
      </c>
      <c r="B276" s="1" t="n">
        <v>45839</v>
      </c>
      <c r="C276" s="1" t="n">
        <v>46180</v>
      </c>
      <c r="D276" t="inlineStr">
        <is>
          <t>NORRBOTTENS LÄN</t>
        </is>
      </c>
      <c r="E276" t="inlineStr">
        <is>
          <t>GÄLLIVARE</t>
        </is>
      </c>
      <c r="G276" t="n">
        <v>3</v>
      </c>
      <c r="H276" t="n">
        <v>0</v>
      </c>
      <c r="I276" t="n">
        <v>0</v>
      </c>
      <c r="J276" t="n">
        <v>0</v>
      </c>
      <c r="K276" t="n">
        <v>0</v>
      </c>
      <c r="L276" t="n">
        <v>0</v>
      </c>
      <c r="M276" t="n">
        <v>0</v>
      </c>
      <c r="N276" t="n">
        <v>0</v>
      </c>
      <c r="O276" t="n">
        <v>0</v>
      </c>
      <c r="P276" t="n">
        <v>0</v>
      </c>
      <c r="Q276" t="n">
        <v>0</v>
      </c>
      <c r="R276" s="2" t="inlineStr"/>
    </row>
    <row r="277" ht="15" customHeight="1">
      <c r="A277" t="inlineStr">
        <is>
          <t>A 47444-2025</t>
        </is>
      </c>
      <c r="B277" s="1" t="n">
        <v>45930.64141203704</v>
      </c>
      <c r="C277" s="1" t="n">
        <v>46180</v>
      </c>
      <c r="D277" t="inlineStr">
        <is>
          <t>NORRBOTTENS LÄN</t>
        </is>
      </c>
      <c r="E277" t="inlineStr">
        <is>
          <t>GÄLLIVARE</t>
        </is>
      </c>
      <c r="F277" t="inlineStr">
        <is>
          <t>Sveaskog</t>
        </is>
      </c>
      <c r="G277" t="n">
        <v>5</v>
      </c>
      <c r="H277" t="n">
        <v>0</v>
      </c>
      <c r="I277" t="n">
        <v>0</v>
      </c>
      <c r="J277" t="n">
        <v>0</v>
      </c>
      <c r="K277" t="n">
        <v>0</v>
      </c>
      <c r="L277" t="n">
        <v>0</v>
      </c>
      <c r="M277" t="n">
        <v>0</v>
      </c>
      <c r="N277" t="n">
        <v>0</v>
      </c>
      <c r="O277" t="n">
        <v>0</v>
      </c>
      <c r="P277" t="n">
        <v>0</v>
      </c>
      <c r="Q277" t="n">
        <v>0</v>
      </c>
      <c r="R277" s="2" t="inlineStr"/>
    </row>
    <row r="278" ht="15" customHeight="1">
      <c r="A278" t="inlineStr">
        <is>
          <t>A 33307-2025</t>
        </is>
      </c>
      <c r="B278" s="1" t="n">
        <v>45841.31274305555</v>
      </c>
      <c r="C278" s="1" t="n">
        <v>46180</v>
      </c>
      <c r="D278" t="inlineStr">
        <is>
          <t>NORRBOTTENS LÄN</t>
        </is>
      </c>
      <c r="E278" t="inlineStr">
        <is>
          <t>GÄLLIVARE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33668-2025</t>
        </is>
      </c>
      <c r="B279" s="1" t="n">
        <v>45841.67427083333</v>
      </c>
      <c r="C279" s="1" t="n">
        <v>46180</v>
      </c>
      <c r="D279" t="inlineStr">
        <is>
          <t>NORRBOTTENS LÄN</t>
        </is>
      </c>
      <c r="E279" t="inlineStr">
        <is>
          <t>GÄLLIVARE</t>
        </is>
      </c>
      <c r="F279" t="inlineStr">
        <is>
          <t>Sveaskog</t>
        </is>
      </c>
      <c r="G279" t="n">
        <v>11.7</v>
      </c>
      <c r="H279" t="n">
        <v>0</v>
      </c>
      <c r="I279" t="n">
        <v>0</v>
      </c>
      <c r="J279" t="n">
        <v>0</v>
      </c>
      <c r="K279" t="n">
        <v>0</v>
      </c>
      <c r="L279" t="n">
        <v>0</v>
      </c>
      <c r="M279" t="n">
        <v>0</v>
      </c>
      <c r="N279" t="n">
        <v>0</v>
      </c>
      <c r="O279" t="n">
        <v>0</v>
      </c>
      <c r="P279" t="n">
        <v>0</v>
      </c>
      <c r="Q279" t="n">
        <v>0</v>
      </c>
      <c r="R279" s="2" t="inlineStr"/>
    </row>
    <row r="280" ht="15" customHeight="1">
      <c r="A280" t="inlineStr">
        <is>
          <t>A 44327-2024</t>
        </is>
      </c>
      <c r="B280" s="1" t="n">
        <v>45573</v>
      </c>
      <c r="C280" s="1" t="n">
        <v>46180</v>
      </c>
      <c r="D280" t="inlineStr">
        <is>
          <t>NORRBOTTENS LÄN</t>
        </is>
      </c>
      <c r="E280" t="inlineStr">
        <is>
          <t>GÄLLIVARE</t>
        </is>
      </c>
      <c r="G280" t="n">
        <v>7.6</v>
      </c>
      <c r="H280" t="n">
        <v>0</v>
      </c>
      <c r="I280" t="n">
        <v>0</v>
      </c>
      <c r="J280" t="n">
        <v>0</v>
      </c>
      <c r="K280" t="n">
        <v>0</v>
      </c>
      <c r="L280" t="n">
        <v>0</v>
      </c>
      <c r="M280" t="n">
        <v>0</v>
      </c>
      <c r="N280" t="n">
        <v>0</v>
      </c>
      <c r="O280" t="n">
        <v>0</v>
      </c>
      <c r="P280" t="n">
        <v>0</v>
      </c>
      <c r="Q280" t="n">
        <v>0</v>
      </c>
      <c r="R280" s="2" t="inlineStr"/>
    </row>
    <row r="281" ht="15" customHeight="1">
      <c r="A281" t="inlineStr">
        <is>
          <t>A 33654-2025</t>
        </is>
      </c>
      <c r="B281" s="1" t="n">
        <v>45841.65853009259</v>
      </c>
      <c r="C281" s="1" t="n">
        <v>46180</v>
      </c>
      <c r="D281" t="inlineStr">
        <is>
          <t>NORRBOTTENS LÄN</t>
        </is>
      </c>
      <c r="E281" t="inlineStr">
        <is>
          <t>GÄLLIVARE</t>
        </is>
      </c>
      <c r="F281" t="inlineStr">
        <is>
          <t>Sveaskog</t>
        </is>
      </c>
      <c r="G281" t="n">
        <v>10.9</v>
      </c>
      <c r="H281" t="n">
        <v>0</v>
      </c>
      <c r="I281" t="n">
        <v>0</v>
      </c>
      <c r="J281" t="n">
        <v>0</v>
      </c>
      <c r="K281" t="n">
        <v>0</v>
      </c>
      <c r="L281" t="n">
        <v>0</v>
      </c>
      <c r="M281" t="n">
        <v>0</v>
      </c>
      <c r="N281" t="n">
        <v>0</v>
      </c>
      <c r="O281" t="n">
        <v>0</v>
      </c>
      <c r="P281" t="n">
        <v>0</v>
      </c>
      <c r="Q281" t="n">
        <v>0</v>
      </c>
      <c r="R281" s="2" t="inlineStr"/>
    </row>
    <row r="282" ht="15" customHeight="1">
      <c r="A282" t="inlineStr">
        <is>
          <t>A 34127-2025</t>
        </is>
      </c>
      <c r="B282" s="1" t="n">
        <v>45845.53070601852</v>
      </c>
      <c r="C282" s="1" t="n">
        <v>46180</v>
      </c>
      <c r="D282" t="inlineStr">
        <is>
          <t>NORRBOTTENS LÄN</t>
        </is>
      </c>
      <c r="E282" t="inlineStr">
        <is>
          <t>GÄLLIVARE</t>
        </is>
      </c>
      <c r="F282" t="inlineStr">
        <is>
          <t>Sveaskog</t>
        </is>
      </c>
      <c r="G282" t="n">
        <v>20.4</v>
      </c>
      <c r="H282" t="n">
        <v>0</v>
      </c>
      <c r="I282" t="n">
        <v>0</v>
      </c>
      <c r="J282" t="n">
        <v>0</v>
      </c>
      <c r="K282" t="n">
        <v>0</v>
      </c>
      <c r="L282" t="n">
        <v>0</v>
      </c>
      <c r="M282" t="n">
        <v>0</v>
      </c>
      <c r="N282" t="n">
        <v>0</v>
      </c>
      <c r="O282" t="n">
        <v>0</v>
      </c>
      <c r="P282" t="n">
        <v>0</v>
      </c>
      <c r="Q282" t="n">
        <v>0</v>
      </c>
      <c r="R282" s="2" t="inlineStr"/>
    </row>
    <row r="283" ht="15" customHeight="1">
      <c r="A283" t="inlineStr">
        <is>
          <t>A 48563-2025</t>
        </is>
      </c>
      <c r="B283" s="1" t="n">
        <v>45936</v>
      </c>
      <c r="C283" s="1" t="n">
        <v>46180</v>
      </c>
      <c r="D283" t="inlineStr">
        <is>
          <t>NORRBOTTENS LÄN</t>
        </is>
      </c>
      <c r="E283" t="inlineStr">
        <is>
          <t>GÄLLIVARE</t>
        </is>
      </c>
      <c r="G283" t="n">
        <v>7</v>
      </c>
      <c r="H283" t="n">
        <v>0</v>
      </c>
      <c r="I283" t="n">
        <v>0</v>
      </c>
      <c r="J283" t="n">
        <v>0</v>
      </c>
      <c r="K283" t="n">
        <v>0</v>
      </c>
      <c r="L283" t="n">
        <v>0</v>
      </c>
      <c r="M283" t="n">
        <v>0</v>
      </c>
      <c r="N283" t="n">
        <v>0</v>
      </c>
      <c r="O283" t="n">
        <v>0</v>
      </c>
      <c r="P283" t="n">
        <v>0</v>
      </c>
      <c r="Q283" t="n">
        <v>0</v>
      </c>
      <c r="R283" s="2" t="inlineStr"/>
    </row>
    <row r="284" ht="15" customHeight="1">
      <c r="A284" t="inlineStr">
        <is>
          <t>A 34386-2025</t>
        </is>
      </c>
      <c r="B284" s="1" t="n">
        <v>45846</v>
      </c>
      <c r="C284" s="1" t="n">
        <v>46180</v>
      </c>
      <c r="D284" t="inlineStr">
        <is>
          <t>NORRBOTTENS LÄN</t>
        </is>
      </c>
      <c r="E284" t="inlineStr">
        <is>
          <t>GÄLLIVARE</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34129-2025</t>
        </is>
      </c>
      <c r="B285" s="1" t="n">
        <v>45845</v>
      </c>
      <c r="C285" s="1" t="n">
        <v>46180</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33980-2025</t>
        </is>
      </c>
      <c r="B286" s="1" t="n">
        <v>45843.34418981482</v>
      </c>
      <c r="C286" s="1" t="n">
        <v>46180</v>
      </c>
      <c r="D286" t="inlineStr">
        <is>
          <t>NORRBOTTENS LÄN</t>
        </is>
      </c>
      <c r="E286" t="inlineStr">
        <is>
          <t>GÄLLIVARE</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48626-2025</t>
        </is>
      </c>
      <c r="B287" s="1" t="n">
        <v>45936</v>
      </c>
      <c r="C287" s="1" t="n">
        <v>46180</v>
      </c>
      <c r="D287" t="inlineStr">
        <is>
          <t>NORRBOTTENS LÄN</t>
        </is>
      </c>
      <c r="E287" t="inlineStr">
        <is>
          <t>GÄLLIVARE</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34130-2025</t>
        </is>
      </c>
      <c r="B288" s="1" t="n">
        <v>45845.53159722222</v>
      </c>
      <c r="C288" s="1" t="n">
        <v>46180</v>
      </c>
      <c r="D288" t="inlineStr">
        <is>
          <t>NORRBOTTENS LÄN</t>
        </is>
      </c>
      <c r="E288" t="inlineStr">
        <is>
          <t>GÄLLIVARE</t>
        </is>
      </c>
      <c r="G288" t="n">
        <v>6.2</v>
      </c>
      <c r="H288" t="n">
        <v>0</v>
      </c>
      <c r="I288" t="n">
        <v>0</v>
      </c>
      <c r="J288" t="n">
        <v>0</v>
      </c>
      <c r="K288" t="n">
        <v>0</v>
      </c>
      <c r="L288" t="n">
        <v>0</v>
      </c>
      <c r="M288" t="n">
        <v>0</v>
      </c>
      <c r="N288" t="n">
        <v>0</v>
      </c>
      <c r="O288" t="n">
        <v>0</v>
      </c>
      <c r="P288" t="n">
        <v>0</v>
      </c>
      <c r="Q288" t="n">
        <v>0</v>
      </c>
      <c r="R288" s="2" t="inlineStr"/>
    </row>
    <row r="289" ht="15" customHeight="1">
      <c r="A289" t="inlineStr">
        <is>
          <t>A 48627-2025</t>
        </is>
      </c>
      <c r="B289" s="1" t="n">
        <v>45936.51128472222</v>
      </c>
      <c r="C289" s="1" t="n">
        <v>46180</v>
      </c>
      <c r="D289" t="inlineStr">
        <is>
          <t>NORRBOTTENS LÄN</t>
        </is>
      </c>
      <c r="E289" t="inlineStr">
        <is>
          <t>GÄLLIVARE</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48664-2025</t>
        </is>
      </c>
      <c r="B290" s="1" t="n">
        <v>45936.57346064815</v>
      </c>
      <c r="C290" s="1" t="n">
        <v>46180</v>
      </c>
      <c r="D290" t="inlineStr">
        <is>
          <t>NORRBOTTENS LÄN</t>
        </is>
      </c>
      <c r="E290" t="inlineStr">
        <is>
          <t>GÄLLIVARE</t>
        </is>
      </c>
      <c r="F290" t="inlineStr">
        <is>
          <t>SCA</t>
        </is>
      </c>
      <c r="G290" t="n">
        <v>16.5</v>
      </c>
      <c r="H290" t="n">
        <v>0</v>
      </c>
      <c r="I290" t="n">
        <v>0</v>
      </c>
      <c r="J290" t="n">
        <v>0</v>
      </c>
      <c r="K290" t="n">
        <v>0</v>
      </c>
      <c r="L290" t="n">
        <v>0</v>
      </c>
      <c r="M290" t="n">
        <v>0</v>
      </c>
      <c r="N290" t="n">
        <v>0</v>
      </c>
      <c r="O290" t="n">
        <v>0</v>
      </c>
      <c r="P290" t="n">
        <v>0</v>
      </c>
      <c r="Q290" t="n">
        <v>0</v>
      </c>
      <c r="R290" s="2" t="inlineStr"/>
    </row>
    <row r="291" ht="15" customHeight="1">
      <c r="A291" t="inlineStr">
        <is>
          <t>A 53893-2024</t>
        </is>
      </c>
      <c r="B291" s="1" t="n">
        <v>45615</v>
      </c>
      <c r="C291" s="1" t="n">
        <v>46180</v>
      </c>
      <c r="D291" t="inlineStr">
        <is>
          <t>NORRBOTTENS LÄN</t>
        </is>
      </c>
      <c r="E291" t="inlineStr">
        <is>
          <t>GÄLLIVARE</t>
        </is>
      </c>
      <c r="G291" t="n">
        <v>3.4</v>
      </c>
      <c r="H291" t="n">
        <v>0</v>
      </c>
      <c r="I291" t="n">
        <v>0</v>
      </c>
      <c r="J291" t="n">
        <v>0</v>
      </c>
      <c r="K291" t="n">
        <v>0</v>
      </c>
      <c r="L291" t="n">
        <v>0</v>
      </c>
      <c r="M291" t="n">
        <v>0</v>
      </c>
      <c r="N291" t="n">
        <v>0</v>
      </c>
      <c r="O291" t="n">
        <v>0</v>
      </c>
      <c r="P291" t="n">
        <v>0</v>
      </c>
      <c r="Q291" t="n">
        <v>0</v>
      </c>
      <c r="R291" s="2" t="inlineStr"/>
    </row>
    <row r="292" ht="15" customHeight="1">
      <c r="A292" t="inlineStr">
        <is>
          <t>A 7042-2026</t>
        </is>
      </c>
      <c r="B292" s="1" t="n">
        <v>46057.70229166667</v>
      </c>
      <c r="C292" s="1" t="n">
        <v>46180</v>
      </c>
      <c r="D292" t="inlineStr">
        <is>
          <t>NORRBOTTENS LÄN</t>
        </is>
      </c>
      <c r="E292" t="inlineStr">
        <is>
          <t>GÄLLIVARE</t>
        </is>
      </c>
      <c r="G292" t="n">
        <v>1.8</v>
      </c>
      <c r="H292" t="n">
        <v>0</v>
      </c>
      <c r="I292" t="n">
        <v>0</v>
      </c>
      <c r="J292" t="n">
        <v>0</v>
      </c>
      <c r="K292" t="n">
        <v>0</v>
      </c>
      <c r="L292" t="n">
        <v>0</v>
      </c>
      <c r="M292" t="n">
        <v>0</v>
      </c>
      <c r="N292" t="n">
        <v>0</v>
      </c>
      <c r="O292" t="n">
        <v>0</v>
      </c>
      <c r="P292" t="n">
        <v>0</v>
      </c>
      <c r="Q292" t="n">
        <v>0</v>
      </c>
      <c r="R292" s="2" t="inlineStr"/>
    </row>
    <row r="293" ht="15" customHeight="1">
      <c r="A293" t="inlineStr">
        <is>
          <t>A 8516-2025</t>
        </is>
      </c>
      <c r="B293" s="1" t="n">
        <v>45709</v>
      </c>
      <c r="C293" s="1" t="n">
        <v>46180</v>
      </c>
      <c r="D293" t="inlineStr">
        <is>
          <t>NORRBOTTENS LÄN</t>
        </is>
      </c>
      <c r="E293" t="inlineStr">
        <is>
          <t>GÄLLIVARE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29781-2024</t>
        </is>
      </c>
      <c r="B294" s="1" t="n">
        <v>45485.45442129629</v>
      </c>
      <c r="C294" s="1" t="n">
        <v>46180</v>
      </c>
      <c r="D294" t="inlineStr">
        <is>
          <t>NORRBOTTENS LÄN</t>
        </is>
      </c>
      <c r="E294" t="inlineStr">
        <is>
          <t>GÄLLIVARE</t>
        </is>
      </c>
      <c r="F294" t="inlineStr">
        <is>
          <t>Sveaskog</t>
        </is>
      </c>
      <c r="G294" t="n">
        <v>23.4</v>
      </c>
      <c r="H294" t="n">
        <v>0</v>
      </c>
      <c r="I294" t="n">
        <v>0</v>
      </c>
      <c r="J294" t="n">
        <v>0</v>
      </c>
      <c r="K294" t="n">
        <v>0</v>
      </c>
      <c r="L294" t="n">
        <v>0</v>
      </c>
      <c r="M294" t="n">
        <v>0</v>
      </c>
      <c r="N294" t="n">
        <v>0</v>
      </c>
      <c r="O294" t="n">
        <v>0</v>
      </c>
      <c r="P294" t="n">
        <v>0</v>
      </c>
      <c r="Q294" t="n">
        <v>0</v>
      </c>
      <c r="R294" s="2" t="inlineStr"/>
    </row>
    <row r="295" ht="15" customHeight="1">
      <c r="A295" t="inlineStr">
        <is>
          <t>A 49376-2025</t>
        </is>
      </c>
      <c r="B295" s="1" t="n">
        <v>45938.63606481482</v>
      </c>
      <c r="C295" s="1" t="n">
        <v>46180</v>
      </c>
      <c r="D295" t="inlineStr">
        <is>
          <t>NORRBOTTENS LÄN</t>
        </is>
      </c>
      <c r="E295" t="inlineStr">
        <is>
          <t>GÄLLIVARE</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35474-2025</t>
        </is>
      </c>
      <c r="B296" s="1" t="n">
        <v>45855</v>
      </c>
      <c r="C296" s="1" t="n">
        <v>46180</v>
      </c>
      <c r="D296" t="inlineStr">
        <is>
          <t>NORRBOTTENS LÄN</t>
        </is>
      </c>
      <c r="E296" t="inlineStr">
        <is>
          <t>GÄLLIVARE</t>
        </is>
      </c>
      <c r="F296" t="inlineStr">
        <is>
          <t>Allmännings- och besparingsskogar</t>
        </is>
      </c>
      <c r="G296" t="n">
        <v>28.5</v>
      </c>
      <c r="H296" t="n">
        <v>0</v>
      </c>
      <c r="I296" t="n">
        <v>0</v>
      </c>
      <c r="J296" t="n">
        <v>0</v>
      </c>
      <c r="K296" t="n">
        <v>0</v>
      </c>
      <c r="L296" t="n">
        <v>0</v>
      </c>
      <c r="M296" t="n">
        <v>0</v>
      </c>
      <c r="N296" t="n">
        <v>0</v>
      </c>
      <c r="O296" t="n">
        <v>0</v>
      </c>
      <c r="P296" t="n">
        <v>0</v>
      </c>
      <c r="Q296" t="n">
        <v>0</v>
      </c>
      <c r="R296" s="2" t="inlineStr"/>
    </row>
    <row r="297" ht="15" customHeight="1">
      <c r="A297" t="inlineStr">
        <is>
          <t>A 49359-2025</t>
        </is>
      </c>
      <c r="B297" s="1" t="n">
        <v>45938.61662037037</v>
      </c>
      <c r="C297" s="1" t="n">
        <v>46180</v>
      </c>
      <c r="D297" t="inlineStr">
        <is>
          <t>NORRBOTTENS LÄN</t>
        </is>
      </c>
      <c r="E297" t="inlineStr">
        <is>
          <t>GÄLLIVARE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35470-2025</t>
        </is>
      </c>
      <c r="B298" s="1" t="n">
        <v>45855</v>
      </c>
      <c r="C298" s="1" t="n">
        <v>46180</v>
      </c>
      <c r="D298" t="inlineStr">
        <is>
          <t>NORRBOTTENS LÄN</t>
        </is>
      </c>
      <c r="E298" t="inlineStr">
        <is>
          <t>GÄLLIVARE</t>
        </is>
      </c>
      <c r="F298" t="inlineStr">
        <is>
          <t>Allmännings- och besparingsskogar</t>
        </is>
      </c>
      <c r="G298" t="n">
        <v>9.4</v>
      </c>
      <c r="H298" t="n">
        <v>0</v>
      </c>
      <c r="I298" t="n">
        <v>0</v>
      </c>
      <c r="J298" t="n">
        <v>0</v>
      </c>
      <c r="K298" t="n">
        <v>0</v>
      </c>
      <c r="L298" t="n">
        <v>0</v>
      </c>
      <c r="M298" t="n">
        <v>0</v>
      </c>
      <c r="N298" t="n">
        <v>0</v>
      </c>
      <c r="O298" t="n">
        <v>0</v>
      </c>
      <c r="P298" t="n">
        <v>0</v>
      </c>
      <c r="Q298" t="n">
        <v>0</v>
      </c>
      <c r="R298" s="2" t="inlineStr"/>
    </row>
    <row r="299" ht="15" customHeight="1">
      <c r="A299" t="inlineStr">
        <is>
          <t>A 35472-2025</t>
        </is>
      </c>
      <c r="B299" s="1" t="n">
        <v>45855</v>
      </c>
      <c r="C299" s="1" t="n">
        <v>46180</v>
      </c>
      <c r="D299" t="inlineStr">
        <is>
          <t>NORRBOTTENS LÄN</t>
        </is>
      </c>
      <c r="E299" t="inlineStr">
        <is>
          <t>GÄLLIVARE</t>
        </is>
      </c>
      <c r="F299" t="inlineStr">
        <is>
          <t>Allmännings- och besparingsskogar</t>
        </is>
      </c>
      <c r="G299" t="n">
        <v>5</v>
      </c>
      <c r="H299" t="n">
        <v>0</v>
      </c>
      <c r="I299" t="n">
        <v>0</v>
      </c>
      <c r="J299" t="n">
        <v>0</v>
      </c>
      <c r="K299" t="n">
        <v>0</v>
      </c>
      <c r="L299" t="n">
        <v>0</v>
      </c>
      <c r="M299" t="n">
        <v>0</v>
      </c>
      <c r="N299" t="n">
        <v>0</v>
      </c>
      <c r="O299" t="n">
        <v>0</v>
      </c>
      <c r="P299" t="n">
        <v>0</v>
      </c>
      <c r="Q299" t="n">
        <v>0</v>
      </c>
      <c r="R299" s="2" t="inlineStr"/>
    </row>
    <row r="300" ht="15" customHeight="1">
      <c r="A300" t="inlineStr">
        <is>
          <t>A 35471-2025</t>
        </is>
      </c>
      <c r="B300" s="1" t="n">
        <v>45855</v>
      </c>
      <c r="C300" s="1" t="n">
        <v>46180</v>
      </c>
      <c r="D300" t="inlineStr">
        <is>
          <t>NORRBOTTENS LÄN</t>
        </is>
      </c>
      <c r="E300" t="inlineStr">
        <is>
          <t>GÄLLIVARE</t>
        </is>
      </c>
      <c r="F300" t="inlineStr">
        <is>
          <t>Allmännings- och besparingsskogar</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55755-2024</t>
        </is>
      </c>
      <c r="B301" s="1" t="n">
        <v>45623</v>
      </c>
      <c r="C301" s="1" t="n">
        <v>46180</v>
      </c>
      <c r="D301" t="inlineStr">
        <is>
          <t>NORRBOTTENS LÄN</t>
        </is>
      </c>
      <c r="E301" t="inlineStr">
        <is>
          <t>GÄLLIVARE</t>
        </is>
      </c>
      <c r="G301" t="n">
        <v>7.6</v>
      </c>
      <c r="H301" t="n">
        <v>0</v>
      </c>
      <c r="I301" t="n">
        <v>0</v>
      </c>
      <c r="J301" t="n">
        <v>0</v>
      </c>
      <c r="K301" t="n">
        <v>0</v>
      </c>
      <c r="L301" t="n">
        <v>0</v>
      </c>
      <c r="M301" t="n">
        <v>0</v>
      </c>
      <c r="N301" t="n">
        <v>0</v>
      </c>
      <c r="O301" t="n">
        <v>0</v>
      </c>
      <c r="P301" t="n">
        <v>0</v>
      </c>
      <c r="Q301" t="n">
        <v>0</v>
      </c>
      <c r="R301" s="2" t="inlineStr"/>
    </row>
    <row r="302" ht="15" customHeight="1">
      <c r="A302" t="inlineStr">
        <is>
          <t>A 48850-2025</t>
        </is>
      </c>
      <c r="B302" s="1" t="n">
        <v>45937.42935185185</v>
      </c>
      <c r="C302" s="1" t="n">
        <v>46180</v>
      </c>
      <c r="D302" t="inlineStr">
        <is>
          <t>NORRBOTTENS LÄN</t>
        </is>
      </c>
      <c r="E302" t="inlineStr">
        <is>
          <t>GÄLLIVARE</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35949-2025</t>
        </is>
      </c>
      <c r="B303" s="1" t="n">
        <v>45862</v>
      </c>
      <c r="C303" s="1" t="n">
        <v>46180</v>
      </c>
      <c r="D303" t="inlineStr">
        <is>
          <t>NORRBOTTENS LÄN</t>
        </is>
      </c>
      <c r="E303" t="inlineStr">
        <is>
          <t>GÄLLIVARE</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28272-2025</t>
        </is>
      </c>
      <c r="B304" s="1" t="n">
        <v>45818</v>
      </c>
      <c r="C304" s="1" t="n">
        <v>46180</v>
      </c>
      <c r="D304" t="inlineStr">
        <is>
          <t>NORRBOTTENS LÄN</t>
        </is>
      </c>
      <c r="E304" t="inlineStr">
        <is>
          <t>GÄLLIVARE</t>
        </is>
      </c>
      <c r="F304" t="inlineStr">
        <is>
          <t>Sveaskog</t>
        </is>
      </c>
      <c r="G304" t="n">
        <v>24.8</v>
      </c>
      <c r="H304" t="n">
        <v>0</v>
      </c>
      <c r="I304" t="n">
        <v>0</v>
      </c>
      <c r="J304" t="n">
        <v>0</v>
      </c>
      <c r="K304" t="n">
        <v>0</v>
      </c>
      <c r="L304" t="n">
        <v>0</v>
      </c>
      <c r="M304" t="n">
        <v>0</v>
      </c>
      <c r="N304" t="n">
        <v>0</v>
      </c>
      <c r="O304" t="n">
        <v>0</v>
      </c>
      <c r="P304" t="n">
        <v>0</v>
      </c>
      <c r="Q304" t="n">
        <v>0</v>
      </c>
      <c r="R304" s="2" t="inlineStr"/>
    </row>
    <row r="305" ht="15" customHeight="1">
      <c r="A305" t="inlineStr">
        <is>
          <t>A 49665-2025</t>
        </is>
      </c>
      <c r="B305" s="1" t="n">
        <v>45939.63638888889</v>
      </c>
      <c r="C305" s="1" t="n">
        <v>46180</v>
      </c>
      <c r="D305" t="inlineStr">
        <is>
          <t>NORRBOTTENS LÄN</t>
        </is>
      </c>
      <c r="E305" t="inlineStr">
        <is>
          <t>GÄLLIVARE</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49668-2025</t>
        </is>
      </c>
      <c r="B306" s="1" t="n">
        <v>45939.63693287037</v>
      </c>
      <c r="C306" s="1" t="n">
        <v>46180</v>
      </c>
      <c r="D306" t="inlineStr">
        <is>
          <t>NORRBOTTENS LÄN</t>
        </is>
      </c>
      <c r="E306" t="inlineStr">
        <is>
          <t>GÄLLIVARE</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36137-2025</t>
        </is>
      </c>
      <c r="B307" s="1" t="n">
        <v>45866.64355324074</v>
      </c>
      <c r="C307" s="1" t="n">
        <v>46180</v>
      </c>
      <c r="D307" t="inlineStr">
        <is>
          <t>NORRBOTTENS LÄN</t>
        </is>
      </c>
      <c r="E307" t="inlineStr">
        <is>
          <t>GÄLLIVARE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53824-2024</t>
        </is>
      </c>
      <c r="B308" s="1" t="n">
        <v>45615.61038194445</v>
      </c>
      <c r="C308" s="1" t="n">
        <v>46180</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49664-2025</t>
        </is>
      </c>
      <c r="B309" s="1" t="n">
        <v>45939</v>
      </c>
      <c r="C309" s="1" t="n">
        <v>46180</v>
      </c>
      <c r="D309" t="inlineStr">
        <is>
          <t>NORRBOTTENS LÄN</t>
        </is>
      </c>
      <c r="E309" t="inlineStr">
        <is>
          <t>GÄLLIVARE</t>
        </is>
      </c>
      <c r="F309" t="inlineStr">
        <is>
          <t>SCA</t>
        </is>
      </c>
      <c r="G309" t="n">
        <v>11.1</v>
      </c>
      <c r="H309" t="n">
        <v>0</v>
      </c>
      <c r="I309" t="n">
        <v>0</v>
      </c>
      <c r="J309" t="n">
        <v>0</v>
      </c>
      <c r="K309" t="n">
        <v>0</v>
      </c>
      <c r="L309" t="n">
        <v>0</v>
      </c>
      <c r="M309" t="n">
        <v>0</v>
      </c>
      <c r="N309" t="n">
        <v>0</v>
      </c>
      <c r="O309" t="n">
        <v>0</v>
      </c>
      <c r="P309" t="n">
        <v>0</v>
      </c>
      <c r="Q309" t="n">
        <v>0</v>
      </c>
      <c r="R309" s="2" t="inlineStr"/>
    </row>
    <row r="310" ht="15" customHeight="1">
      <c r="A310" t="inlineStr">
        <is>
          <t>A 49827-2025</t>
        </is>
      </c>
      <c r="B310" s="1" t="n">
        <v>45940</v>
      </c>
      <c r="C310" s="1" t="n">
        <v>46180</v>
      </c>
      <c r="D310" t="inlineStr">
        <is>
          <t>NORRBOTTENS LÄN</t>
        </is>
      </c>
      <c r="E310" t="inlineStr">
        <is>
          <t>GÄLLIVARE</t>
        </is>
      </c>
      <c r="F310" t="inlineStr">
        <is>
          <t>SCA</t>
        </is>
      </c>
      <c r="G310" t="n">
        <v>11.9</v>
      </c>
      <c r="H310" t="n">
        <v>0</v>
      </c>
      <c r="I310" t="n">
        <v>0</v>
      </c>
      <c r="J310" t="n">
        <v>0</v>
      </c>
      <c r="K310" t="n">
        <v>0</v>
      </c>
      <c r="L310" t="n">
        <v>0</v>
      </c>
      <c r="M310" t="n">
        <v>0</v>
      </c>
      <c r="N310" t="n">
        <v>0</v>
      </c>
      <c r="O310" t="n">
        <v>0</v>
      </c>
      <c r="P310" t="n">
        <v>0</v>
      </c>
      <c r="Q310" t="n">
        <v>0</v>
      </c>
      <c r="R310" s="2" t="inlineStr"/>
    </row>
    <row r="311" ht="15" customHeight="1">
      <c r="A311" t="inlineStr">
        <is>
          <t>A 36321-2025</t>
        </is>
      </c>
      <c r="B311" s="1" t="n">
        <v>45868</v>
      </c>
      <c r="C311" s="1" t="n">
        <v>46180</v>
      </c>
      <c r="D311" t="inlineStr">
        <is>
          <t>NORRBOTTENS LÄN</t>
        </is>
      </c>
      <c r="E311" t="inlineStr">
        <is>
          <t>GÄLLIVARE</t>
        </is>
      </c>
      <c r="F311" t="inlineStr">
        <is>
          <t>Sveaskog</t>
        </is>
      </c>
      <c r="G311" t="n">
        <v>6.2</v>
      </c>
      <c r="H311" t="n">
        <v>0</v>
      </c>
      <c r="I311" t="n">
        <v>0</v>
      </c>
      <c r="J311" t="n">
        <v>0</v>
      </c>
      <c r="K311" t="n">
        <v>0</v>
      </c>
      <c r="L311" t="n">
        <v>0</v>
      </c>
      <c r="M311" t="n">
        <v>0</v>
      </c>
      <c r="N311" t="n">
        <v>0</v>
      </c>
      <c r="O311" t="n">
        <v>0</v>
      </c>
      <c r="P311" t="n">
        <v>0</v>
      </c>
      <c r="Q311" t="n">
        <v>0</v>
      </c>
      <c r="R311" s="2" t="inlineStr"/>
    </row>
    <row r="312" ht="15" customHeight="1">
      <c r="A312" t="inlineStr">
        <is>
          <t>A 36326-2025</t>
        </is>
      </c>
      <c r="B312" s="1" t="n">
        <v>45868.42105324074</v>
      </c>
      <c r="C312" s="1" t="n">
        <v>46180</v>
      </c>
      <c r="D312" t="inlineStr">
        <is>
          <t>NORRBOTTENS LÄN</t>
        </is>
      </c>
      <c r="E312" t="inlineStr">
        <is>
          <t>GÄLLIVARE</t>
        </is>
      </c>
      <c r="F312" t="inlineStr">
        <is>
          <t>Sveaskog</t>
        </is>
      </c>
      <c r="G312" t="n">
        <v>4.7</v>
      </c>
      <c r="H312" t="n">
        <v>0</v>
      </c>
      <c r="I312" t="n">
        <v>0</v>
      </c>
      <c r="J312" t="n">
        <v>0</v>
      </c>
      <c r="K312" t="n">
        <v>0</v>
      </c>
      <c r="L312" t="n">
        <v>0</v>
      </c>
      <c r="M312" t="n">
        <v>0</v>
      </c>
      <c r="N312" t="n">
        <v>0</v>
      </c>
      <c r="O312" t="n">
        <v>0</v>
      </c>
      <c r="P312" t="n">
        <v>0</v>
      </c>
      <c r="Q312" t="n">
        <v>0</v>
      </c>
      <c r="R312" s="2" t="inlineStr"/>
    </row>
    <row r="313" ht="15" customHeight="1">
      <c r="A313" t="inlineStr">
        <is>
          <t>A 36344-2025</t>
        </is>
      </c>
      <c r="B313" s="1" t="n">
        <v>45868.47358796297</v>
      </c>
      <c r="C313" s="1" t="n">
        <v>46180</v>
      </c>
      <c r="D313" t="inlineStr">
        <is>
          <t>NORRBOTTENS LÄN</t>
        </is>
      </c>
      <c r="E313" t="inlineStr">
        <is>
          <t>GÄLLIVARE</t>
        </is>
      </c>
      <c r="F313" t="inlineStr">
        <is>
          <t>Sveaskog</t>
        </is>
      </c>
      <c r="G313" t="n">
        <v>21.2</v>
      </c>
      <c r="H313" t="n">
        <v>0</v>
      </c>
      <c r="I313" t="n">
        <v>0</v>
      </c>
      <c r="J313" t="n">
        <v>0</v>
      </c>
      <c r="K313" t="n">
        <v>0</v>
      </c>
      <c r="L313" t="n">
        <v>0</v>
      </c>
      <c r="M313" t="n">
        <v>0</v>
      </c>
      <c r="N313" t="n">
        <v>0</v>
      </c>
      <c r="O313" t="n">
        <v>0</v>
      </c>
      <c r="P313" t="n">
        <v>0</v>
      </c>
      <c r="Q313" t="n">
        <v>0</v>
      </c>
      <c r="R313" s="2" t="inlineStr"/>
    </row>
    <row r="314" ht="15" customHeight="1">
      <c r="A314" t="inlineStr">
        <is>
          <t>A 36348-2025</t>
        </is>
      </c>
      <c r="B314" s="1" t="n">
        <v>45868.4797337963</v>
      </c>
      <c r="C314" s="1" t="n">
        <v>46180</v>
      </c>
      <c r="D314" t="inlineStr">
        <is>
          <t>NORRBOTTENS LÄN</t>
        </is>
      </c>
      <c r="E314" t="inlineStr">
        <is>
          <t>GÄLLIVARE</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36332-2025</t>
        </is>
      </c>
      <c r="B315" s="1" t="n">
        <v>45868</v>
      </c>
      <c r="C315" s="1" t="n">
        <v>46180</v>
      </c>
      <c r="D315" t="inlineStr">
        <is>
          <t>NORRBOTTENS LÄN</t>
        </is>
      </c>
      <c r="E315" t="inlineStr">
        <is>
          <t>GÄLLIVARE</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36346-2025</t>
        </is>
      </c>
      <c r="B316" s="1" t="n">
        <v>45868.47645833333</v>
      </c>
      <c r="C316" s="1" t="n">
        <v>46180</v>
      </c>
      <c r="D316" t="inlineStr">
        <is>
          <t>NORRBOTTENS LÄN</t>
        </is>
      </c>
      <c r="E316" t="inlineStr">
        <is>
          <t>GÄLLIVARE</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36351-2025</t>
        </is>
      </c>
      <c r="B317" s="1" t="n">
        <v>45868.48922453704</v>
      </c>
      <c r="C317" s="1" t="n">
        <v>46180</v>
      </c>
      <c r="D317" t="inlineStr">
        <is>
          <t>NORRBOTTENS LÄN</t>
        </is>
      </c>
      <c r="E317" t="inlineStr">
        <is>
          <t>GÄLLIVARE</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36556-2025</t>
        </is>
      </c>
      <c r="B318" s="1" t="n">
        <v>45870.34478009259</v>
      </c>
      <c r="C318" s="1" t="n">
        <v>46180</v>
      </c>
      <c r="D318" t="inlineStr">
        <is>
          <t>NORRBOTTENS LÄN</t>
        </is>
      </c>
      <c r="E318" t="inlineStr">
        <is>
          <t>GÄLLIVARE</t>
        </is>
      </c>
      <c r="G318" t="n">
        <v>7.3</v>
      </c>
      <c r="H318" t="n">
        <v>0</v>
      </c>
      <c r="I318" t="n">
        <v>0</v>
      </c>
      <c r="J318" t="n">
        <v>0</v>
      </c>
      <c r="K318" t="n">
        <v>0</v>
      </c>
      <c r="L318" t="n">
        <v>0</v>
      </c>
      <c r="M318" t="n">
        <v>0</v>
      </c>
      <c r="N318" t="n">
        <v>0</v>
      </c>
      <c r="O318" t="n">
        <v>0</v>
      </c>
      <c r="P318" t="n">
        <v>0</v>
      </c>
      <c r="Q318" t="n">
        <v>0</v>
      </c>
      <c r="R318" s="2" t="inlineStr"/>
    </row>
    <row r="319" ht="15" customHeight="1">
      <c r="A319" t="inlineStr">
        <is>
          <t>A 36557-2025</t>
        </is>
      </c>
      <c r="B319" s="1" t="n">
        <v>45870.34482638889</v>
      </c>
      <c r="C319" s="1" t="n">
        <v>46180</v>
      </c>
      <c r="D319" t="inlineStr">
        <is>
          <t>NORRBOTTENS LÄN</t>
        </is>
      </c>
      <c r="E319" t="inlineStr">
        <is>
          <t>GÄLLIVARE</t>
        </is>
      </c>
      <c r="G319" t="n">
        <v>2</v>
      </c>
      <c r="H319" t="n">
        <v>0</v>
      </c>
      <c r="I319" t="n">
        <v>0</v>
      </c>
      <c r="J319" t="n">
        <v>0</v>
      </c>
      <c r="K319" t="n">
        <v>0</v>
      </c>
      <c r="L319" t="n">
        <v>0</v>
      </c>
      <c r="M319" t="n">
        <v>0</v>
      </c>
      <c r="N319" t="n">
        <v>0</v>
      </c>
      <c r="O319" t="n">
        <v>0</v>
      </c>
      <c r="P319" t="n">
        <v>0</v>
      </c>
      <c r="Q319" t="n">
        <v>0</v>
      </c>
      <c r="R319" s="2" t="inlineStr"/>
    </row>
    <row r="320" ht="15" customHeight="1">
      <c r="A320" t="inlineStr">
        <is>
          <t>A 36623-2025</t>
        </is>
      </c>
      <c r="B320" s="1" t="n">
        <v>45870.65719907408</v>
      </c>
      <c r="C320" s="1" t="n">
        <v>46180</v>
      </c>
      <c r="D320" t="inlineStr">
        <is>
          <t>NORRBOTTENS LÄN</t>
        </is>
      </c>
      <c r="E320" t="inlineStr">
        <is>
          <t>GÄLLIVARE</t>
        </is>
      </c>
      <c r="G320" t="n">
        <v>2.5</v>
      </c>
      <c r="H320" t="n">
        <v>0</v>
      </c>
      <c r="I320" t="n">
        <v>0</v>
      </c>
      <c r="J320" t="n">
        <v>0</v>
      </c>
      <c r="K320" t="n">
        <v>0</v>
      </c>
      <c r="L320" t="n">
        <v>0</v>
      </c>
      <c r="M320" t="n">
        <v>0</v>
      </c>
      <c r="N320" t="n">
        <v>0</v>
      </c>
      <c r="O320" t="n">
        <v>0</v>
      </c>
      <c r="P320" t="n">
        <v>0</v>
      </c>
      <c r="Q320" t="n">
        <v>0</v>
      </c>
      <c r="R320" s="2" t="inlineStr"/>
    </row>
    <row r="321" ht="15" customHeight="1">
      <c r="A321" t="inlineStr">
        <is>
          <t>A 36555-2025</t>
        </is>
      </c>
      <c r="B321" s="1" t="n">
        <v>45870.34471064815</v>
      </c>
      <c r="C321" s="1" t="n">
        <v>46180</v>
      </c>
      <c r="D321" t="inlineStr">
        <is>
          <t>NORRBOTTENS LÄN</t>
        </is>
      </c>
      <c r="E321" t="inlineStr">
        <is>
          <t>GÄLLIVARE</t>
        </is>
      </c>
      <c r="G321" t="n">
        <v>9.4</v>
      </c>
      <c r="H321" t="n">
        <v>0</v>
      </c>
      <c r="I321" t="n">
        <v>0</v>
      </c>
      <c r="J321" t="n">
        <v>0</v>
      </c>
      <c r="K321" t="n">
        <v>0</v>
      </c>
      <c r="L321" t="n">
        <v>0</v>
      </c>
      <c r="M321" t="n">
        <v>0</v>
      </c>
      <c r="N321" t="n">
        <v>0</v>
      </c>
      <c r="O321" t="n">
        <v>0</v>
      </c>
      <c r="P321" t="n">
        <v>0</v>
      </c>
      <c r="Q321" t="n">
        <v>0</v>
      </c>
      <c r="R321" s="2" t="inlineStr"/>
    </row>
    <row r="322" ht="15" customHeight="1">
      <c r="A322" t="inlineStr">
        <is>
          <t>A 50063-2025</t>
        </is>
      </c>
      <c r="B322" s="1" t="n">
        <v>45943.44826388889</v>
      </c>
      <c r="C322" s="1" t="n">
        <v>46180</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36552-2025</t>
        </is>
      </c>
      <c r="B323" s="1" t="n">
        <v>45870.34417824074</v>
      </c>
      <c r="C323" s="1" t="n">
        <v>46180</v>
      </c>
      <c r="D323" t="inlineStr">
        <is>
          <t>NORRBOTTENS LÄN</t>
        </is>
      </c>
      <c r="E323" t="inlineStr">
        <is>
          <t>GÄLLIVARE</t>
        </is>
      </c>
      <c r="F323" t="inlineStr">
        <is>
          <t>SCA</t>
        </is>
      </c>
      <c r="G323" t="n">
        <v>9.4</v>
      </c>
      <c r="H323" t="n">
        <v>0</v>
      </c>
      <c r="I323" t="n">
        <v>0</v>
      </c>
      <c r="J323" t="n">
        <v>0</v>
      </c>
      <c r="K323" t="n">
        <v>0</v>
      </c>
      <c r="L323" t="n">
        <v>0</v>
      </c>
      <c r="M323" t="n">
        <v>0</v>
      </c>
      <c r="N323" t="n">
        <v>0</v>
      </c>
      <c r="O323" t="n">
        <v>0</v>
      </c>
      <c r="P323" t="n">
        <v>0</v>
      </c>
      <c r="Q323" t="n">
        <v>0</v>
      </c>
      <c r="R323" s="2" t="inlineStr"/>
    </row>
    <row r="324" ht="15" customHeight="1">
      <c r="A324" t="inlineStr">
        <is>
          <t>A 36560-2025</t>
        </is>
      </c>
      <c r="B324" s="1" t="n">
        <v>45870.36483796296</v>
      </c>
      <c r="C324" s="1" t="n">
        <v>46180</v>
      </c>
      <c r="D324" t="inlineStr">
        <is>
          <t>NORRBOTTENS LÄN</t>
        </is>
      </c>
      <c r="E324" t="inlineStr">
        <is>
          <t>GÄLLIVARE</t>
        </is>
      </c>
      <c r="G324" t="n">
        <v>6.9</v>
      </c>
      <c r="H324" t="n">
        <v>0</v>
      </c>
      <c r="I324" t="n">
        <v>0</v>
      </c>
      <c r="J324" t="n">
        <v>0</v>
      </c>
      <c r="K324" t="n">
        <v>0</v>
      </c>
      <c r="L324" t="n">
        <v>0</v>
      </c>
      <c r="M324" t="n">
        <v>0</v>
      </c>
      <c r="N324" t="n">
        <v>0</v>
      </c>
      <c r="O324" t="n">
        <v>0</v>
      </c>
      <c r="P324" t="n">
        <v>0</v>
      </c>
      <c r="Q324" t="n">
        <v>0</v>
      </c>
      <c r="R324" s="2" t="inlineStr"/>
    </row>
    <row r="325" ht="15" customHeight="1">
      <c r="A325" t="inlineStr">
        <is>
          <t>A 36624-2025</t>
        </is>
      </c>
      <c r="B325" s="1" t="n">
        <v>45870.65721064815</v>
      </c>
      <c r="C325" s="1" t="n">
        <v>46180</v>
      </c>
      <c r="D325" t="inlineStr">
        <is>
          <t>NORRBOTTENS LÄN</t>
        </is>
      </c>
      <c r="E325" t="inlineStr">
        <is>
          <t>GÄLLIVARE</t>
        </is>
      </c>
      <c r="G325" t="n">
        <v>1.4</v>
      </c>
      <c r="H325" t="n">
        <v>0</v>
      </c>
      <c r="I325" t="n">
        <v>0</v>
      </c>
      <c r="J325" t="n">
        <v>0</v>
      </c>
      <c r="K325" t="n">
        <v>0</v>
      </c>
      <c r="L325" t="n">
        <v>0</v>
      </c>
      <c r="M325" t="n">
        <v>0</v>
      </c>
      <c r="N325" t="n">
        <v>0</v>
      </c>
      <c r="O325" t="n">
        <v>0</v>
      </c>
      <c r="P325" t="n">
        <v>0</v>
      </c>
      <c r="Q325" t="n">
        <v>0</v>
      </c>
      <c r="R325" s="2" t="inlineStr"/>
    </row>
    <row r="326" ht="15" customHeight="1">
      <c r="A326" t="inlineStr">
        <is>
          <t>A 36625-2025</t>
        </is>
      </c>
      <c r="B326" s="1" t="n">
        <v>45870.65722222222</v>
      </c>
      <c r="C326" s="1" t="n">
        <v>46180</v>
      </c>
      <c r="D326" t="inlineStr">
        <is>
          <t>NORRBOTTENS LÄN</t>
        </is>
      </c>
      <c r="E326" t="inlineStr">
        <is>
          <t>GÄLLIVARE</t>
        </is>
      </c>
      <c r="G326" t="n">
        <v>1.9</v>
      </c>
      <c r="H326" t="n">
        <v>0</v>
      </c>
      <c r="I326" t="n">
        <v>0</v>
      </c>
      <c r="J326" t="n">
        <v>0</v>
      </c>
      <c r="K326" t="n">
        <v>0</v>
      </c>
      <c r="L326" t="n">
        <v>0</v>
      </c>
      <c r="M326" t="n">
        <v>0</v>
      </c>
      <c r="N326" t="n">
        <v>0</v>
      </c>
      <c r="O326" t="n">
        <v>0</v>
      </c>
      <c r="P326" t="n">
        <v>0</v>
      </c>
      <c r="Q326" t="n">
        <v>0</v>
      </c>
      <c r="R326" s="2" t="inlineStr"/>
    </row>
    <row r="327" ht="15" customHeight="1">
      <c r="A327" t="inlineStr">
        <is>
          <t>A 36568-2025</t>
        </is>
      </c>
      <c r="B327" s="1" t="n">
        <v>45870</v>
      </c>
      <c r="C327" s="1" t="n">
        <v>46180</v>
      </c>
      <c r="D327" t="inlineStr">
        <is>
          <t>NORRBOTTENS LÄN</t>
        </is>
      </c>
      <c r="E327" t="inlineStr">
        <is>
          <t>GÄLLIVARE</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36554-2025</t>
        </is>
      </c>
      <c r="B328" s="1" t="n">
        <v>45870</v>
      </c>
      <c r="C328" s="1" t="n">
        <v>46180</v>
      </c>
      <c r="D328" t="inlineStr">
        <is>
          <t>NORRBOTTENS LÄN</t>
        </is>
      </c>
      <c r="E328" t="inlineStr">
        <is>
          <t>GÄLLIVARE</t>
        </is>
      </c>
      <c r="F328" t="inlineStr">
        <is>
          <t>SCA</t>
        </is>
      </c>
      <c r="G328" t="n">
        <v>8.1</v>
      </c>
      <c r="H328" t="n">
        <v>0</v>
      </c>
      <c r="I328" t="n">
        <v>0</v>
      </c>
      <c r="J328" t="n">
        <v>0</v>
      </c>
      <c r="K328" t="n">
        <v>0</v>
      </c>
      <c r="L328" t="n">
        <v>0</v>
      </c>
      <c r="M328" t="n">
        <v>0</v>
      </c>
      <c r="N328" t="n">
        <v>0</v>
      </c>
      <c r="O328" t="n">
        <v>0</v>
      </c>
      <c r="P328" t="n">
        <v>0</v>
      </c>
      <c r="Q328" t="n">
        <v>0</v>
      </c>
      <c r="R328" s="2" t="inlineStr"/>
    </row>
    <row r="329" ht="15" customHeight="1">
      <c r="A329" t="inlineStr">
        <is>
          <t>A 8596-2026</t>
        </is>
      </c>
      <c r="B329" s="1" t="n">
        <v>46065.73914351852</v>
      </c>
      <c r="C329" s="1" t="n">
        <v>46180</v>
      </c>
      <c r="D329" t="inlineStr">
        <is>
          <t>NORRBOTTENS LÄN</t>
        </is>
      </c>
      <c r="E329" t="inlineStr">
        <is>
          <t>GÄLLIVARE</t>
        </is>
      </c>
      <c r="G329" t="n">
        <v>2.9</v>
      </c>
      <c r="H329" t="n">
        <v>0</v>
      </c>
      <c r="I329" t="n">
        <v>0</v>
      </c>
      <c r="J329" t="n">
        <v>0</v>
      </c>
      <c r="K329" t="n">
        <v>0</v>
      </c>
      <c r="L329" t="n">
        <v>0</v>
      </c>
      <c r="M329" t="n">
        <v>0</v>
      </c>
      <c r="N329" t="n">
        <v>0</v>
      </c>
      <c r="O329" t="n">
        <v>0</v>
      </c>
      <c r="P329" t="n">
        <v>0</v>
      </c>
      <c r="Q329" t="n">
        <v>0</v>
      </c>
      <c r="R329" s="2" t="inlineStr"/>
    </row>
    <row r="330" ht="15" customHeight="1">
      <c r="A330" t="inlineStr">
        <is>
          <t>A 8602-2026</t>
        </is>
      </c>
      <c r="B330" s="1" t="n">
        <v>46065.79309027778</v>
      </c>
      <c r="C330" s="1" t="n">
        <v>46180</v>
      </c>
      <c r="D330" t="inlineStr">
        <is>
          <t>NORRBOTTENS LÄN</t>
        </is>
      </c>
      <c r="E330" t="inlineStr">
        <is>
          <t>GÄLLIVARE</t>
        </is>
      </c>
      <c r="G330" t="n">
        <v>3.1</v>
      </c>
      <c r="H330" t="n">
        <v>0</v>
      </c>
      <c r="I330" t="n">
        <v>0</v>
      </c>
      <c r="J330" t="n">
        <v>0</v>
      </c>
      <c r="K330" t="n">
        <v>0</v>
      </c>
      <c r="L330" t="n">
        <v>0</v>
      </c>
      <c r="M330" t="n">
        <v>0</v>
      </c>
      <c r="N330" t="n">
        <v>0</v>
      </c>
      <c r="O330" t="n">
        <v>0</v>
      </c>
      <c r="P330" t="n">
        <v>0</v>
      </c>
      <c r="Q330" t="n">
        <v>0</v>
      </c>
      <c r="R330" s="2" t="inlineStr"/>
    </row>
    <row r="331" ht="15" customHeight="1">
      <c r="A331" t="inlineStr">
        <is>
          <t>A 36924-2025</t>
        </is>
      </c>
      <c r="B331" s="1" t="n">
        <v>45874.54712962963</v>
      </c>
      <c r="C331" s="1" t="n">
        <v>46180</v>
      </c>
      <c r="D331" t="inlineStr">
        <is>
          <t>NORRBOTTENS LÄN</t>
        </is>
      </c>
      <c r="E331" t="inlineStr">
        <is>
          <t>GÄLLIVARE</t>
        </is>
      </c>
      <c r="F331" t="inlineStr">
        <is>
          <t>Sveaskog</t>
        </is>
      </c>
      <c r="G331" t="n">
        <v>15.4</v>
      </c>
      <c r="H331" t="n">
        <v>0</v>
      </c>
      <c r="I331" t="n">
        <v>0</v>
      </c>
      <c r="J331" t="n">
        <v>0</v>
      </c>
      <c r="K331" t="n">
        <v>0</v>
      </c>
      <c r="L331" t="n">
        <v>0</v>
      </c>
      <c r="M331" t="n">
        <v>0</v>
      </c>
      <c r="N331" t="n">
        <v>0</v>
      </c>
      <c r="O331" t="n">
        <v>0</v>
      </c>
      <c r="P331" t="n">
        <v>0</v>
      </c>
      <c r="Q331" t="n">
        <v>0</v>
      </c>
      <c r="R331" s="2" t="inlineStr"/>
    </row>
    <row r="332" ht="15" customHeight="1">
      <c r="A332" t="inlineStr">
        <is>
          <t>A 36868-2025</t>
        </is>
      </c>
      <c r="B332" s="1" t="n">
        <v>45874</v>
      </c>
      <c r="C332" s="1" t="n">
        <v>46180</v>
      </c>
      <c r="D332" t="inlineStr">
        <is>
          <t>NORRBOTTENS LÄN</t>
        </is>
      </c>
      <c r="E332" t="inlineStr">
        <is>
          <t>GÄLLIVARE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50258-2025</t>
        </is>
      </c>
      <c r="B333" s="1" t="n">
        <v>45944.34482638889</v>
      </c>
      <c r="C333" s="1" t="n">
        <v>46180</v>
      </c>
      <c r="D333" t="inlineStr">
        <is>
          <t>NORRBOTTENS LÄN</t>
        </is>
      </c>
      <c r="E333" t="inlineStr">
        <is>
          <t>GÄLLIVARE</t>
        </is>
      </c>
      <c r="F333" t="inlineStr">
        <is>
          <t>SCA</t>
        </is>
      </c>
      <c r="G333" t="n">
        <v>7.9</v>
      </c>
      <c r="H333" t="n">
        <v>0</v>
      </c>
      <c r="I333" t="n">
        <v>0</v>
      </c>
      <c r="J333" t="n">
        <v>0</v>
      </c>
      <c r="K333" t="n">
        <v>0</v>
      </c>
      <c r="L333" t="n">
        <v>0</v>
      </c>
      <c r="M333" t="n">
        <v>0</v>
      </c>
      <c r="N333" t="n">
        <v>0</v>
      </c>
      <c r="O333" t="n">
        <v>0</v>
      </c>
      <c r="P333" t="n">
        <v>0</v>
      </c>
      <c r="Q333" t="n">
        <v>0</v>
      </c>
      <c r="R333" s="2" t="inlineStr"/>
    </row>
    <row r="334" ht="15" customHeight="1">
      <c r="A334" t="inlineStr">
        <is>
          <t>A 53794-2024</t>
        </is>
      </c>
      <c r="B334" s="1" t="n">
        <v>45615.57726851852</v>
      </c>
      <c r="C334" s="1" t="n">
        <v>46180</v>
      </c>
      <c r="D334" t="inlineStr">
        <is>
          <t>NORRBOTTENS LÄN</t>
        </is>
      </c>
      <c r="E334" t="inlineStr">
        <is>
          <t>GÄLLIVARE</t>
        </is>
      </c>
      <c r="G334" t="n">
        <v>2.1</v>
      </c>
      <c r="H334" t="n">
        <v>0</v>
      </c>
      <c r="I334" t="n">
        <v>0</v>
      </c>
      <c r="J334" t="n">
        <v>0</v>
      </c>
      <c r="K334" t="n">
        <v>0</v>
      </c>
      <c r="L334" t="n">
        <v>0</v>
      </c>
      <c r="M334" t="n">
        <v>0</v>
      </c>
      <c r="N334" t="n">
        <v>0</v>
      </c>
      <c r="O334" t="n">
        <v>0</v>
      </c>
      <c r="P334" t="n">
        <v>0</v>
      </c>
      <c r="Q334" t="n">
        <v>0</v>
      </c>
      <c r="R334" s="2" t="inlineStr"/>
    </row>
    <row r="335" ht="15" customHeight="1">
      <c r="A335" t="inlineStr">
        <is>
          <t>A 36997-2025</t>
        </is>
      </c>
      <c r="B335" s="1" t="n">
        <v>45874.67802083334</v>
      </c>
      <c r="C335" s="1" t="n">
        <v>46180</v>
      </c>
      <c r="D335" t="inlineStr">
        <is>
          <t>NORRBOTTENS LÄN</t>
        </is>
      </c>
      <c r="E335" t="inlineStr">
        <is>
          <t>GÄLLIVARE</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36904-2025</t>
        </is>
      </c>
      <c r="B336" s="1" t="n">
        <v>45874.49055555555</v>
      </c>
      <c r="C336" s="1" t="n">
        <v>46180</v>
      </c>
      <c r="D336" t="inlineStr">
        <is>
          <t>NORRBOTTENS LÄN</t>
        </is>
      </c>
      <c r="E336" t="inlineStr">
        <is>
          <t>GÄLLIVARE</t>
        </is>
      </c>
      <c r="F336" t="inlineStr">
        <is>
          <t>Sveaskog</t>
        </is>
      </c>
      <c r="G336" t="n">
        <v>45.8</v>
      </c>
      <c r="H336" t="n">
        <v>0</v>
      </c>
      <c r="I336" t="n">
        <v>0</v>
      </c>
      <c r="J336" t="n">
        <v>0</v>
      </c>
      <c r="K336" t="n">
        <v>0</v>
      </c>
      <c r="L336" t="n">
        <v>0</v>
      </c>
      <c r="M336" t="n">
        <v>0</v>
      </c>
      <c r="N336" t="n">
        <v>0</v>
      </c>
      <c r="O336" t="n">
        <v>0</v>
      </c>
      <c r="P336" t="n">
        <v>0</v>
      </c>
      <c r="Q336" t="n">
        <v>0</v>
      </c>
      <c r="R336" s="2" t="inlineStr"/>
    </row>
    <row r="337" ht="15" customHeight="1">
      <c r="A337" t="inlineStr">
        <is>
          <t>A 50005-2025</t>
        </is>
      </c>
      <c r="B337" s="1" t="n">
        <v>45943.34489583333</v>
      </c>
      <c r="C337" s="1" t="n">
        <v>46180</v>
      </c>
      <c r="D337" t="inlineStr">
        <is>
          <t>NORRBOTTENS LÄN</t>
        </is>
      </c>
      <c r="E337" t="inlineStr">
        <is>
          <t>GÄLLIVARE</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8394-2026</t>
        </is>
      </c>
      <c r="B338" s="1" t="n">
        <v>46065.12712962963</v>
      </c>
      <c r="C338" s="1" t="n">
        <v>46180</v>
      </c>
      <c r="D338" t="inlineStr">
        <is>
          <t>NORRBOTTENS LÄN</t>
        </is>
      </c>
      <c r="E338" t="inlineStr">
        <is>
          <t>GÄLLIVARE</t>
        </is>
      </c>
      <c r="G338" t="n">
        <v>1</v>
      </c>
      <c r="H338" t="n">
        <v>0</v>
      </c>
      <c r="I338" t="n">
        <v>0</v>
      </c>
      <c r="J338" t="n">
        <v>0</v>
      </c>
      <c r="K338" t="n">
        <v>0</v>
      </c>
      <c r="L338" t="n">
        <v>0</v>
      </c>
      <c r="M338" t="n">
        <v>0</v>
      </c>
      <c r="N338" t="n">
        <v>0</v>
      </c>
      <c r="O338" t="n">
        <v>0</v>
      </c>
      <c r="P338" t="n">
        <v>0</v>
      </c>
      <c r="Q338" t="n">
        <v>0</v>
      </c>
      <c r="R338" s="2" t="inlineStr"/>
    </row>
    <row r="339" ht="15" customHeight="1">
      <c r="A339" t="inlineStr">
        <is>
          <t>A 25923-2024</t>
        </is>
      </c>
      <c r="B339" s="1" t="n">
        <v>45467</v>
      </c>
      <c r="C339" s="1" t="n">
        <v>46180</v>
      </c>
      <c r="D339" t="inlineStr">
        <is>
          <t>NORRBOTTENS LÄN</t>
        </is>
      </c>
      <c r="E339" t="inlineStr">
        <is>
          <t>GÄLLIVARE</t>
        </is>
      </c>
      <c r="F339" t="inlineStr">
        <is>
          <t>Allmännings- och besparingsskogar</t>
        </is>
      </c>
      <c r="G339" t="n">
        <v>15.1</v>
      </c>
      <c r="H339" t="n">
        <v>0</v>
      </c>
      <c r="I339" t="n">
        <v>0</v>
      </c>
      <c r="J339" t="n">
        <v>0</v>
      </c>
      <c r="K339" t="n">
        <v>0</v>
      </c>
      <c r="L339" t="n">
        <v>0</v>
      </c>
      <c r="M339" t="n">
        <v>0</v>
      </c>
      <c r="N339" t="n">
        <v>0</v>
      </c>
      <c r="O339" t="n">
        <v>0</v>
      </c>
      <c r="P339" t="n">
        <v>0</v>
      </c>
      <c r="Q339" t="n">
        <v>0</v>
      </c>
      <c r="R339" s="2" t="inlineStr"/>
    </row>
    <row r="340" ht="15" customHeight="1">
      <c r="A340" t="inlineStr">
        <is>
          <t>A 25935-2024</t>
        </is>
      </c>
      <c r="B340" s="1" t="n">
        <v>45467</v>
      </c>
      <c r="C340" s="1" t="n">
        <v>46180</v>
      </c>
      <c r="D340" t="inlineStr">
        <is>
          <t>NORRBOTTENS LÄN</t>
        </is>
      </c>
      <c r="E340" t="inlineStr">
        <is>
          <t>GÄLLIVARE</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46180</v>
      </c>
      <c r="D341" t="inlineStr">
        <is>
          <t>NORRBOTTENS LÄN</t>
        </is>
      </c>
      <c r="E341" t="inlineStr">
        <is>
          <t>GÄLLIVARE</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59926-2021</t>
        </is>
      </c>
      <c r="B342" s="1" t="n">
        <v>44494</v>
      </c>
      <c r="C342" s="1" t="n">
        <v>46180</v>
      </c>
      <c r="D342" t="inlineStr">
        <is>
          <t>NORRBOTTENS LÄN</t>
        </is>
      </c>
      <c r="E342" t="inlineStr">
        <is>
          <t>GÄLLIVARE</t>
        </is>
      </c>
      <c r="F342" t="inlineStr">
        <is>
          <t>Allmännings- och besparingsskogar</t>
        </is>
      </c>
      <c r="G342" t="n">
        <v>4</v>
      </c>
      <c r="H342" t="n">
        <v>0</v>
      </c>
      <c r="I342" t="n">
        <v>0</v>
      </c>
      <c r="J342" t="n">
        <v>0</v>
      </c>
      <c r="K342" t="n">
        <v>0</v>
      </c>
      <c r="L342" t="n">
        <v>0</v>
      </c>
      <c r="M342" t="n">
        <v>0</v>
      </c>
      <c r="N342" t="n">
        <v>0</v>
      </c>
      <c r="O342" t="n">
        <v>0</v>
      </c>
      <c r="P342" t="n">
        <v>0</v>
      </c>
      <c r="Q342" t="n">
        <v>0</v>
      </c>
      <c r="R342" s="2" t="inlineStr"/>
    </row>
    <row r="343" ht="15" customHeight="1">
      <c r="A343" t="inlineStr">
        <is>
          <t>A 50772-2025</t>
        </is>
      </c>
      <c r="B343" s="1" t="n">
        <v>45946.44892361111</v>
      </c>
      <c r="C343" s="1" t="n">
        <v>46180</v>
      </c>
      <c r="D343" t="inlineStr">
        <is>
          <t>NORRBOTTENS LÄN</t>
        </is>
      </c>
      <c r="E343" t="inlineStr">
        <is>
          <t>GÄLLIVARE</t>
        </is>
      </c>
      <c r="G343" t="n">
        <v>0.7</v>
      </c>
      <c r="H343" t="n">
        <v>0</v>
      </c>
      <c r="I343" t="n">
        <v>0</v>
      </c>
      <c r="J343" t="n">
        <v>0</v>
      </c>
      <c r="K343" t="n">
        <v>0</v>
      </c>
      <c r="L343" t="n">
        <v>0</v>
      </c>
      <c r="M343" t="n">
        <v>0</v>
      </c>
      <c r="N343" t="n">
        <v>0</v>
      </c>
      <c r="O343" t="n">
        <v>0</v>
      </c>
      <c r="P343" t="n">
        <v>0</v>
      </c>
      <c r="Q343" t="n">
        <v>0</v>
      </c>
      <c r="R343" s="2" t="inlineStr"/>
    </row>
    <row r="344" ht="15" customHeight="1">
      <c r="A344" t="inlineStr">
        <is>
          <t>A 50773-2025</t>
        </is>
      </c>
      <c r="B344" s="1" t="n">
        <v>45946.44894675926</v>
      </c>
      <c r="C344" s="1" t="n">
        <v>46180</v>
      </c>
      <c r="D344" t="inlineStr">
        <is>
          <t>NORRBOTTENS LÄN</t>
        </is>
      </c>
      <c r="E344" t="inlineStr">
        <is>
          <t>GÄLLIVARE</t>
        </is>
      </c>
      <c r="G344" t="n">
        <v>21.8</v>
      </c>
      <c r="H344" t="n">
        <v>0</v>
      </c>
      <c r="I344" t="n">
        <v>0</v>
      </c>
      <c r="J344" t="n">
        <v>0</v>
      </c>
      <c r="K344" t="n">
        <v>0</v>
      </c>
      <c r="L344" t="n">
        <v>0</v>
      </c>
      <c r="M344" t="n">
        <v>0</v>
      </c>
      <c r="N344" t="n">
        <v>0</v>
      </c>
      <c r="O344" t="n">
        <v>0</v>
      </c>
      <c r="P344" t="n">
        <v>0</v>
      </c>
      <c r="Q344" t="n">
        <v>0</v>
      </c>
      <c r="R344" s="2" t="inlineStr"/>
    </row>
    <row r="345" ht="15" customHeight="1">
      <c r="A345" t="inlineStr">
        <is>
          <t>A 28646-2023</t>
        </is>
      </c>
      <c r="B345" s="1" t="n">
        <v>45096</v>
      </c>
      <c r="C345" s="1" t="n">
        <v>46180</v>
      </c>
      <c r="D345" t="inlineStr">
        <is>
          <t>NORRBOTTENS LÄN</t>
        </is>
      </c>
      <c r="E345" t="inlineStr">
        <is>
          <t>GÄLLIVARE</t>
        </is>
      </c>
      <c r="F345" t="inlineStr">
        <is>
          <t>Allmännings- och besparingsskogar</t>
        </is>
      </c>
      <c r="G345" t="n">
        <v>1.9</v>
      </c>
      <c r="H345" t="n">
        <v>0</v>
      </c>
      <c r="I345" t="n">
        <v>0</v>
      </c>
      <c r="J345" t="n">
        <v>0</v>
      </c>
      <c r="K345" t="n">
        <v>0</v>
      </c>
      <c r="L345" t="n">
        <v>0</v>
      </c>
      <c r="M345" t="n">
        <v>0</v>
      </c>
      <c r="N345" t="n">
        <v>0</v>
      </c>
      <c r="O345" t="n">
        <v>0</v>
      </c>
      <c r="P345" t="n">
        <v>0</v>
      </c>
      <c r="Q345" t="n">
        <v>0</v>
      </c>
      <c r="R345" s="2" t="inlineStr"/>
    </row>
    <row r="346" ht="15" customHeight="1">
      <c r="A346" t="inlineStr">
        <is>
          <t>A 36322-2023</t>
        </is>
      </c>
      <c r="B346" s="1" t="n">
        <v>45152</v>
      </c>
      <c r="C346" s="1" t="n">
        <v>46180</v>
      </c>
      <c r="D346" t="inlineStr">
        <is>
          <t>NORRBOTTENS LÄN</t>
        </is>
      </c>
      <c r="E346" t="inlineStr">
        <is>
          <t>GÄLLIVARE</t>
        </is>
      </c>
      <c r="F346" t="inlineStr">
        <is>
          <t>Allmännings- och besparingsskogar</t>
        </is>
      </c>
      <c r="G346" t="n">
        <v>36.8</v>
      </c>
      <c r="H346" t="n">
        <v>0</v>
      </c>
      <c r="I346" t="n">
        <v>0</v>
      </c>
      <c r="J346" t="n">
        <v>0</v>
      </c>
      <c r="K346" t="n">
        <v>0</v>
      </c>
      <c r="L346" t="n">
        <v>0</v>
      </c>
      <c r="M346" t="n">
        <v>0</v>
      </c>
      <c r="N346" t="n">
        <v>0</v>
      </c>
      <c r="O346" t="n">
        <v>0</v>
      </c>
      <c r="P346" t="n">
        <v>0</v>
      </c>
      <c r="Q346" t="n">
        <v>0</v>
      </c>
      <c r="R346" s="2" t="inlineStr"/>
    </row>
    <row r="347" ht="15" customHeight="1">
      <c r="A347" t="inlineStr">
        <is>
          <t>A 33373-2023</t>
        </is>
      </c>
      <c r="B347" s="1" t="n">
        <v>45117</v>
      </c>
      <c r="C347" s="1" t="n">
        <v>46180</v>
      </c>
      <c r="D347" t="inlineStr">
        <is>
          <t>NORRBOTTENS LÄN</t>
        </is>
      </c>
      <c r="E347" t="inlineStr">
        <is>
          <t>GÄLLIVARE</t>
        </is>
      </c>
      <c r="F347" t="inlineStr">
        <is>
          <t>Allmännings- och besparingsskogar</t>
        </is>
      </c>
      <c r="G347" t="n">
        <v>3</v>
      </c>
      <c r="H347" t="n">
        <v>0</v>
      </c>
      <c r="I347" t="n">
        <v>0</v>
      </c>
      <c r="J347" t="n">
        <v>0</v>
      </c>
      <c r="K347" t="n">
        <v>0</v>
      </c>
      <c r="L347" t="n">
        <v>0</v>
      </c>
      <c r="M347" t="n">
        <v>0</v>
      </c>
      <c r="N347" t="n">
        <v>0</v>
      </c>
      <c r="O347" t="n">
        <v>0</v>
      </c>
      <c r="P347" t="n">
        <v>0</v>
      </c>
      <c r="Q347" t="n">
        <v>0</v>
      </c>
      <c r="R347" s="2" t="inlineStr"/>
    </row>
    <row r="348" ht="15" customHeight="1">
      <c r="A348" t="inlineStr">
        <is>
          <t>A 36014-2023</t>
        </is>
      </c>
      <c r="B348" s="1" t="n">
        <v>45148</v>
      </c>
      <c r="C348" s="1" t="n">
        <v>46180</v>
      </c>
      <c r="D348" t="inlineStr">
        <is>
          <t>NORRBOTTENS LÄN</t>
        </is>
      </c>
      <c r="E348" t="inlineStr">
        <is>
          <t>GÄLLIVARE</t>
        </is>
      </c>
      <c r="F348" t="inlineStr">
        <is>
          <t>Allmännings- och besparingsskogar</t>
        </is>
      </c>
      <c r="G348" t="n">
        <v>9.9</v>
      </c>
      <c r="H348" t="n">
        <v>0</v>
      </c>
      <c r="I348" t="n">
        <v>0</v>
      </c>
      <c r="J348" t="n">
        <v>0</v>
      </c>
      <c r="K348" t="n">
        <v>0</v>
      </c>
      <c r="L348" t="n">
        <v>0</v>
      </c>
      <c r="M348" t="n">
        <v>0</v>
      </c>
      <c r="N348" t="n">
        <v>0</v>
      </c>
      <c r="O348" t="n">
        <v>0</v>
      </c>
      <c r="P348" t="n">
        <v>0</v>
      </c>
      <c r="Q348" t="n">
        <v>0</v>
      </c>
      <c r="R348" s="2" t="inlineStr"/>
    </row>
    <row r="349" ht="15" customHeight="1">
      <c r="A349" t="inlineStr">
        <is>
          <t>A 36039-2023</t>
        </is>
      </c>
      <c r="B349" s="1" t="n">
        <v>45148</v>
      </c>
      <c r="C349" s="1" t="n">
        <v>46180</v>
      </c>
      <c r="D349" t="inlineStr">
        <is>
          <t>NORRBOTTENS LÄN</t>
        </is>
      </c>
      <c r="E349" t="inlineStr">
        <is>
          <t>GÄLLIVARE</t>
        </is>
      </c>
      <c r="F349" t="inlineStr">
        <is>
          <t>Allmännings- och besparingsskogar</t>
        </is>
      </c>
      <c r="G349" t="n">
        <v>24.3</v>
      </c>
      <c r="H349" t="n">
        <v>0</v>
      </c>
      <c r="I349" t="n">
        <v>0</v>
      </c>
      <c r="J349" t="n">
        <v>0</v>
      </c>
      <c r="K349" t="n">
        <v>0</v>
      </c>
      <c r="L349" t="n">
        <v>0</v>
      </c>
      <c r="M349" t="n">
        <v>0</v>
      </c>
      <c r="N349" t="n">
        <v>0</v>
      </c>
      <c r="O349" t="n">
        <v>0</v>
      </c>
      <c r="P349" t="n">
        <v>0</v>
      </c>
      <c r="Q349" t="n">
        <v>0</v>
      </c>
      <c r="R349" s="2" t="inlineStr"/>
    </row>
    <row r="350" ht="15" customHeight="1">
      <c r="A350" t="inlineStr">
        <is>
          <t>A 39756-2024</t>
        </is>
      </c>
      <c r="B350" s="1" t="n">
        <v>45552</v>
      </c>
      <c r="C350" s="1" t="n">
        <v>46180</v>
      </c>
      <c r="D350" t="inlineStr">
        <is>
          <t>NORRBOTTENS LÄN</t>
        </is>
      </c>
      <c r="E350" t="inlineStr">
        <is>
          <t>GÄLLIVARE</t>
        </is>
      </c>
      <c r="F350" t="inlineStr">
        <is>
          <t>Allmännings- och besparingsskogar</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39757-2024</t>
        </is>
      </c>
      <c r="B351" s="1" t="n">
        <v>45552</v>
      </c>
      <c r="C351" s="1" t="n">
        <v>46180</v>
      </c>
      <c r="D351" t="inlineStr">
        <is>
          <t>NORRBOTTENS LÄN</t>
        </is>
      </c>
      <c r="E351" t="inlineStr">
        <is>
          <t>GÄLLIVARE</t>
        </is>
      </c>
      <c r="F351" t="inlineStr">
        <is>
          <t>Allmännings- och besparingsskogar</t>
        </is>
      </c>
      <c r="G351" t="n">
        <v>36.2</v>
      </c>
      <c r="H351" t="n">
        <v>0</v>
      </c>
      <c r="I351" t="n">
        <v>0</v>
      </c>
      <c r="J351" t="n">
        <v>0</v>
      </c>
      <c r="K351" t="n">
        <v>0</v>
      </c>
      <c r="L351" t="n">
        <v>0</v>
      </c>
      <c r="M351" t="n">
        <v>0</v>
      </c>
      <c r="N351" t="n">
        <v>0</v>
      </c>
      <c r="O351" t="n">
        <v>0</v>
      </c>
      <c r="P351" t="n">
        <v>0</v>
      </c>
      <c r="Q351" t="n">
        <v>0</v>
      </c>
      <c r="R351" s="2" t="inlineStr"/>
    </row>
    <row r="352" ht="15" customHeight="1">
      <c r="A352" t="inlineStr">
        <is>
          <t>A 57909-2023</t>
        </is>
      </c>
      <c r="B352" s="1" t="n">
        <v>45244</v>
      </c>
      <c r="C352" s="1" t="n">
        <v>46180</v>
      </c>
      <c r="D352" t="inlineStr">
        <is>
          <t>NORRBOTTENS LÄN</t>
        </is>
      </c>
      <c r="E352" t="inlineStr">
        <is>
          <t>GÄLLIVARE</t>
        </is>
      </c>
      <c r="F352" t="inlineStr">
        <is>
          <t>Allmännings- och besparingsskogar</t>
        </is>
      </c>
      <c r="G352" t="n">
        <v>4.5</v>
      </c>
      <c r="H352" t="n">
        <v>0</v>
      </c>
      <c r="I352" t="n">
        <v>0</v>
      </c>
      <c r="J352" t="n">
        <v>0</v>
      </c>
      <c r="K352" t="n">
        <v>0</v>
      </c>
      <c r="L352" t="n">
        <v>0</v>
      </c>
      <c r="M352" t="n">
        <v>0</v>
      </c>
      <c r="N352" t="n">
        <v>0</v>
      </c>
      <c r="O352" t="n">
        <v>0</v>
      </c>
      <c r="P352" t="n">
        <v>0</v>
      </c>
      <c r="Q352" t="n">
        <v>0</v>
      </c>
      <c r="R352" s="2" t="inlineStr"/>
    </row>
    <row r="353" ht="15" customHeight="1">
      <c r="A353" t="inlineStr">
        <is>
          <t>A 53677-2024</t>
        </is>
      </c>
      <c r="B353" s="1" t="n">
        <v>45612</v>
      </c>
      <c r="C353" s="1" t="n">
        <v>46180</v>
      </c>
      <c r="D353" t="inlineStr">
        <is>
          <t>NORRBOTTENS LÄN</t>
        </is>
      </c>
      <c r="E353" t="inlineStr">
        <is>
          <t>GÄLLIVARE</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37021-2025</t>
        </is>
      </c>
      <c r="B354" s="1" t="n">
        <v>45874</v>
      </c>
      <c r="C354" s="1" t="n">
        <v>46180</v>
      </c>
      <c r="D354" t="inlineStr">
        <is>
          <t>NORRBOTTENS LÄN</t>
        </is>
      </c>
      <c r="E354" t="inlineStr">
        <is>
          <t>GÄLLIVARE</t>
        </is>
      </c>
      <c r="F354" t="inlineStr">
        <is>
          <t>Allmännings- och besparingsskogar</t>
        </is>
      </c>
      <c r="G354" t="n">
        <v>40.5</v>
      </c>
      <c r="H354" t="n">
        <v>0</v>
      </c>
      <c r="I354" t="n">
        <v>0</v>
      </c>
      <c r="J354" t="n">
        <v>0</v>
      </c>
      <c r="K354" t="n">
        <v>0</v>
      </c>
      <c r="L354" t="n">
        <v>0</v>
      </c>
      <c r="M354" t="n">
        <v>0</v>
      </c>
      <c r="N354" t="n">
        <v>0</v>
      </c>
      <c r="O354" t="n">
        <v>0</v>
      </c>
      <c r="P354" t="n">
        <v>0</v>
      </c>
      <c r="Q354" t="n">
        <v>0</v>
      </c>
      <c r="R354" s="2" t="inlineStr"/>
    </row>
    <row r="355" ht="15" customHeight="1">
      <c r="A355" t="inlineStr">
        <is>
          <t>A 40146-2025</t>
        </is>
      </c>
      <c r="B355" s="1" t="n">
        <v>45894</v>
      </c>
      <c r="C355" s="1" t="n">
        <v>46180</v>
      </c>
      <c r="D355" t="inlineStr">
        <is>
          <t>NORRBOTTENS LÄN</t>
        </is>
      </c>
      <c r="E355" t="inlineStr">
        <is>
          <t>GÄLLIVARE</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24457-2025</t>
        </is>
      </c>
      <c r="B356" s="1" t="n">
        <v>45798</v>
      </c>
      <c r="C356" s="1" t="n">
        <v>46180</v>
      </c>
      <c r="D356" t="inlineStr">
        <is>
          <t>NORRBOTTENS LÄN</t>
        </is>
      </c>
      <c r="E356" t="inlineStr">
        <is>
          <t>GÄLLIVARE</t>
        </is>
      </c>
      <c r="F356" t="inlineStr">
        <is>
          <t>SCA</t>
        </is>
      </c>
      <c r="G356" t="n">
        <v>10.9</v>
      </c>
      <c r="H356" t="n">
        <v>0</v>
      </c>
      <c r="I356" t="n">
        <v>0</v>
      </c>
      <c r="J356" t="n">
        <v>0</v>
      </c>
      <c r="K356" t="n">
        <v>0</v>
      </c>
      <c r="L356" t="n">
        <v>0</v>
      </c>
      <c r="M356" t="n">
        <v>0</v>
      </c>
      <c r="N356" t="n">
        <v>0</v>
      </c>
      <c r="O356" t="n">
        <v>0</v>
      </c>
      <c r="P356" t="n">
        <v>0</v>
      </c>
      <c r="Q356" t="n">
        <v>0</v>
      </c>
      <c r="R356" s="2" t="inlineStr"/>
    </row>
    <row r="357" ht="15" customHeight="1">
      <c r="A357" t="inlineStr">
        <is>
          <t>A 53891-2024</t>
        </is>
      </c>
      <c r="B357" s="1" t="n">
        <v>45614</v>
      </c>
      <c r="C357" s="1" t="n">
        <v>46180</v>
      </c>
      <c r="D357" t="inlineStr">
        <is>
          <t>NORRBOTTENS LÄN</t>
        </is>
      </c>
      <c r="E357" t="inlineStr">
        <is>
          <t>GÄLLIVARE</t>
        </is>
      </c>
      <c r="F357" t="inlineStr">
        <is>
          <t>Allmännings- och besparingsskogar</t>
        </is>
      </c>
      <c r="G357" t="n">
        <v>27.3</v>
      </c>
      <c r="H357" t="n">
        <v>0</v>
      </c>
      <c r="I357" t="n">
        <v>0</v>
      </c>
      <c r="J357" t="n">
        <v>0</v>
      </c>
      <c r="K357" t="n">
        <v>0</v>
      </c>
      <c r="L357" t="n">
        <v>0</v>
      </c>
      <c r="M357" t="n">
        <v>0</v>
      </c>
      <c r="N357" t="n">
        <v>0</v>
      </c>
      <c r="O357" t="n">
        <v>0</v>
      </c>
      <c r="P357" t="n">
        <v>0</v>
      </c>
      <c r="Q357" t="n">
        <v>0</v>
      </c>
      <c r="R357" s="2" t="inlineStr"/>
    </row>
    <row r="358" ht="15" customHeight="1">
      <c r="A358" t="inlineStr">
        <is>
          <t>A 40139-2025</t>
        </is>
      </c>
      <c r="B358" s="1" t="n">
        <v>45894</v>
      </c>
      <c r="C358" s="1" t="n">
        <v>46180</v>
      </c>
      <c r="D358" t="inlineStr">
        <is>
          <t>NORRBOTTENS LÄN</t>
        </is>
      </c>
      <c r="E358" t="inlineStr">
        <is>
          <t>GÄLLIVARE</t>
        </is>
      </c>
      <c r="F358" t="inlineStr">
        <is>
          <t>Allmännings- och besparingsskogar</t>
        </is>
      </c>
      <c r="G358" t="n">
        <v>18.3</v>
      </c>
      <c r="H358" t="n">
        <v>0</v>
      </c>
      <c r="I358" t="n">
        <v>0</v>
      </c>
      <c r="J358" t="n">
        <v>0</v>
      </c>
      <c r="K358" t="n">
        <v>0</v>
      </c>
      <c r="L358" t="n">
        <v>0</v>
      </c>
      <c r="M358" t="n">
        <v>0</v>
      </c>
      <c r="N358" t="n">
        <v>0</v>
      </c>
      <c r="O358" t="n">
        <v>0</v>
      </c>
      <c r="P358" t="n">
        <v>0</v>
      </c>
      <c r="Q358" t="n">
        <v>0</v>
      </c>
      <c r="R358" s="2" t="inlineStr"/>
    </row>
    <row r="359" ht="15" customHeight="1">
      <c r="A359" t="inlineStr">
        <is>
          <t>A 36790-2025</t>
        </is>
      </c>
      <c r="B359" s="1" t="n">
        <v>45873.63587962963</v>
      </c>
      <c r="C359" s="1" t="n">
        <v>46180</v>
      </c>
      <c r="D359" t="inlineStr">
        <is>
          <t>NORRBOTTENS LÄN</t>
        </is>
      </c>
      <c r="E359" t="inlineStr">
        <is>
          <t>GÄLLIVARE</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50532-2025</t>
        </is>
      </c>
      <c r="B360" s="1" t="n">
        <v>45945.47921296296</v>
      </c>
      <c r="C360" s="1" t="n">
        <v>46180</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50536-2025</t>
        </is>
      </c>
      <c r="B361" s="1" t="n">
        <v>45945.48712962963</v>
      </c>
      <c r="C361" s="1" t="n">
        <v>46180</v>
      </c>
      <c r="D361" t="inlineStr">
        <is>
          <t>NORRBOTTENS LÄN</t>
        </is>
      </c>
      <c r="E361" t="inlineStr">
        <is>
          <t>GÄLLIVARE</t>
        </is>
      </c>
      <c r="G361" t="n">
        <v>2.5</v>
      </c>
      <c r="H361" t="n">
        <v>0</v>
      </c>
      <c r="I361" t="n">
        <v>0</v>
      </c>
      <c r="J361" t="n">
        <v>0</v>
      </c>
      <c r="K361" t="n">
        <v>0</v>
      </c>
      <c r="L361" t="n">
        <v>0</v>
      </c>
      <c r="M361" t="n">
        <v>0</v>
      </c>
      <c r="N361" t="n">
        <v>0</v>
      </c>
      <c r="O361" t="n">
        <v>0</v>
      </c>
      <c r="P361" t="n">
        <v>0</v>
      </c>
      <c r="Q361" t="n">
        <v>0</v>
      </c>
      <c r="R361" s="2" t="inlineStr"/>
    </row>
    <row r="362" ht="15" customHeight="1">
      <c r="A362" t="inlineStr">
        <is>
          <t>A 50763-2025</t>
        </is>
      </c>
      <c r="B362" s="1" t="n">
        <v>45946</v>
      </c>
      <c r="C362" s="1" t="n">
        <v>46180</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50534-2025</t>
        </is>
      </c>
      <c r="B363" s="1" t="n">
        <v>45945.48403935185</v>
      </c>
      <c r="C363" s="1" t="n">
        <v>46180</v>
      </c>
      <c r="D363" t="inlineStr">
        <is>
          <t>NORRBOTTENS LÄN</t>
        </is>
      </c>
      <c r="E363" t="inlineStr">
        <is>
          <t>GÄLLIVARE</t>
        </is>
      </c>
      <c r="G363" t="n">
        <v>0.8</v>
      </c>
      <c r="H363" t="n">
        <v>0</v>
      </c>
      <c r="I363" t="n">
        <v>0</v>
      </c>
      <c r="J363" t="n">
        <v>0</v>
      </c>
      <c r="K363" t="n">
        <v>0</v>
      </c>
      <c r="L363" t="n">
        <v>0</v>
      </c>
      <c r="M363" t="n">
        <v>0</v>
      </c>
      <c r="N363" t="n">
        <v>0</v>
      </c>
      <c r="O363" t="n">
        <v>0</v>
      </c>
      <c r="P363" t="n">
        <v>0</v>
      </c>
      <c r="Q363" t="n">
        <v>0</v>
      </c>
      <c r="R363" s="2" t="inlineStr"/>
    </row>
    <row r="364" ht="15" customHeight="1">
      <c r="A364" t="inlineStr">
        <is>
          <t>A 50771-2025</t>
        </is>
      </c>
      <c r="B364" s="1" t="n">
        <v>45946</v>
      </c>
      <c r="C364" s="1" t="n">
        <v>46180</v>
      </c>
      <c r="D364" t="inlineStr">
        <is>
          <t>NORRBOTTENS LÄN</t>
        </is>
      </c>
      <c r="E364" t="inlineStr">
        <is>
          <t>GÄLLIVARE</t>
        </is>
      </c>
      <c r="G364" t="n">
        <v>0.9</v>
      </c>
      <c r="H364" t="n">
        <v>0</v>
      </c>
      <c r="I364" t="n">
        <v>0</v>
      </c>
      <c r="J364" t="n">
        <v>0</v>
      </c>
      <c r="K364" t="n">
        <v>0</v>
      </c>
      <c r="L364" t="n">
        <v>0</v>
      </c>
      <c r="M364" t="n">
        <v>0</v>
      </c>
      <c r="N364" t="n">
        <v>0</v>
      </c>
      <c r="O364" t="n">
        <v>0</v>
      </c>
      <c r="P364" t="n">
        <v>0</v>
      </c>
      <c r="Q364" t="n">
        <v>0</v>
      </c>
      <c r="R364" s="2" t="inlineStr"/>
    </row>
    <row r="365" ht="15" customHeight="1">
      <c r="A365" t="inlineStr">
        <is>
          <t>A 25941-2024</t>
        </is>
      </c>
      <c r="B365" s="1" t="n">
        <v>45467</v>
      </c>
      <c r="C365" s="1" t="n">
        <v>46180</v>
      </c>
      <c r="D365" t="inlineStr">
        <is>
          <t>NORRBOTTENS LÄN</t>
        </is>
      </c>
      <c r="E365" t="inlineStr">
        <is>
          <t>GÄLLIVARE</t>
        </is>
      </c>
      <c r="F365" t="inlineStr">
        <is>
          <t>Allmännings- och besparingsskogar</t>
        </is>
      </c>
      <c r="G365" t="n">
        <v>18</v>
      </c>
      <c r="H365" t="n">
        <v>0</v>
      </c>
      <c r="I365" t="n">
        <v>0</v>
      </c>
      <c r="J365" t="n">
        <v>0</v>
      </c>
      <c r="K365" t="n">
        <v>0</v>
      </c>
      <c r="L365" t="n">
        <v>0</v>
      </c>
      <c r="M365" t="n">
        <v>0</v>
      </c>
      <c r="N365" t="n">
        <v>0</v>
      </c>
      <c r="O365" t="n">
        <v>0</v>
      </c>
      <c r="P365" t="n">
        <v>0</v>
      </c>
      <c r="Q365" t="n">
        <v>0</v>
      </c>
      <c r="R365" s="2" t="inlineStr"/>
    </row>
    <row r="366" ht="15" customHeight="1">
      <c r="A366" t="inlineStr">
        <is>
          <t>A 44391-2024</t>
        </is>
      </c>
      <c r="B366" s="1" t="n">
        <v>45573</v>
      </c>
      <c r="C366" s="1" t="n">
        <v>46180</v>
      </c>
      <c r="D366" t="inlineStr">
        <is>
          <t>NORRBOTTENS LÄN</t>
        </is>
      </c>
      <c r="E366" t="inlineStr">
        <is>
          <t>GÄLLIVARE</t>
        </is>
      </c>
      <c r="F366" t="inlineStr">
        <is>
          <t>Allmännings- och besparingsskogar</t>
        </is>
      </c>
      <c r="G366" t="n">
        <v>11</v>
      </c>
      <c r="H366" t="n">
        <v>0</v>
      </c>
      <c r="I366" t="n">
        <v>0</v>
      </c>
      <c r="J366" t="n">
        <v>0</v>
      </c>
      <c r="K366" t="n">
        <v>0</v>
      </c>
      <c r="L366" t="n">
        <v>0</v>
      </c>
      <c r="M366" t="n">
        <v>0</v>
      </c>
      <c r="N366" t="n">
        <v>0</v>
      </c>
      <c r="O366" t="n">
        <v>0</v>
      </c>
      <c r="P366" t="n">
        <v>0</v>
      </c>
      <c r="Q366" t="n">
        <v>0</v>
      </c>
      <c r="R366" s="2" t="inlineStr"/>
    </row>
    <row r="367" ht="15" customHeight="1">
      <c r="A367" t="inlineStr">
        <is>
          <t>A 57705-2024</t>
        </is>
      </c>
      <c r="B367" s="1" t="n">
        <v>45630</v>
      </c>
      <c r="C367" s="1" t="n">
        <v>46180</v>
      </c>
      <c r="D367" t="inlineStr">
        <is>
          <t>NORRBOTTENS LÄN</t>
        </is>
      </c>
      <c r="E367" t="inlineStr">
        <is>
          <t>GÄLLIVARE</t>
        </is>
      </c>
      <c r="G367" t="n">
        <v>5.6</v>
      </c>
      <c r="H367" t="n">
        <v>0</v>
      </c>
      <c r="I367" t="n">
        <v>0</v>
      </c>
      <c r="J367" t="n">
        <v>0</v>
      </c>
      <c r="K367" t="n">
        <v>0</v>
      </c>
      <c r="L367" t="n">
        <v>0</v>
      </c>
      <c r="M367" t="n">
        <v>0</v>
      </c>
      <c r="N367" t="n">
        <v>0</v>
      </c>
      <c r="O367" t="n">
        <v>0</v>
      </c>
      <c r="P367" t="n">
        <v>0</v>
      </c>
      <c r="Q367" t="n">
        <v>0</v>
      </c>
      <c r="R367" s="2" t="inlineStr"/>
    </row>
    <row r="368" ht="15" customHeight="1">
      <c r="A368" t="inlineStr">
        <is>
          <t>A 8190-2025</t>
        </is>
      </c>
      <c r="B368" s="1" t="n">
        <v>45708.40659722222</v>
      </c>
      <c r="C368" s="1" t="n">
        <v>46180</v>
      </c>
      <c r="D368" t="inlineStr">
        <is>
          <t>NORRBOTTENS LÄN</t>
        </is>
      </c>
      <c r="E368" t="inlineStr">
        <is>
          <t>GÄLLIVARE</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61473-2024</t>
        </is>
      </c>
      <c r="B369" s="1" t="n">
        <v>45646</v>
      </c>
      <c r="C369" s="1" t="n">
        <v>46180</v>
      </c>
      <c r="D369" t="inlineStr">
        <is>
          <t>NORRBOTTENS LÄN</t>
        </is>
      </c>
      <c r="E369" t="inlineStr">
        <is>
          <t>GÄLLIVARE</t>
        </is>
      </c>
      <c r="G369" t="n">
        <v>0.9</v>
      </c>
      <c r="H369" t="n">
        <v>0</v>
      </c>
      <c r="I369" t="n">
        <v>0</v>
      </c>
      <c r="J369" t="n">
        <v>0</v>
      </c>
      <c r="K369" t="n">
        <v>0</v>
      </c>
      <c r="L369" t="n">
        <v>0</v>
      </c>
      <c r="M369" t="n">
        <v>0</v>
      </c>
      <c r="N369" t="n">
        <v>0</v>
      </c>
      <c r="O369" t="n">
        <v>0</v>
      </c>
      <c r="P369" t="n">
        <v>0</v>
      </c>
      <c r="Q369" t="n">
        <v>0</v>
      </c>
      <c r="R369" s="2" t="inlineStr"/>
    </row>
    <row r="370" ht="15" customHeight="1">
      <c r="A370" t="inlineStr">
        <is>
          <t>A 51494-2025</t>
        </is>
      </c>
      <c r="B370" s="1" t="n">
        <v>45950.63609953703</v>
      </c>
      <c r="C370" s="1" t="n">
        <v>46180</v>
      </c>
      <c r="D370" t="inlineStr">
        <is>
          <t>NORRBOTTENS LÄN</t>
        </is>
      </c>
      <c r="E370" t="inlineStr">
        <is>
          <t>GÄLLIVARE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37683-2025</t>
        </is>
      </c>
      <c r="B371" s="1" t="n">
        <v>45880.55248842593</v>
      </c>
      <c r="C371" s="1" t="n">
        <v>46180</v>
      </c>
      <c r="D371" t="inlineStr">
        <is>
          <t>NORRBOTTENS LÄN</t>
        </is>
      </c>
      <c r="E371" t="inlineStr">
        <is>
          <t>GÄLLIVARE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53821-2024</t>
        </is>
      </c>
      <c r="B372" s="1" t="n">
        <v>45615</v>
      </c>
      <c r="C372" s="1" t="n">
        <v>46180</v>
      </c>
      <c r="D372" t="inlineStr">
        <is>
          <t>NORRBOTTENS LÄN</t>
        </is>
      </c>
      <c r="E372" t="inlineStr">
        <is>
          <t>GÄLLIVARE</t>
        </is>
      </c>
      <c r="G372" t="n">
        <v>1</v>
      </c>
      <c r="H372" t="n">
        <v>0</v>
      </c>
      <c r="I372" t="n">
        <v>0</v>
      </c>
      <c r="J372" t="n">
        <v>0</v>
      </c>
      <c r="K372" t="n">
        <v>0</v>
      </c>
      <c r="L372" t="n">
        <v>0</v>
      </c>
      <c r="M372" t="n">
        <v>0</v>
      </c>
      <c r="N372" t="n">
        <v>0</v>
      </c>
      <c r="O372" t="n">
        <v>0</v>
      </c>
      <c r="P372" t="n">
        <v>0</v>
      </c>
      <c r="Q372" t="n">
        <v>0</v>
      </c>
      <c r="R372" s="2" t="inlineStr"/>
    </row>
    <row r="373" ht="15" customHeight="1">
      <c r="A373" t="inlineStr">
        <is>
          <t>A 51480-2025</t>
        </is>
      </c>
      <c r="B373" s="1" t="n">
        <v>45950.61998842593</v>
      </c>
      <c r="C373" s="1" t="n">
        <v>46180</v>
      </c>
      <c r="D373" t="inlineStr">
        <is>
          <t>NORRBOTTENS LÄN</t>
        </is>
      </c>
      <c r="E373" t="inlineStr">
        <is>
          <t>GÄLLIVARE</t>
        </is>
      </c>
      <c r="F373" t="inlineStr">
        <is>
          <t>Naturvårdsverket</t>
        </is>
      </c>
      <c r="G373" t="n">
        <v>8.5</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46180</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37594-2025</t>
        </is>
      </c>
      <c r="B375" s="1" t="n">
        <v>45880.41603009259</v>
      </c>
      <c r="C375" s="1" t="n">
        <v>46180</v>
      </c>
      <c r="D375" t="inlineStr">
        <is>
          <t>NORRBOTTENS LÄN</t>
        </is>
      </c>
      <c r="E375" t="inlineStr">
        <is>
          <t>GÄLLIVARE</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51524-2025</t>
        </is>
      </c>
      <c r="B376" s="1" t="n">
        <v>45950.66767361111</v>
      </c>
      <c r="C376" s="1" t="n">
        <v>46180</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37652-2025</t>
        </is>
      </c>
      <c r="B377" s="1" t="n">
        <v>45880.49027777778</v>
      </c>
      <c r="C377" s="1" t="n">
        <v>46180</v>
      </c>
      <c r="D377" t="inlineStr">
        <is>
          <t>NORRBOTTENS LÄN</t>
        </is>
      </c>
      <c r="E377" t="inlineStr">
        <is>
          <t>GÄLLIVARE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37659-2025</t>
        </is>
      </c>
      <c r="B378" s="1" t="n">
        <v>45880.49833333334</v>
      </c>
      <c r="C378" s="1" t="n">
        <v>46180</v>
      </c>
      <c r="D378" t="inlineStr">
        <is>
          <t>NORRBOTTENS LÄN</t>
        </is>
      </c>
      <c r="E378" t="inlineStr">
        <is>
          <t>GÄLLIVARE</t>
        </is>
      </c>
      <c r="F378" t="inlineStr">
        <is>
          <t>Sveaskog</t>
        </is>
      </c>
      <c r="G378" t="n">
        <v>13.7</v>
      </c>
      <c r="H378" t="n">
        <v>0</v>
      </c>
      <c r="I378" t="n">
        <v>0</v>
      </c>
      <c r="J378" t="n">
        <v>0</v>
      </c>
      <c r="K378" t="n">
        <v>0</v>
      </c>
      <c r="L378" t="n">
        <v>0</v>
      </c>
      <c r="M378" t="n">
        <v>0</v>
      </c>
      <c r="N378" t="n">
        <v>0</v>
      </c>
      <c r="O378" t="n">
        <v>0</v>
      </c>
      <c r="P378" t="n">
        <v>0</v>
      </c>
      <c r="Q378" t="n">
        <v>0</v>
      </c>
      <c r="R378" s="2" t="inlineStr"/>
    </row>
    <row r="379" ht="15" customHeight="1">
      <c r="A379" t="inlineStr">
        <is>
          <t>A 38204-2025</t>
        </is>
      </c>
      <c r="B379" s="1" t="n">
        <v>45882.69832175926</v>
      </c>
      <c r="C379" s="1" t="n">
        <v>46180</v>
      </c>
      <c r="D379" t="inlineStr">
        <is>
          <t>NORRBOTTENS LÄN</t>
        </is>
      </c>
      <c r="E379" t="inlineStr">
        <is>
          <t>GÄLLIVARE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37961-2025</t>
        </is>
      </c>
      <c r="B380" s="1" t="n">
        <v>45881</v>
      </c>
      <c r="C380" s="1" t="n">
        <v>46180</v>
      </c>
      <c r="D380" t="inlineStr">
        <is>
          <t>NORRBOTTENS LÄN</t>
        </is>
      </c>
      <c r="E380" t="inlineStr">
        <is>
          <t>GÄLLIVARE</t>
        </is>
      </c>
      <c r="G380" t="n">
        <v>2.6</v>
      </c>
      <c r="H380" t="n">
        <v>0</v>
      </c>
      <c r="I380" t="n">
        <v>0</v>
      </c>
      <c r="J380" t="n">
        <v>0</v>
      </c>
      <c r="K380" t="n">
        <v>0</v>
      </c>
      <c r="L380" t="n">
        <v>0</v>
      </c>
      <c r="M380" t="n">
        <v>0</v>
      </c>
      <c r="N380" t="n">
        <v>0</v>
      </c>
      <c r="O380" t="n">
        <v>0</v>
      </c>
      <c r="P380" t="n">
        <v>0</v>
      </c>
      <c r="Q380" t="n">
        <v>0</v>
      </c>
      <c r="R380" s="2" t="inlineStr"/>
    </row>
    <row r="381" ht="15" customHeight="1">
      <c r="A381" t="inlineStr">
        <is>
          <t>A 51454-2025</t>
        </is>
      </c>
      <c r="B381" s="1" t="n">
        <v>45950.59493055556</v>
      </c>
      <c r="C381" s="1" t="n">
        <v>46180</v>
      </c>
      <c r="D381" t="inlineStr">
        <is>
          <t>NORRBOTTENS LÄN</t>
        </is>
      </c>
      <c r="E381" t="inlineStr">
        <is>
          <t>GÄLLIVARE</t>
        </is>
      </c>
      <c r="F381" t="inlineStr">
        <is>
          <t>Naturvårdsverket</t>
        </is>
      </c>
      <c r="G381" t="n">
        <v>2.8</v>
      </c>
      <c r="H381" t="n">
        <v>0</v>
      </c>
      <c r="I381" t="n">
        <v>0</v>
      </c>
      <c r="J381" t="n">
        <v>0</v>
      </c>
      <c r="K381" t="n">
        <v>0</v>
      </c>
      <c r="L381" t="n">
        <v>0</v>
      </c>
      <c r="M381" t="n">
        <v>0</v>
      </c>
      <c r="N381" t="n">
        <v>0</v>
      </c>
      <c r="O381" t="n">
        <v>0</v>
      </c>
      <c r="P381" t="n">
        <v>0</v>
      </c>
      <c r="Q381" t="n">
        <v>0</v>
      </c>
      <c r="R381" s="2" t="inlineStr"/>
    </row>
    <row r="382" ht="15" customHeight="1">
      <c r="A382" t="inlineStr">
        <is>
          <t>A 51453-2025</t>
        </is>
      </c>
      <c r="B382" s="1" t="n">
        <v>45950.59462962963</v>
      </c>
      <c r="C382" s="1" t="n">
        <v>46180</v>
      </c>
      <c r="D382" t="inlineStr">
        <is>
          <t>NORRBOTTENS LÄN</t>
        </is>
      </c>
      <c r="E382" t="inlineStr">
        <is>
          <t>GÄLLIVARE</t>
        </is>
      </c>
      <c r="F382" t="inlineStr">
        <is>
          <t>Naturvårdsverket</t>
        </is>
      </c>
      <c r="G382" t="n">
        <v>4.9</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46180</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38049-2025</t>
        </is>
      </c>
      <c r="B384" s="1" t="n">
        <v>45882.40704861111</v>
      </c>
      <c r="C384" s="1" t="n">
        <v>46180</v>
      </c>
      <c r="D384" t="inlineStr">
        <is>
          <t>NORRBOTTENS LÄN</t>
        </is>
      </c>
      <c r="E384" t="inlineStr">
        <is>
          <t>GÄLLIVARE</t>
        </is>
      </c>
      <c r="F384" t="inlineStr">
        <is>
          <t>SCA</t>
        </is>
      </c>
      <c r="G384" t="n">
        <v>11.2</v>
      </c>
      <c r="H384" t="n">
        <v>0</v>
      </c>
      <c r="I384" t="n">
        <v>0</v>
      </c>
      <c r="J384" t="n">
        <v>0</v>
      </c>
      <c r="K384" t="n">
        <v>0</v>
      </c>
      <c r="L384" t="n">
        <v>0</v>
      </c>
      <c r="M384" t="n">
        <v>0</v>
      </c>
      <c r="N384" t="n">
        <v>0</v>
      </c>
      <c r="O384" t="n">
        <v>0</v>
      </c>
      <c r="P384" t="n">
        <v>0</v>
      </c>
      <c r="Q384" t="n">
        <v>0</v>
      </c>
      <c r="R384" s="2" t="inlineStr"/>
    </row>
    <row r="385" ht="15" customHeight="1">
      <c r="A385" t="inlineStr">
        <is>
          <t>A 38062-2025</t>
        </is>
      </c>
      <c r="B385" s="1" t="n">
        <v>45882.42844907408</v>
      </c>
      <c r="C385" s="1" t="n">
        <v>46180</v>
      </c>
      <c r="D385" t="inlineStr">
        <is>
          <t>NORRBOTTENS LÄN</t>
        </is>
      </c>
      <c r="E385" t="inlineStr">
        <is>
          <t>GÄLLIVARE</t>
        </is>
      </c>
      <c r="F385" t="inlineStr">
        <is>
          <t>SCA</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46180</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8075-2025</t>
        </is>
      </c>
      <c r="B387" s="1" t="n">
        <v>45707</v>
      </c>
      <c r="C387" s="1" t="n">
        <v>46180</v>
      </c>
      <c r="D387" t="inlineStr">
        <is>
          <t>NORRBOTTENS LÄN</t>
        </is>
      </c>
      <c r="E387" t="inlineStr">
        <is>
          <t>GÄLLIVARE</t>
        </is>
      </c>
      <c r="F387" t="inlineStr">
        <is>
          <t>Sveaskog</t>
        </is>
      </c>
      <c r="G387" t="n">
        <v>43.4</v>
      </c>
      <c r="H387" t="n">
        <v>0</v>
      </c>
      <c r="I387" t="n">
        <v>0</v>
      </c>
      <c r="J387" t="n">
        <v>0</v>
      </c>
      <c r="K387" t="n">
        <v>0</v>
      </c>
      <c r="L387" t="n">
        <v>0</v>
      </c>
      <c r="M387" t="n">
        <v>0</v>
      </c>
      <c r="N387" t="n">
        <v>0</v>
      </c>
      <c r="O387" t="n">
        <v>0</v>
      </c>
      <c r="P387" t="n">
        <v>0</v>
      </c>
      <c r="Q387" t="n">
        <v>0</v>
      </c>
      <c r="R387" s="2" t="inlineStr"/>
    </row>
    <row r="388" ht="15" customHeight="1">
      <c r="A388" t="inlineStr">
        <is>
          <t>A 51881-2025</t>
        </is>
      </c>
      <c r="B388" s="1" t="n">
        <v>45952</v>
      </c>
      <c r="C388" s="1" t="n">
        <v>46180</v>
      </c>
      <c r="D388" t="inlineStr">
        <is>
          <t>NORRBOTTENS LÄN</t>
        </is>
      </c>
      <c r="E388" t="inlineStr">
        <is>
          <t>GÄLLIVARE</t>
        </is>
      </c>
      <c r="F388" t="inlineStr">
        <is>
          <t>SCA</t>
        </is>
      </c>
      <c r="G388" t="n">
        <v>7.4</v>
      </c>
      <c r="H388" t="n">
        <v>0</v>
      </c>
      <c r="I388" t="n">
        <v>0</v>
      </c>
      <c r="J388" t="n">
        <v>0</v>
      </c>
      <c r="K388" t="n">
        <v>0</v>
      </c>
      <c r="L388" t="n">
        <v>0</v>
      </c>
      <c r="M388" t="n">
        <v>0</v>
      </c>
      <c r="N388" t="n">
        <v>0</v>
      </c>
      <c r="O388" t="n">
        <v>0</v>
      </c>
      <c r="P388" t="n">
        <v>0</v>
      </c>
      <c r="Q388" t="n">
        <v>0</v>
      </c>
      <c r="R388" s="2" t="inlineStr"/>
    </row>
    <row r="389" ht="15" customHeight="1">
      <c r="A389" t="inlineStr">
        <is>
          <t>A 36979-2023</t>
        </is>
      </c>
      <c r="B389" s="1" t="n">
        <v>45154.95475694445</v>
      </c>
      <c r="C389" s="1" t="n">
        <v>46180</v>
      </c>
      <c r="D389" t="inlineStr">
        <is>
          <t>NORRBOTTENS LÄN</t>
        </is>
      </c>
      <c r="E389" t="inlineStr">
        <is>
          <t>GÄLLIVARE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36983-2023</t>
        </is>
      </c>
      <c r="B390" s="1" t="n">
        <v>45154.95504629629</v>
      </c>
      <c r="C390" s="1" t="n">
        <v>46180</v>
      </c>
      <c r="D390" t="inlineStr">
        <is>
          <t>NORRBOTTENS LÄN</t>
        </is>
      </c>
      <c r="E390" t="inlineStr">
        <is>
          <t>GÄLLIVARE</t>
        </is>
      </c>
      <c r="F390" t="inlineStr">
        <is>
          <t>SCA</t>
        </is>
      </c>
      <c r="G390" t="n">
        <v>8</v>
      </c>
      <c r="H390" t="n">
        <v>0</v>
      </c>
      <c r="I390" t="n">
        <v>0</v>
      </c>
      <c r="J390" t="n">
        <v>0</v>
      </c>
      <c r="K390" t="n">
        <v>0</v>
      </c>
      <c r="L390" t="n">
        <v>0</v>
      </c>
      <c r="M390" t="n">
        <v>0</v>
      </c>
      <c r="N390" t="n">
        <v>0</v>
      </c>
      <c r="O390" t="n">
        <v>0</v>
      </c>
      <c r="P390" t="n">
        <v>0</v>
      </c>
      <c r="Q390" t="n">
        <v>0</v>
      </c>
      <c r="R390" s="2" t="inlineStr"/>
    </row>
    <row r="391" ht="15" customHeight="1">
      <c r="A391" t="inlineStr">
        <is>
          <t>A 51904-2025</t>
        </is>
      </c>
      <c r="B391" s="1" t="n">
        <v>45952</v>
      </c>
      <c r="C391" s="1" t="n">
        <v>46180</v>
      </c>
      <c r="D391" t="inlineStr">
        <is>
          <t>NORRBOTTENS LÄN</t>
        </is>
      </c>
      <c r="E391" t="inlineStr">
        <is>
          <t>GÄLLIVARE</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38225-2025</t>
        </is>
      </c>
      <c r="B392" s="1" t="n">
        <v>45883.34501157407</v>
      </c>
      <c r="C392" s="1" t="n">
        <v>46180</v>
      </c>
      <c r="D392" t="inlineStr">
        <is>
          <t>NORRBOTTENS LÄN</t>
        </is>
      </c>
      <c r="E392" t="inlineStr">
        <is>
          <t>GÄLLIVARE</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52581-2025</t>
        </is>
      </c>
      <c r="B393" s="1" t="n">
        <v>45954</v>
      </c>
      <c r="C393" s="1" t="n">
        <v>46180</v>
      </c>
      <c r="D393" t="inlineStr">
        <is>
          <t>NORRBOTTENS LÄN</t>
        </is>
      </c>
      <c r="E393" t="inlineStr">
        <is>
          <t>GÄLLIVARE</t>
        </is>
      </c>
      <c r="G393" t="n">
        <v>2.7</v>
      </c>
      <c r="H393" t="n">
        <v>0</v>
      </c>
      <c r="I393" t="n">
        <v>0</v>
      </c>
      <c r="J393" t="n">
        <v>0</v>
      </c>
      <c r="K393" t="n">
        <v>0</v>
      </c>
      <c r="L393" t="n">
        <v>0</v>
      </c>
      <c r="M393" t="n">
        <v>0</v>
      </c>
      <c r="N393" t="n">
        <v>0</v>
      </c>
      <c r="O393" t="n">
        <v>0</v>
      </c>
      <c r="P393" t="n">
        <v>0</v>
      </c>
      <c r="Q393" t="n">
        <v>0</v>
      </c>
      <c r="R393" s="2" t="inlineStr"/>
    </row>
    <row r="394" ht="15" customHeight="1">
      <c r="A394" t="inlineStr">
        <is>
          <t>A 52574-2025</t>
        </is>
      </c>
      <c r="B394" s="1" t="n">
        <v>45954</v>
      </c>
      <c r="C394" s="1" t="n">
        <v>46180</v>
      </c>
      <c r="D394" t="inlineStr">
        <is>
          <t>NORRBOTTENS LÄN</t>
        </is>
      </c>
      <c r="E394" t="inlineStr">
        <is>
          <t>GÄLLIVARE</t>
        </is>
      </c>
      <c r="G394" t="n">
        <v>22.1</v>
      </c>
      <c r="H394" t="n">
        <v>0</v>
      </c>
      <c r="I394" t="n">
        <v>0</v>
      </c>
      <c r="J394" t="n">
        <v>0</v>
      </c>
      <c r="K394" t="n">
        <v>0</v>
      </c>
      <c r="L394" t="n">
        <v>0</v>
      </c>
      <c r="M394" t="n">
        <v>0</v>
      </c>
      <c r="N394" t="n">
        <v>0</v>
      </c>
      <c r="O394" t="n">
        <v>0</v>
      </c>
      <c r="P394" t="n">
        <v>0</v>
      </c>
      <c r="Q394" t="n">
        <v>0</v>
      </c>
      <c r="R394" s="2" t="inlineStr"/>
    </row>
    <row r="395" ht="15" customHeight="1">
      <c r="A395" t="inlineStr">
        <is>
          <t>A 47048-2023</t>
        </is>
      </c>
      <c r="B395" s="1" t="n">
        <v>45201</v>
      </c>
      <c r="C395" s="1" t="n">
        <v>46180</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38696-2025</t>
        </is>
      </c>
      <c r="B396" s="1" t="n">
        <v>45884.74715277777</v>
      </c>
      <c r="C396" s="1" t="n">
        <v>46180</v>
      </c>
      <c r="D396" t="inlineStr">
        <is>
          <t>NORRBOTTENS LÄN</t>
        </is>
      </c>
      <c r="E396" t="inlineStr">
        <is>
          <t>GÄLLIVARE</t>
        </is>
      </c>
      <c r="G396" t="n">
        <v>1.5</v>
      </c>
      <c r="H396" t="n">
        <v>0</v>
      </c>
      <c r="I396" t="n">
        <v>0</v>
      </c>
      <c r="J396" t="n">
        <v>0</v>
      </c>
      <c r="K396" t="n">
        <v>0</v>
      </c>
      <c r="L396" t="n">
        <v>0</v>
      </c>
      <c r="M396" t="n">
        <v>0</v>
      </c>
      <c r="N396" t="n">
        <v>0</v>
      </c>
      <c r="O396" t="n">
        <v>0</v>
      </c>
      <c r="P396" t="n">
        <v>0</v>
      </c>
      <c r="Q396" t="n">
        <v>0</v>
      </c>
      <c r="R396" s="2" t="inlineStr"/>
    </row>
    <row r="397" ht="15" customHeight="1">
      <c r="A397" t="inlineStr">
        <is>
          <t>A 57208-2021</t>
        </is>
      </c>
      <c r="B397" s="1" t="n">
        <v>44482.94003472223</v>
      </c>
      <c r="C397" s="1" t="n">
        <v>46180</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52641-2025</t>
        </is>
      </c>
      <c r="B398" s="1" t="n">
        <v>45955.34559027778</v>
      </c>
      <c r="C398" s="1" t="n">
        <v>46180</v>
      </c>
      <c r="D398" t="inlineStr">
        <is>
          <t>NORRBOTTENS LÄN</t>
        </is>
      </c>
      <c r="E398" t="inlineStr">
        <is>
          <t>GÄLLIVARE</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10247-2026</t>
        </is>
      </c>
      <c r="B399" s="1" t="n">
        <v>46076.55288194444</v>
      </c>
      <c r="C399" s="1" t="n">
        <v>46180</v>
      </c>
      <c r="D399" t="inlineStr">
        <is>
          <t>NORRBOTTENS LÄN</t>
        </is>
      </c>
      <c r="E399" t="inlineStr">
        <is>
          <t>GÄLLIVARE</t>
        </is>
      </c>
      <c r="G399" t="n">
        <v>4.7</v>
      </c>
      <c r="H399" t="n">
        <v>0</v>
      </c>
      <c r="I399" t="n">
        <v>0</v>
      </c>
      <c r="J399" t="n">
        <v>0</v>
      </c>
      <c r="K399" t="n">
        <v>0</v>
      </c>
      <c r="L399" t="n">
        <v>0</v>
      </c>
      <c r="M399" t="n">
        <v>0</v>
      </c>
      <c r="N399" t="n">
        <v>0</v>
      </c>
      <c r="O399" t="n">
        <v>0</v>
      </c>
      <c r="P399" t="n">
        <v>0</v>
      </c>
      <c r="Q399" t="n">
        <v>0</v>
      </c>
      <c r="R399" s="2" t="inlineStr"/>
    </row>
    <row r="400" ht="15" customHeight="1">
      <c r="A400" t="inlineStr">
        <is>
          <t>A 52716-2025</t>
        </is>
      </c>
      <c r="B400" s="1" t="n">
        <v>45957.3212037037</v>
      </c>
      <c r="C400" s="1" t="n">
        <v>46180</v>
      </c>
      <c r="D400" t="inlineStr">
        <is>
          <t>NORRBOTTENS LÄN</t>
        </is>
      </c>
      <c r="E400" t="inlineStr">
        <is>
          <t>GÄLLIVARE</t>
        </is>
      </c>
      <c r="G400" t="n">
        <v>0.3</v>
      </c>
      <c r="H400" t="n">
        <v>0</v>
      </c>
      <c r="I400" t="n">
        <v>0</v>
      </c>
      <c r="J400" t="n">
        <v>0</v>
      </c>
      <c r="K400" t="n">
        <v>0</v>
      </c>
      <c r="L400" t="n">
        <v>0</v>
      </c>
      <c r="M400" t="n">
        <v>0</v>
      </c>
      <c r="N400" t="n">
        <v>0</v>
      </c>
      <c r="O400" t="n">
        <v>0</v>
      </c>
      <c r="P400" t="n">
        <v>0</v>
      </c>
      <c r="Q400" t="n">
        <v>0</v>
      </c>
      <c r="R400" s="2" t="inlineStr"/>
    </row>
    <row r="401" ht="15" customHeight="1">
      <c r="A401" t="inlineStr">
        <is>
          <t>A 31541-2025</t>
        </is>
      </c>
      <c r="B401" s="1" t="n">
        <v>45833</v>
      </c>
      <c r="C401" s="1" t="n">
        <v>46180</v>
      </c>
      <c r="D401" t="inlineStr">
        <is>
          <t>NORRBOTTENS LÄN</t>
        </is>
      </c>
      <c r="E401" t="inlineStr">
        <is>
          <t>GÄLLIVARE</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53154-2025</t>
        </is>
      </c>
      <c r="B402" s="1" t="n">
        <v>45958.48908564815</v>
      </c>
      <c r="C402" s="1" t="n">
        <v>46180</v>
      </c>
      <c r="D402" t="inlineStr">
        <is>
          <t>NORRBOTTENS LÄN</t>
        </is>
      </c>
      <c r="E402" t="inlineStr">
        <is>
          <t>GÄLLIVARE</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57703-2025</t>
        </is>
      </c>
      <c r="B403" s="1" t="n">
        <v>45981</v>
      </c>
      <c r="C403" s="1" t="n">
        <v>46180</v>
      </c>
      <c r="D403" t="inlineStr">
        <is>
          <t>NORRBOTTENS LÄN</t>
        </is>
      </c>
      <c r="E403" t="inlineStr">
        <is>
          <t>GÄLLIVARE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52715-2025</t>
        </is>
      </c>
      <c r="B404" s="1" t="n">
        <v>45957.31655092593</v>
      </c>
      <c r="C404" s="1" t="n">
        <v>46180</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53176-2025</t>
        </is>
      </c>
      <c r="B405" s="1" t="n">
        <v>45958.5297337963</v>
      </c>
      <c r="C405" s="1" t="n">
        <v>46180</v>
      </c>
      <c r="D405" t="inlineStr">
        <is>
          <t>NORRBOTTENS LÄN</t>
        </is>
      </c>
      <c r="E405" t="inlineStr">
        <is>
          <t>GÄLLIVARE</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53099-2025</t>
        </is>
      </c>
      <c r="B406" s="1" t="n">
        <v>45958</v>
      </c>
      <c r="C406" s="1" t="n">
        <v>46180</v>
      </c>
      <c r="D406" t="inlineStr">
        <is>
          <t>NORRBOTTENS LÄN</t>
        </is>
      </c>
      <c r="E406" t="inlineStr">
        <is>
          <t>GÄLLIVARE</t>
        </is>
      </c>
      <c r="G406" t="n">
        <v>12.6</v>
      </c>
      <c r="H406" t="n">
        <v>0</v>
      </c>
      <c r="I406" t="n">
        <v>0</v>
      </c>
      <c r="J406" t="n">
        <v>0</v>
      </c>
      <c r="K406" t="n">
        <v>0</v>
      </c>
      <c r="L406" t="n">
        <v>0</v>
      </c>
      <c r="M406" t="n">
        <v>0</v>
      </c>
      <c r="N406" t="n">
        <v>0</v>
      </c>
      <c r="O406" t="n">
        <v>0</v>
      </c>
      <c r="P406" t="n">
        <v>0</v>
      </c>
      <c r="Q406" t="n">
        <v>0</v>
      </c>
      <c r="R406" s="2" t="inlineStr"/>
    </row>
    <row r="407" ht="15" customHeight="1">
      <c r="A407" t="inlineStr">
        <is>
          <t>A 52910-2025</t>
        </is>
      </c>
      <c r="B407" s="1" t="n">
        <v>45957</v>
      </c>
      <c r="C407" s="1" t="n">
        <v>46180</v>
      </c>
      <c r="D407" t="inlineStr">
        <is>
          <t>NORRBOTTENS LÄN</t>
        </is>
      </c>
      <c r="E407" t="inlineStr">
        <is>
          <t>GÄLLIVARE</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53420-2025</t>
        </is>
      </c>
      <c r="B408" s="1" t="n">
        <v>45959.59439814815</v>
      </c>
      <c r="C408" s="1" t="n">
        <v>46180</v>
      </c>
      <c r="D408" t="inlineStr">
        <is>
          <t>NORRBOTTENS LÄN</t>
        </is>
      </c>
      <c r="E408" t="inlineStr">
        <is>
          <t>GÄLLIVARE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53696-2025</t>
        </is>
      </c>
      <c r="B409" s="1" t="n">
        <v>45960.59054398148</v>
      </c>
      <c r="C409" s="1" t="n">
        <v>46180</v>
      </c>
      <c r="D409" t="inlineStr">
        <is>
          <t>NORRBOTTENS LÄN</t>
        </is>
      </c>
      <c r="E409" t="inlineStr">
        <is>
          <t>GÄLLIVARE</t>
        </is>
      </c>
      <c r="F409" t="inlineStr">
        <is>
          <t>Sveaskog</t>
        </is>
      </c>
      <c r="G409" t="n">
        <v>13.4</v>
      </c>
      <c r="H409" t="n">
        <v>0</v>
      </c>
      <c r="I409" t="n">
        <v>0</v>
      </c>
      <c r="J409" t="n">
        <v>0</v>
      </c>
      <c r="K409" t="n">
        <v>0</v>
      </c>
      <c r="L409" t="n">
        <v>0</v>
      </c>
      <c r="M409" t="n">
        <v>0</v>
      </c>
      <c r="N409" t="n">
        <v>0</v>
      </c>
      <c r="O409" t="n">
        <v>0</v>
      </c>
      <c r="P409" t="n">
        <v>0</v>
      </c>
      <c r="Q409" t="n">
        <v>0</v>
      </c>
      <c r="R409" s="2" t="inlineStr"/>
    </row>
    <row r="410" ht="15" customHeight="1">
      <c r="A410" t="inlineStr">
        <is>
          <t>A 36249-2023</t>
        </is>
      </c>
      <c r="B410" s="1" t="n">
        <v>45150.9416087963</v>
      </c>
      <c r="C410" s="1" t="n">
        <v>46180</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36250-2023</t>
        </is>
      </c>
      <c r="B411" s="1" t="n">
        <v>45150.94170138889</v>
      </c>
      <c r="C411" s="1" t="n">
        <v>46180</v>
      </c>
      <c r="D411" t="inlineStr">
        <is>
          <t>NORRBOTTENS LÄN</t>
        </is>
      </c>
      <c r="E411" t="inlineStr">
        <is>
          <t>GÄLLIVARE</t>
        </is>
      </c>
      <c r="F411" t="inlineStr">
        <is>
          <t>SCA</t>
        </is>
      </c>
      <c r="G411" t="n">
        <v>14.6</v>
      </c>
      <c r="H411" t="n">
        <v>0</v>
      </c>
      <c r="I411" t="n">
        <v>0</v>
      </c>
      <c r="J411" t="n">
        <v>0</v>
      </c>
      <c r="K411" t="n">
        <v>0</v>
      </c>
      <c r="L411" t="n">
        <v>0</v>
      </c>
      <c r="M411" t="n">
        <v>0</v>
      </c>
      <c r="N411" t="n">
        <v>0</v>
      </c>
      <c r="O411" t="n">
        <v>0</v>
      </c>
      <c r="P411" t="n">
        <v>0</v>
      </c>
      <c r="Q411" t="n">
        <v>0</v>
      </c>
      <c r="R411" s="2" t="inlineStr"/>
    </row>
    <row r="412" ht="15" customHeight="1">
      <c r="A412" t="inlineStr">
        <is>
          <t>A 5776-2025</t>
        </is>
      </c>
      <c r="B412" s="1" t="n">
        <v>45694</v>
      </c>
      <c r="C412" s="1" t="n">
        <v>46180</v>
      </c>
      <c r="D412" t="inlineStr">
        <is>
          <t>NORRBOTTENS LÄN</t>
        </is>
      </c>
      <c r="E412" t="inlineStr">
        <is>
          <t>GÄLLIVARE</t>
        </is>
      </c>
      <c r="F412" t="inlineStr">
        <is>
          <t>SCA</t>
        </is>
      </c>
      <c r="G412" t="n">
        <v>14.5</v>
      </c>
      <c r="H412" t="n">
        <v>0</v>
      </c>
      <c r="I412" t="n">
        <v>0</v>
      </c>
      <c r="J412" t="n">
        <v>0</v>
      </c>
      <c r="K412" t="n">
        <v>0</v>
      </c>
      <c r="L412" t="n">
        <v>0</v>
      </c>
      <c r="M412" t="n">
        <v>0</v>
      </c>
      <c r="N412" t="n">
        <v>0</v>
      </c>
      <c r="O412" t="n">
        <v>0</v>
      </c>
      <c r="P412" t="n">
        <v>0</v>
      </c>
      <c r="Q412" t="n">
        <v>0</v>
      </c>
      <c r="R412" s="2" t="inlineStr"/>
    </row>
    <row r="413" ht="15" customHeight="1">
      <c r="A413" t="inlineStr">
        <is>
          <t>A 55259-2024</t>
        </is>
      </c>
      <c r="B413" s="1" t="n">
        <v>45621</v>
      </c>
      <c r="C413" s="1" t="n">
        <v>46180</v>
      </c>
      <c r="D413" t="inlineStr">
        <is>
          <t>NORRBOTTENS LÄN</t>
        </is>
      </c>
      <c r="E413" t="inlineStr">
        <is>
          <t>GÄLLIVARE</t>
        </is>
      </c>
      <c r="G413" t="n">
        <v>17.9</v>
      </c>
      <c r="H413" t="n">
        <v>0</v>
      </c>
      <c r="I413" t="n">
        <v>0</v>
      </c>
      <c r="J413" t="n">
        <v>0</v>
      </c>
      <c r="K413" t="n">
        <v>0</v>
      </c>
      <c r="L413" t="n">
        <v>0</v>
      </c>
      <c r="M413" t="n">
        <v>0</v>
      </c>
      <c r="N413" t="n">
        <v>0</v>
      </c>
      <c r="O413" t="n">
        <v>0</v>
      </c>
      <c r="P413" t="n">
        <v>0</v>
      </c>
      <c r="Q413" t="n">
        <v>0</v>
      </c>
      <c r="R413" s="2" t="inlineStr"/>
    </row>
    <row r="414" ht="15" customHeight="1">
      <c r="A414" t="inlineStr">
        <is>
          <t>A 53993-2025</t>
        </is>
      </c>
      <c r="B414" s="1" t="n">
        <v>45961.58293981481</v>
      </c>
      <c r="C414" s="1" t="n">
        <v>46180</v>
      </c>
      <c r="D414" t="inlineStr">
        <is>
          <t>NORRBOTTENS LÄN</t>
        </is>
      </c>
      <c r="E414" t="inlineStr">
        <is>
          <t>GÄLLIVARE</t>
        </is>
      </c>
      <c r="F414" t="inlineStr">
        <is>
          <t>Sveaskog</t>
        </is>
      </c>
      <c r="G414" t="n">
        <v>11.8</v>
      </c>
      <c r="H414" t="n">
        <v>0</v>
      </c>
      <c r="I414" t="n">
        <v>0</v>
      </c>
      <c r="J414" t="n">
        <v>0</v>
      </c>
      <c r="K414" t="n">
        <v>0</v>
      </c>
      <c r="L414" t="n">
        <v>0</v>
      </c>
      <c r="M414" t="n">
        <v>0</v>
      </c>
      <c r="N414" t="n">
        <v>0</v>
      </c>
      <c r="O414" t="n">
        <v>0</v>
      </c>
      <c r="P414" t="n">
        <v>0</v>
      </c>
      <c r="Q414" t="n">
        <v>0</v>
      </c>
      <c r="R414" s="2" t="inlineStr"/>
    </row>
    <row r="415" ht="15" customHeight="1">
      <c r="A415" t="inlineStr">
        <is>
          <t>A 30367-2024</t>
        </is>
      </c>
      <c r="B415" s="1" t="n">
        <v>45491</v>
      </c>
      <c r="C415" s="1" t="n">
        <v>46180</v>
      </c>
      <c r="D415" t="inlineStr">
        <is>
          <t>NORRBOTTENS LÄN</t>
        </is>
      </c>
      <c r="E415" t="inlineStr">
        <is>
          <t>GÄLLIVARE</t>
        </is>
      </c>
      <c r="G415" t="n">
        <v>8</v>
      </c>
      <c r="H415" t="n">
        <v>0</v>
      </c>
      <c r="I415" t="n">
        <v>0</v>
      </c>
      <c r="J415" t="n">
        <v>0</v>
      </c>
      <c r="K415" t="n">
        <v>0</v>
      </c>
      <c r="L415" t="n">
        <v>0</v>
      </c>
      <c r="M415" t="n">
        <v>0</v>
      </c>
      <c r="N415" t="n">
        <v>0</v>
      </c>
      <c r="O415" t="n">
        <v>0</v>
      </c>
      <c r="P415" t="n">
        <v>0</v>
      </c>
      <c r="Q415" t="n">
        <v>0</v>
      </c>
      <c r="R415" s="2" t="inlineStr"/>
    </row>
    <row r="416" ht="15" customHeight="1">
      <c r="A416" t="inlineStr">
        <is>
          <t>A 44983-2023</t>
        </is>
      </c>
      <c r="B416" s="1" t="n">
        <v>45190</v>
      </c>
      <c r="C416" s="1" t="n">
        <v>46180</v>
      </c>
      <c r="D416" t="inlineStr">
        <is>
          <t>NORRBOTTENS LÄN</t>
        </is>
      </c>
      <c r="E416" t="inlineStr">
        <is>
          <t>GÄLLIVARE</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54722-2025</t>
        </is>
      </c>
      <c r="B417" s="1" t="n">
        <v>45966</v>
      </c>
      <c r="C417" s="1" t="n">
        <v>46180</v>
      </c>
      <c r="D417" t="inlineStr">
        <is>
          <t>NORRBOTTENS LÄN</t>
        </is>
      </c>
      <c r="E417" t="inlineStr">
        <is>
          <t>GÄLLIVARE</t>
        </is>
      </c>
      <c r="G417" t="n">
        <v>6</v>
      </c>
      <c r="H417" t="n">
        <v>0</v>
      </c>
      <c r="I417" t="n">
        <v>0</v>
      </c>
      <c r="J417" t="n">
        <v>0</v>
      </c>
      <c r="K417" t="n">
        <v>0</v>
      </c>
      <c r="L417" t="n">
        <v>0</v>
      </c>
      <c r="M417" t="n">
        <v>0</v>
      </c>
      <c r="N417" t="n">
        <v>0</v>
      </c>
      <c r="O417" t="n">
        <v>0</v>
      </c>
      <c r="P417" t="n">
        <v>0</v>
      </c>
      <c r="Q417" t="n">
        <v>0</v>
      </c>
      <c r="R417" s="2" t="inlineStr"/>
    </row>
    <row r="418" ht="15" customHeight="1">
      <c r="A418" t="inlineStr">
        <is>
          <t>A 14975-2025</t>
        </is>
      </c>
      <c r="B418" s="1" t="n">
        <v>45743</v>
      </c>
      <c r="C418" s="1" t="n">
        <v>46180</v>
      </c>
      <c r="D418" t="inlineStr">
        <is>
          <t>NORRBOTTENS LÄN</t>
        </is>
      </c>
      <c r="E418" t="inlineStr">
        <is>
          <t>GÄLLIVARE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11162-2026</t>
        </is>
      </c>
      <c r="B419" s="1" t="n">
        <v>46080.34501157407</v>
      </c>
      <c r="C419" s="1" t="n">
        <v>46180</v>
      </c>
      <c r="D419" t="inlineStr">
        <is>
          <t>NORRBOTTENS LÄN</t>
        </is>
      </c>
      <c r="E419" t="inlineStr">
        <is>
          <t>GÄLLIVARE</t>
        </is>
      </c>
      <c r="G419" t="n">
        <v>5.3</v>
      </c>
      <c r="H419" t="n">
        <v>0</v>
      </c>
      <c r="I419" t="n">
        <v>0</v>
      </c>
      <c r="J419" t="n">
        <v>0</v>
      </c>
      <c r="K419" t="n">
        <v>0</v>
      </c>
      <c r="L419" t="n">
        <v>0</v>
      </c>
      <c r="M419" t="n">
        <v>0</v>
      </c>
      <c r="N419" t="n">
        <v>0</v>
      </c>
      <c r="O419" t="n">
        <v>0</v>
      </c>
      <c r="P419" t="n">
        <v>0</v>
      </c>
      <c r="Q419" t="n">
        <v>0</v>
      </c>
      <c r="R419" s="2" t="inlineStr"/>
    </row>
    <row r="420" ht="15" customHeight="1">
      <c r="A420" t="inlineStr">
        <is>
          <t>A 54622-2025</t>
        </is>
      </c>
      <c r="B420" s="1" t="n">
        <v>45966.34513888889</v>
      </c>
      <c r="C420" s="1" t="n">
        <v>46180</v>
      </c>
      <c r="D420" t="inlineStr">
        <is>
          <t>NORRBOTTENS LÄN</t>
        </is>
      </c>
      <c r="E420" t="inlineStr">
        <is>
          <t>GÄLLIVARE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20259-2025</t>
        </is>
      </c>
      <c r="B421" s="1" t="n">
        <v>45773.344375</v>
      </c>
      <c r="C421" s="1" t="n">
        <v>46180</v>
      </c>
      <c r="D421" t="inlineStr">
        <is>
          <t>NORRBOTTENS LÄN</t>
        </is>
      </c>
      <c r="E421" t="inlineStr">
        <is>
          <t>GÄLLIVARE</t>
        </is>
      </c>
      <c r="F421" t="inlineStr">
        <is>
          <t>SCA</t>
        </is>
      </c>
      <c r="G421" t="n">
        <v>25.2</v>
      </c>
      <c r="H421" t="n">
        <v>0</v>
      </c>
      <c r="I421" t="n">
        <v>0</v>
      </c>
      <c r="J421" t="n">
        <v>0</v>
      </c>
      <c r="K421" t="n">
        <v>0</v>
      </c>
      <c r="L421" t="n">
        <v>0</v>
      </c>
      <c r="M421" t="n">
        <v>0</v>
      </c>
      <c r="N421" t="n">
        <v>0</v>
      </c>
      <c r="O421" t="n">
        <v>0</v>
      </c>
      <c r="P421" t="n">
        <v>0</v>
      </c>
      <c r="Q421" t="n">
        <v>0</v>
      </c>
      <c r="R421" s="2" t="inlineStr"/>
    </row>
    <row r="422" ht="15" customHeight="1">
      <c r="A422" t="inlineStr">
        <is>
          <t>A 4636-2025</t>
        </is>
      </c>
      <c r="B422" s="1" t="n">
        <v>45687.64724537037</v>
      </c>
      <c r="C422" s="1" t="n">
        <v>46180</v>
      </c>
      <c r="D422" t="inlineStr">
        <is>
          <t>NORRBOTTENS LÄN</t>
        </is>
      </c>
      <c r="E422" t="inlineStr">
        <is>
          <t>GÄLLIVARE</t>
        </is>
      </c>
      <c r="G422" t="n">
        <v>1.4</v>
      </c>
      <c r="H422" t="n">
        <v>0</v>
      </c>
      <c r="I422" t="n">
        <v>0</v>
      </c>
      <c r="J422" t="n">
        <v>0</v>
      </c>
      <c r="K422" t="n">
        <v>0</v>
      </c>
      <c r="L422" t="n">
        <v>0</v>
      </c>
      <c r="M422" t="n">
        <v>0</v>
      </c>
      <c r="N422" t="n">
        <v>0</v>
      </c>
      <c r="O422" t="n">
        <v>0</v>
      </c>
      <c r="P422" t="n">
        <v>0</v>
      </c>
      <c r="Q422" t="n">
        <v>0</v>
      </c>
      <c r="R422" s="2" t="inlineStr"/>
    </row>
    <row r="423" ht="15" customHeight="1">
      <c r="A423" t="inlineStr">
        <is>
          <t>A 55780-2025</t>
        </is>
      </c>
      <c r="B423" s="1" t="n">
        <v>45972.62940972222</v>
      </c>
      <c r="C423" s="1" t="n">
        <v>46180</v>
      </c>
      <c r="D423" t="inlineStr">
        <is>
          <t>NORRBOTTENS LÄN</t>
        </is>
      </c>
      <c r="E423" t="inlineStr">
        <is>
          <t>GÄLLIVARE</t>
        </is>
      </c>
      <c r="F423" t="inlineStr">
        <is>
          <t>Sveaskog</t>
        </is>
      </c>
      <c r="G423" t="n">
        <v>16.8</v>
      </c>
      <c r="H423" t="n">
        <v>0</v>
      </c>
      <c r="I423" t="n">
        <v>0</v>
      </c>
      <c r="J423" t="n">
        <v>0</v>
      </c>
      <c r="K423" t="n">
        <v>0</v>
      </c>
      <c r="L423" t="n">
        <v>0</v>
      </c>
      <c r="M423" t="n">
        <v>0</v>
      </c>
      <c r="N423" t="n">
        <v>0</v>
      </c>
      <c r="O423" t="n">
        <v>0</v>
      </c>
      <c r="P423" t="n">
        <v>0</v>
      </c>
      <c r="Q423" t="n">
        <v>0</v>
      </c>
      <c r="R423" s="2" t="inlineStr"/>
    </row>
    <row r="424" ht="15" customHeight="1">
      <c r="A424" t="inlineStr">
        <is>
          <t>A 46271-2023</t>
        </is>
      </c>
      <c r="B424" s="1" t="n">
        <v>45196</v>
      </c>
      <c r="C424" s="1" t="n">
        <v>46180</v>
      </c>
      <c r="D424" t="inlineStr">
        <is>
          <t>NORRBOTTENS LÄN</t>
        </is>
      </c>
      <c r="E424" t="inlineStr">
        <is>
          <t>GÄLLIVARE</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14666-2025</t>
        </is>
      </c>
      <c r="B425" s="1" t="n">
        <v>45742</v>
      </c>
      <c r="C425" s="1" t="n">
        <v>46180</v>
      </c>
      <c r="D425" t="inlineStr">
        <is>
          <t>NORRBOTTENS LÄN</t>
        </is>
      </c>
      <c r="E425" t="inlineStr">
        <is>
          <t>GÄLLIVARE</t>
        </is>
      </c>
      <c r="G425" t="n">
        <v>3.7</v>
      </c>
      <c r="H425" t="n">
        <v>0</v>
      </c>
      <c r="I425" t="n">
        <v>0</v>
      </c>
      <c r="J425" t="n">
        <v>0</v>
      </c>
      <c r="K425" t="n">
        <v>0</v>
      </c>
      <c r="L425" t="n">
        <v>0</v>
      </c>
      <c r="M425" t="n">
        <v>0</v>
      </c>
      <c r="N425" t="n">
        <v>0</v>
      </c>
      <c r="O425" t="n">
        <v>0</v>
      </c>
      <c r="P425" t="n">
        <v>0</v>
      </c>
      <c r="Q425" t="n">
        <v>0</v>
      </c>
      <c r="R425" s="2" t="inlineStr"/>
    </row>
    <row r="426" ht="15" customHeight="1">
      <c r="A426" t="inlineStr">
        <is>
          <t>A 56341-2025</t>
        </is>
      </c>
      <c r="B426" s="1" t="n">
        <v>45974.64761574074</v>
      </c>
      <c r="C426" s="1" t="n">
        <v>46180</v>
      </c>
      <c r="D426" t="inlineStr">
        <is>
          <t>NORRBOTTENS LÄN</t>
        </is>
      </c>
      <c r="E426" t="inlineStr">
        <is>
          <t>GÄLLIVARE</t>
        </is>
      </c>
      <c r="F426" t="inlineStr">
        <is>
          <t>Sveaskog</t>
        </is>
      </c>
      <c r="G426" t="n">
        <v>12.9</v>
      </c>
      <c r="H426" t="n">
        <v>0</v>
      </c>
      <c r="I426" t="n">
        <v>0</v>
      </c>
      <c r="J426" t="n">
        <v>0</v>
      </c>
      <c r="K426" t="n">
        <v>0</v>
      </c>
      <c r="L426" t="n">
        <v>0</v>
      </c>
      <c r="M426" t="n">
        <v>0</v>
      </c>
      <c r="N426" t="n">
        <v>0</v>
      </c>
      <c r="O426" t="n">
        <v>0</v>
      </c>
      <c r="P426" t="n">
        <v>0</v>
      </c>
      <c r="Q426" t="n">
        <v>0</v>
      </c>
      <c r="R426" s="2" t="inlineStr"/>
    </row>
    <row r="427" ht="15" customHeight="1">
      <c r="A427" t="inlineStr">
        <is>
          <t>A 12130-2026</t>
        </is>
      </c>
      <c r="B427" s="1" t="n">
        <v>46086.55271990741</v>
      </c>
      <c r="C427" s="1" t="n">
        <v>46180</v>
      </c>
      <c r="D427" t="inlineStr">
        <is>
          <t>NORRBOTTENS LÄN</t>
        </is>
      </c>
      <c r="E427" t="inlineStr">
        <is>
          <t>GÄLLIVARE</t>
        </is>
      </c>
      <c r="F427" t="inlineStr">
        <is>
          <t>SCA</t>
        </is>
      </c>
      <c r="G427" t="n">
        <v>22.3</v>
      </c>
      <c r="H427" t="n">
        <v>0</v>
      </c>
      <c r="I427" t="n">
        <v>0</v>
      </c>
      <c r="J427" t="n">
        <v>0</v>
      </c>
      <c r="K427" t="n">
        <v>0</v>
      </c>
      <c r="L427" t="n">
        <v>0</v>
      </c>
      <c r="M427" t="n">
        <v>0</v>
      </c>
      <c r="N427" t="n">
        <v>0</v>
      </c>
      <c r="O427" t="n">
        <v>0</v>
      </c>
      <c r="P427" t="n">
        <v>0</v>
      </c>
      <c r="Q427" t="n">
        <v>0</v>
      </c>
      <c r="R427" s="2" t="inlineStr"/>
    </row>
    <row r="428" ht="15" customHeight="1">
      <c r="A428" t="inlineStr">
        <is>
          <t>A 55407-2023</t>
        </is>
      </c>
      <c r="B428" s="1" t="n">
        <v>45231</v>
      </c>
      <c r="C428" s="1" t="n">
        <v>46180</v>
      </c>
      <c r="D428" t="inlineStr">
        <is>
          <t>NORRBOTTENS LÄN</t>
        </is>
      </c>
      <c r="E428" t="inlineStr">
        <is>
          <t>GÄLLIVARE</t>
        </is>
      </c>
      <c r="G428" t="n">
        <v>6.3</v>
      </c>
      <c r="H428" t="n">
        <v>0</v>
      </c>
      <c r="I428" t="n">
        <v>0</v>
      </c>
      <c r="J428" t="n">
        <v>0</v>
      </c>
      <c r="K428" t="n">
        <v>0</v>
      </c>
      <c r="L428" t="n">
        <v>0</v>
      </c>
      <c r="M428" t="n">
        <v>0</v>
      </c>
      <c r="N428" t="n">
        <v>0</v>
      </c>
      <c r="O428" t="n">
        <v>0</v>
      </c>
      <c r="P428" t="n">
        <v>0</v>
      </c>
      <c r="Q428" t="n">
        <v>0</v>
      </c>
      <c r="R428" s="2" t="inlineStr"/>
    </row>
    <row r="429" ht="15" customHeight="1">
      <c r="A429" t="inlineStr">
        <is>
          <t>A 12668-2026</t>
        </is>
      </c>
      <c r="B429" s="1" t="n">
        <v>46091.52894675926</v>
      </c>
      <c r="C429" s="1" t="n">
        <v>46180</v>
      </c>
      <c r="D429" t="inlineStr">
        <is>
          <t>NORRBOTTENS LÄN</t>
        </is>
      </c>
      <c r="E429" t="inlineStr">
        <is>
          <t>GÄLLIVARE</t>
        </is>
      </c>
      <c r="G429" t="n">
        <v>0.8</v>
      </c>
      <c r="H429" t="n">
        <v>0</v>
      </c>
      <c r="I429" t="n">
        <v>0</v>
      </c>
      <c r="J429" t="n">
        <v>0</v>
      </c>
      <c r="K429" t="n">
        <v>0</v>
      </c>
      <c r="L429" t="n">
        <v>0</v>
      </c>
      <c r="M429" t="n">
        <v>0</v>
      </c>
      <c r="N429" t="n">
        <v>0</v>
      </c>
      <c r="O429" t="n">
        <v>0</v>
      </c>
      <c r="P429" t="n">
        <v>0</v>
      </c>
      <c r="Q429" t="n">
        <v>0</v>
      </c>
      <c r="R429" s="2" t="inlineStr"/>
    </row>
    <row r="430" ht="15" customHeight="1">
      <c r="A430" t="inlineStr">
        <is>
          <t>A 14660-2025</t>
        </is>
      </c>
      <c r="B430" s="1" t="n">
        <v>45742</v>
      </c>
      <c r="C430" s="1" t="n">
        <v>46180</v>
      </c>
      <c r="D430" t="inlineStr">
        <is>
          <t>NORRBOTTENS LÄN</t>
        </is>
      </c>
      <c r="E430" t="inlineStr">
        <is>
          <t>GÄLLIVARE</t>
        </is>
      </c>
      <c r="G430" t="n">
        <v>10.3</v>
      </c>
      <c r="H430" t="n">
        <v>0</v>
      </c>
      <c r="I430" t="n">
        <v>0</v>
      </c>
      <c r="J430" t="n">
        <v>0</v>
      </c>
      <c r="K430" t="n">
        <v>0</v>
      </c>
      <c r="L430" t="n">
        <v>0</v>
      </c>
      <c r="M430" t="n">
        <v>0</v>
      </c>
      <c r="N430" t="n">
        <v>0</v>
      </c>
      <c r="O430" t="n">
        <v>0</v>
      </c>
      <c r="P430" t="n">
        <v>0</v>
      </c>
      <c r="Q430" t="n">
        <v>0</v>
      </c>
      <c r="R430" s="2" t="inlineStr"/>
    </row>
    <row r="431" ht="15" customHeight="1">
      <c r="A431" t="inlineStr">
        <is>
          <t>A 14664-2025</t>
        </is>
      </c>
      <c r="B431" s="1" t="n">
        <v>45742</v>
      </c>
      <c r="C431" s="1" t="n">
        <v>46180</v>
      </c>
      <c r="D431" t="inlineStr">
        <is>
          <t>NORRBOTTENS LÄN</t>
        </is>
      </c>
      <c r="E431" t="inlineStr">
        <is>
          <t>GÄLLIVARE</t>
        </is>
      </c>
      <c r="G431" t="n">
        <v>20.8</v>
      </c>
      <c r="H431" t="n">
        <v>0</v>
      </c>
      <c r="I431" t="n">
        <v>0</v>
      </c>
      <c r="J431" t="n">
        <v>0</v>
      </c>
      <c r="K431" t="n">
        <v>0</v>
      </c>
      <c r="L431" t="n">
        <v>0</v>
      </c>
      <c r="M431" t="n">
        <v>0</v>
      </c>
      <c r="N431" t="n">
        <v>0</v>
      </c>
      <c r="O431" t="n">
        <v>0</v>
      </c>
      <c r="P431" t="n">
        <v>0</v>
      </c>
      <c r="Q431" t="n">
        <v>0</v>
      </c>
      <c r="R431" s="2" t="inlineStr"/>
    </row>
    <row r="432" ht="15" customHeight="1">
      <c r="A432" t="inlineStr">
        <is>
          <t>A 14604-2025</t>
        </is>
      </c>
      <c r="B432" s="1" t="n">
        <v>45742</v>
      </c>
      <c r="C432" s="1" t="n">
        <v>46180</v>
      </c>
      <c r="D432" t="inlineStr">
        <is>
          <t>NORRBOTTENS LÄN</t>
        </is>
      </c>
      <c r="E432" t="inlineStr">
        <is>
          <t>GÄLLIVARE</t>
        </is>
      </c>
      <c r="G432" t="n">
        <v>8.1</v>
      </c>
      <c r="H432" t="n">
        <v>0</v>
      </c>
      <c r="I432" t="n">
        <v>0</v>
      </c>
      <c r="J432" t="n">
        <v>0</v>
      </c>
      <c r="K432" t="n">
        <v>0</v>
      </c>
      <c r="L432" t="n">
        <v>0</v>
      </c>
      <c r="M432" t="n">
        <v>0</v>
      </c>
      <c r="N432" t="n">
        <v>0</v>
      </c>
      <c r="O432" t="n">
        <v>0</v>
      </c>
      <c r="P432" t="n">
        <v>0</v>
      </c>
      <c r="Q432" t="n">
        <v>0</v>
      </c>
      <c r="R432" s="2" t="inlineStr"/>
    </row>
    <row r="433" ht="15" customHeight="1">
      <c r="A433" t="inlineStr">
        <is>
          <t>A 56500-2025</t>
        </is>
      </c>
      <c r="B433" s="1" t="n">
        <v>45975.43429398148</v>
      </c>
      <c r="C433" s="1" t="n">
        <v>46180</v>
      </c>
      <c r="D433" t="inlineStr">
        <is>
          <t>NORRBOTTENS LÄN</t>
        </is>
      </c>
      <c r="E433" t="inlineStr">
        <is>
          <t>GÄLLIVARE</t>
        </is>
      </c>
      <c r="F433" t="inlineStr">
        <is>
          <t>Sveaskog</t>
        </is>
      </c>
      <c r="G433" t="n">
        <v>10.2</v>
      </c>
      <c r="H433" t="n">
        <v>0</v>
      </c>
      <c r="I433" t="n">
        <v>0</v>
      </c>
      <c r="J433" t="n">
        <v>0</v>
      </c>
      <c r="K433" t="n">
        <v>0</v>
      </c>
      <c r="L433" t="n">
        <v>0</v>
      </c>
      <c r="M433" t="n">
        <v>0</v>
      </c>
      <c r="N433" t="n">
        <v>0</v>
      </c>
      <c r="O433" t="n">
        <v>0</v>
      </c>
      <c r="P433" t="n">
        <v>0</v>
      </c>
      <c r="Q433" t="n">
        <v>0</v>
      </c>
      <c r="R433" s="2" t="inlineStr"/>
    </row>
    <row r="434" ht="15" customHeight="1">
      <c r="A434" t="inlineStr">
        <is>
          <t>A 56503-2025</t>
        </is>
      </c>
      <c r="B434" s="1" t="n">
        <v>45975.43760416667</v>
      </c>
      <c r="C434" s="1" t="n">
        <v>46180</v>
      </c>
      <c r="D434" t="inlineStr">
        <is>
          <t>NORRBOTTENS LÄN</t>
        </is>
      </c>
      <c r="E434" t="inlineStr">
        <is>
          <t>GÄLLIVARE</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12666-2026</t>
        </is>
      </c>
      <c r="B435" s="1" t="n">
        <v>46091.52510416666</v>
      </c>
      <c r="C435" s="1" t="n">
        <v>46180</v>
      </c>
      <c r="D435" t="inlineStr">
        <is>
          <t>NORRBOTTENS LÄN</t>
        </is>
      </c>
      <c r="E435" t="inlineStr">
        <is>
          <t>GÄLLIVARE</t>
        </is>
      </c>
      <c r="G435" t="n">
        <v>3</v>
      </c>
      <c r="H435" t="n">
        <v>0</v>
      </c>
      <c r="I435" t="n">
        <v>0</v>
      </c>
      <c r="J435" t="n">
        <v>0</v>
      </c>
      <c r="K435" t="n">
        <v>0</v>
      </c>
      <c r="L435" t="n">
        <v>0</v>
      </c>
      <c r="M435" t="n">
        <v>0</v>
      </c>
      <c r="N435" t="n">
        <v>0</v>
      </c>
      <c r="O435" t="n">
        <v>0</v>
      </c>
      <c r="P435" t="n">
        <v>0</v>
      </c>
      <c r="Q435" t="n">
        <v>0</v>
      </c>
      <c r="R435" s="2" t="inlineStr"/>
    </row>
    <row r="436" ht="15" customHeight="1">
      <c r="A436" t="inlineStr">
        <is>
          <t>A 11782-2025</t>
        </is>
      </c>
      <c r="B436" s="1" t="n">
        <v>45727</v>
      </c>
      <c r="C436" s="1" t="n">
        <v>46180</v>
      </c>
      <c r="D436" t="inlineStr">
        <is>
          <t>NORRBOTTENS LÄN</t>
        </is>
      </c>
      <c r="E436" t="inlineStr">
        <is>
          <t>GÄLLIVARE</t>
        </is>
      </c>
      <c r="F436" t="inlineStr">
        <is>
          <t>SCA</t>
        </is>
      </c>
      <c r="G436" t="n">
        <v>6.8</v>
      </c>
      <c r="H436" t="n">
        <v>0</v>
      </c>
      <c r="I436" t="n">
        <v>0</v>
      </c>
      <c r="J436" t="n">
        <v>0</v>
      </c>
      <c r="K436" t="n">
        <v>0</v>
      </c>
      <c r="L436" t="n">
        <v>0</v>
      </c>
      <c r="M436" t="n">
        <v>0</v>
      </c>
      <c r="N436" t="n">
        <v>0</v>
      </c>
      <c r="O436" t="n">
        <v>0</v>
      </c>
      <c r="P436" t="n">
        <v>0</v>
      </c>
      <c r="Q436" t="n">
        <v>0</v>
      </c>
      <c r="R436" s="2" t="inlineStr"/>
    </row>
    <row r="437" ht="15" customHeight="1">
      <c r="A437" t="inlineStr">
        <is>
          <t>A 57369-2025</t>
        </is>
      </c>
      <c r="B437" s="1" t="n">
        <v>45980</v>
      </c>
      <c r="C437" s="1" t="n">
        <v>46180</v>
      </c>
      <c r="D437" t="inlineStr">
        <is>
          <t>NORRBOTTENS LÄN</t>
        </is>
      </c>
      <c r="E437" t="inlineStr">
        <is>
          <t>GÄLLIVARE</t>
        </is>
      </c>
      <c r="G437" t="n">
        <v>2.7</v>
      </c>
      <c r="H437" t="n">
        <v>0</v>
      </c>
      <c r="I437" t="n">
        <v>0</v>
      </c>
      <c r="J437" t="n">
        <v>0</v>
      </c>
      <c r="K437" t="n">
        <v>0</v>
      </c>
      <c r="L437" t="n">
        <v>0</v>
      </c>
      <c r="M437" t="n">
        <v>0</v>
      </c>
      <c r="N437" t="n">
        <v>0</v>
      </c>
      <c r="O437" t="n">
        <v>0</v>
      </c>
      <c r="P437" t="n">
        <v>0</v>
      </c>
      <c r="Q437" t="n">
        <v>0</v>
      </c>
      <c r="R437" s="2" t="inlineStr"/>
    </row>
    <row r="438" ht="15" customHeight="1">
      <c r="A438" t="inlineStr">
        <is>
          <t>A 57349-2025</t>
        </is>
      </c>
      <c r="B438" s="1" t="n">
        <v>45980.35990740741</v>
      </c>
      <c r="C438" s="1" t="n">
        <v>46180</v>
      </c>
      <c r="D438" t="inlineStr">
        <is>
          <t>NORRBOTTENS LÄN</t>
        </is>
      </c>
      <c r="E438" t="inlineStr">
        <is>
          <t>GÄLLIVARE</t>
        </is>
      </c>
      <c r="G438" t="n">
        <v>3</v>
      </c>
      <c r="H438" t="n">
        <v>0</v>
      </c>
      <c r="I438" t="n">
        <v>0</v>
      </c>
      <c r="J438" t="n">
        <v>0</v>
      </c>
      <c r="K438" t="n">
        <v>0</v>
      </c>
      <c r="L438" t="n">
        <v>0</v>
      </c>
      <c r="M438" t="n">
        <v>0</v>
      </c>
      <c r="N438" t="n">
        <v>0</v>
      </c>
      <c r="O438" t="n">
        <v>0</v>
      </c>
      <c r="P438" t="n">
        <v>0</v>
      </c>
      <c r="Q438" t="n">
        <v>0</v>
      </c>
      <c r="R438" s="2" t="inlineStr"/>
    </row>
    <row r="439" ht="15" customHeight="1">
      <c r="A439" t="inlineStr">
        <is>
          <t>A 57353-2025</t>
        </is>
      </c>
      <c r="B439" s="1" t="n">
        <v>45980.36521990741</v>
      </c>
      <c r="C439" s="1" t="n">
        <v>46180</v>
      </c>
      <c r="D439" t="inlineStr">
        <is>
          <t>NORRBOTTENS LÄN</t>
        </is>
      </c>
      <c r="E439" t="inlineStr">
        <is>
          <t>GÄLLIVARE</t>
        </is>
      </c>
      <c r="G439" t="n">
        <v>1.8</v>
      </c>
      <c r="H439" t="n">
        <v>0</v>
      </c>
      <c r="I439" t="n">
        <v>0</v>
      </c>
      <c r="J439" t="n">
        <v>0</v>
      </c>
      <c r="K439" t="n">
        <v>0</v>
      </c>
      <c r="L439" t="n">
        <v>0</v>
      </c>
      <c r="M439" t="n">
        <v>0</v>
      </c>
      <c r="N439" t="n">
        <v>0</v>
      </c>
      <c r="O439" t="n">
        <v>0</v>
      </c>
      <c r="P439" t="n">
        <v>0</v>
      </c>
      <c r="Q439" t="n">
        <v>0</v>
      </c>
      <c r="R439" s="2" t="inlineStr"/>
    </row>
    <row r="440" ht="15" customHeight="1">
      <c r="A440" t="inlineStr">
        <is>
          <t>A 57367-2025</t>
        </is>
      </c>
      <c r="B440" s="1" t="n">
        <v>45980.3780787037</v>
      </c>
      <c r="C440" s="1" t="n">
        <v>46180</v>
      </c>
      <c r="D440" t="inlineStr">
        <is>
          <t>NORRBOTTENS LÄN</t>
        </is>
      </c>
      <c r="E440" t="inlineStr">
        <is>
          <t>GÄLLIVARE</t>
        </is>
      </c>
      <c r="G440" t="n">
        <v>1.6</v>
      </c>
      <c r="H440" t="n">
        <v>0</v>
      </c>
      <c r="I440" t="n">
        <v>0</v>
      </c>
      <c r="J440" t="n">
        <v>0</v>
      </c>
      <c r="K440" t="n">
        <v>0</v>
      </c>
      <c r="L440" t="n">
        <v>0</v>
      </c>
      <c r="M440" t="n">
        <v>0</v>
      </c>
      <c r="N440" t="n">
        <v>0</v>
      </c>
      <c r="O440" t="n">
        <v>0</v>
      </c>
      <c r="P440" t="n">
        <v>0</v>
      </c>
      <c r="Q440" t="n">
        <v>0</v>
      </c>
      <c r="R440" s="2" t="inlineStr"/>
    </row>
    <row r="441" ht="15" customHeight="1">
      <c r="A441" t="inlineStr">
        <is>
          <t>A 12833-2026</t>
        </is>
      </c>
      <c r="B441" s="1" t="n">
        <v>46092.42576388889</v>
      </c>
      <c r="C441" s="1" t="n">
        <v>46180</v>
      </c>
      <c r="D441" t="inlineStr">
        <is>
          <t>NORRBOTTENS LÄN</t>
        </is>
      </c>
      <c r="E441" t="inlineStr">
        <is>
          <t>GÄLLIVARE</t>
        </is>
      </c>
      <c r="G441" t="n">
        <v>12.3</v>
      </c>
      <c r="H441" t="n">
        <v>0</v>
      </c>
      <c r="I441" t="n">
        <v>0</v>
      </c>
      <c r="J441" t="n">
        <v>0</v>
      </c>
      <c r="K441" t="n">
        <v>0</v>
      </c>
      <c r="L441" t="n">
        <v>0</v>
      </c>
      <c r="M441" t="n">
        <v>0</v>
      </c>
      <c r="N441" t="n">
        <v>0</v>
      </c>
      <c r="O441" t="n">
        <v>0</v>
      </c>
      <c r="P441" t="n">
        <v>0</v>
      </c>
      <c r="Q441" t="n">
        <v>0</v>
      </c>
      <c r="R441" s="2" t="inlineStr"/>
    </row>
    <row r="442" ht="15" customHeight="1">
      <c r="A442" t="inlineStr">
        <is>
          <t>A 42612-2023</t>
        </is>
      </c>
      <c r="B442" s="1" t="n">
        <v>45176</v>
      </c>
      <c r="C442" s="1" t="n">
        <v>46180</v>
      </c>
      <c r="D442" t="inlineStr">
        <is>
          <t>NORRBOTTENS LÄN</t>
        </is>
      </c>
      <c r="E442" t="inlineStr">
        <is>
          <t>GÄLLIVARE</t>
        </is>
      </c>
      <c r="G442" t="n">
        <v>3.9</v>
      </c>
      <c r="H442" t="n">
        <v>0</v>
      </c>
      <c r="I442" t="n">
        <v>0</v>
      </c>
      <c r="J442" t="n">
        <v>0</v>
      </c>
      <c r="K442" t="n">
        <v>0</v>
      </c>
      <c r="L442" t="n">
        <v>0</v>
      </c>
      <c r="M442" t="n">
        <v>0</v>
      </c>
      <c r="N442" t="n">
        <v>0</v>
      </c>
      <c r="O442" t="n">
        <v>0</v>
      </c>
      <c r="P442" t="n">
        <v>0</v>
      </c>
      <c r="Q442" t="n">
        <v>0</v>
      </c>
      <c r="R442" s="2" t="inlineStr"/>
    </row>
    <row r="443" ht="15" customHeight="1">
      <c r="A443" t="inlineStr">
        <is>
          <t>A 16068-2023</t>
        </is>
      </c>
      <c r="B443" s="1" t="n">
        <v>45027</v>
      </c>
      <c r="C443" s="1" t="n">
        <v>46180</v>
      </c>
      <c r="D443" t="inlineStr">
        <is>
          <t>NORRBOTTENS LÄN</t>
        </is>
      </c>
      <c r="E443" t="inlineStr">
        <is>
          <t>GÄLLIVARE</t>
        </is>
      </c>
      <c r="G443" t="n">
        <v>4.1</v>
      </c>
      <c r="H443" t="n">
        <v>0</v>
      </c>
      <c r="I443" t="n">
        <v>0</v>
      </c>
      <c r="J443" t="n">
        <v>0</v>
      </c>
      <c r="K443" t="n">
        <v>0</v>
      </c>
      <c r="L443" t="n">
        <v>0</v>
      </c>
      <c r="M443" t="n">
        <v>0</v>
      </c>
      <c r="N443" t="n">
        <v>0</v>
      </c>
      <c r="O443" t="n">
        <v>0</v>
      </c>
      <c r="P443" t="n">
        <v>0</v>
      </c>
      <c r="Q443" t="n">
        <v>0</v>
      </c>
      <c r="R443" s="2" t="inlineStr"/>
    </row>
    <row r="444" ht="15" customHeight="1">
      <c r="A444" t="inlineStr">
        <is>
          <t>A 58255-2025</t>
        </is>
      </c>
      <c r="B444" s="1" t="n">
        <v>45985.40084490741</v>
      </c>
      <c r="C444" s="1" t="n">
        <v>46180</v>
      </c>
      <c r="D444" t="inlineStr">
        <is>
          <t>NORRBOTTENS LÄN</t>
        </is>
      </c>
      <c r="E444" t="inlineStr">
        <is>
          <t>GÄLLIVARE</t>
        </is>
      </c>
      <c r="F444" t="inlineStr">
        <is>
          <t>Sveaskog</t>
        </is>
      </c>
      <c r="G444" t="n">
        <v>28.9</v>
      </c>
      <c r="H444" t="n">
        <v>0</v>
      </c>
      <c r="I444" t="n">
        <v>0</v>
      </c>
      <c r="J444" t="n">
        <v>0</v>
      </c>
      <c r="K444" t="n">
        <v>0</v>
      </c>
      <c r="L444" t="n">
        <v>0</v>
      </c>
      <c r="M444" t="n">
        <v>0</v>
      </c>
      <c r="N444" t="n">
        <v>0</v>
      </c>
      <c r="O444" t="n">
        <v>0</v>
      </c>
      <c r="P444" t="n">
        <v>0</v>
      </c>
      <c r="Q444" t="n">
        <v>0</v>
      </c>
      <c r="R444" s="2" t="inlineStr"/>
    </row>
    <row r="445" ht="15" customHeight="1">
      <c r="A445" t="inlineStr">
        <is>
          <t>A 58231-2025</t>
        </is>
      </c>
      <c r="B445" s="1" t="n">
        <v>45985.38216435185</v>
      </c>
      <c r="C445" s="1" t="n">
        <v>46180</v>
      </c>
      <c r="D445" t="inlineStr">
        <is>
          <t>NORRBOTTENS LÄN</t>
        </is>
      </c>
      <c r="E445" t="inlineStr">
        <is>
          <t>GÄLLIVARE</t>
        </is>
      </c>
      <c r="F445" t="inlineStr">
        <is>
          <t>Sveaskog</t>
        </is>
      </c>
      <c r="G445" t="n">
        <v>6.9</v>
      </c>
      <c r="H445" t="n">
        <v>0</v>
      </c>
      <c r="I445" t="n">
        <v>0</v>
      </c>
      <c r="J445" t="n">
        <v>0</v>
      </c>
      <c r="K445" t="n">
        <v>0</v>
      </c>
      <c r="L445" t="n">
        <v>0</v>
      </c>
      <c r="M445" t="n">
        <v>0</v>
      </c>
      <c r="N445" t="n">
        <v>0</v>
      </c>
      <c r="O445" t="n">
        <v>0</v>
      </c>
      <c r="P445" t="n">
        <v>0</v>
      </c>
      <c r="Q445" t="n">
        <v>0</v>
      </c>
      <c r="R445" s="2" t="inlineStr"/>
    </row>
    <row r="446" ht="15" customHeight="1">
      <c r="A446" t="inlineStr">
        <is>
          <t>A 58466-2025</t>
        </is>
      </c>
      <c r="B446" s="1" t="n">
        <v>45985</v>
      </c>
      <c r="C446" s="1" t="n">
        <v>46180</v>
      </c>
      <c r="D446" t="inlineStr">
        <is>
          <t>NORRBOTTENS LÄN</t>
        </is>
      </c>
      <c r="E446" t="inlineStr">
        <is>
          <t>GÄLLIVARE</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58229-2025</t>
        </is>
      </c>
      <c r="B447" s="1" t="n">
        <v>45985.37741898148</v>
      </c>
      <c r="C447" s="1" t="n">
        <v>46180</v>
      </c>
      <c r="D447" t="inlineStr">
        <is>
          <t>NORRBOTTENS LÄN</t>
        </is>
      </c>
      <c r="E447" t="inlineStr">
        <is>
          <t>GÄLLIVARE</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20138-2026</t>
        </is>
      </c>
      <c r="B448" s="1" t="n">
        <v>46136.86862268519</v>
      </c>
      <c r="C448" s="1" t="n">
        <v>46180</v>
      </c>
      <c r="D448" t="inlineStr">
        <is>
          <t>NORRBOTTENS LÄN</t>
        </is>
      </c>
      <c r="E448" t="inlineStr">
        <is>
          <t>GÄLLIVARE</t>
        </is>
      </c>
      <c r="G448" t="n">
        <v>9.6</v>
      </c>
      <c r="H448" t="n">
        <v>0</v>
      </c>
      <c r="I448" t="n">
        <v>0</v>
      </c>
      <c r="J448" t="n">
        <v>0</v>
      </c>
      <c r="K448" t="n">
        <v>0</v>
      </c>
      <c r="L448" t="n">
        <v>0</v>
      </c>
      <c r="M448" t="n">
        <v>0</v>
      </c>
      <c r="N448" t="n">
        <v>0</v>
      </c>
      <c r="O448" t="n">
        <v>0</v>
      </c>
      <c r="P448" t="n">
        <v>0</v>
      </c>
      <c r="Q448" t="n">
        <v>0</v>
      </c>
      <c r="R448" s="2" t="inlineStr"/>
    </row>
    <row r="449" ht="15" customHeight="1">
      <c r="A449" t="inlineStr">
        <is>
          <t>A 58688-2025</t>
        </is>
      </c>
      <c r="B449" s="1" t="n">
        <v>45986.57354166666</v>
      </c>
      <c r="C449" s="1" t="n">
        <v>46180</v>
      </c>
      <c r="D449" t="inlineStr">
        <is>
          <t>NORRBOTTENS LÄN</t>
        </is>
      </c>
      <c r="E449" t="inlineStr">
        <is>
          <t>GÄLLIVARE</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6459-2023</t>
        </is>
      </c>
      <c r="B450" s="1" t="n">
        <v>44965</v>
      </c>
      <c r="C450" s="1" t="n">
        <v>46180</v>
      </c>
      <c r="D450" t="inlineStr">
        <is>
          <t>NORRBOTTENS LÄN</t>
        </is>
      </c>
      <c r="E450" t="inlineStr">
        <is>
          <t>GÄLLIVARE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58922-2025</t>
        </is>
      </c>
      <c r="B451" s="1" t="n">
        <v>45986</v>
      </c>
      <c r="C451" s="1" t="n">
        <v>46180</v>
      </c>
      <c r="D451" t="inlineStr">
        <is>
          <t>NORRBOTTENS LÄN</t>
        </is>
      </c>
      <c r="E451" t="inlineStr">
        <is>
          <t>GÄLLIVARE</t>
        </is>
      </c>
      <c r="F451" t="inlineStr">
        <is>
          <t>Allmännings- och besparingsskogar</t>
        </is>
      </c>
      <c r="G451" t="n">
        <v>7.1</v>
      </c>
      <c r="H451" t="n">
        <v>0</v>
      </c>
      <c r="I451" t="n">
        <v>0</v>
      </c>
      <c r="J451" t="n">
        <v>0</v>
      </c>
      <c r="K451" t="n">
        <v>0</v>
      </c>
      <c r="L451" t="n">
        <v>0</v>
      </c>
      <c r="M451" t="n">
        <v>0</v>
      </c>
      <c r="N451" t="n">
        <v>0</v>
      </c>
      <c r="O451" t="n">
        <v>0</v>
      </c>
      <c r="P451" t="n">
        <v>0</v>
      </c>
      <c r="Q451" t="n">
        <v>0</v>
      </c>
      <c r="R451" s="2" t="inlineStr"/>
    </row>
    <row r="452" ht="15" customHeight="1">
      <c r="A452" t="inlineStr">
        <is>
          <t>A 58991-2025</t>
        </is>
      </c>
      <c r="B452" s="1" t="n">
        <v>45987</v>
      </c>
      <c r="C452" s="1" t="n">
        <v>46180</v>
      </c>
      <c r="D452" t="inlineStr">
        <is>
          <t>NORRBOTTENS LÄN</t>
        </is>
      </c>
      <c r="E452" t="inlineStr">
        <is>
          <t>GÄLLIVARE</t>
        </is>
      </c>
      <c r="F452" t="inlineStr">
        <is>
          <t>Allmännings- och besparingsskogar</t>
        </is>
      </c>
      <c r="G452" t="n">
        <v>5</v>
      </c>
      <c r="H452" t="n">
        <v>0</v>
      </c>
      <c r="I452" t="n">
        <v>0</v>
      </c>
      <c r="J452" t="n">
        <v>0</v>
      </c>
      <c r="K452" t="n">
        <v>0</v>
      </c>
      <c r="L452" t="n">
        <v>0</v>
      </c>
      <c r="M452" t="n">
        <v>0</v>
      </c>
      <c r="N452" t="n">
        <v>0</v>
      </c>
      <c r="O452" t="n">
        <v>0</v>
      </c>
      <c r="P452" t="n">
        <v>0</v>
      </c>
      <c r="Q452" t="n">
        <v>0</v>
      </c>
      <c r="R452" s="2" t="inlineStr"/>
    </row>
    <row r="453" ht="15" customHeight="1">
      <c r="A453" t="inlineStr">
        <is>
          <t>A 55044-2023</t>
        </is>
      </c>
      <c r="B453" s="1" t="n">
        <v>45237</v>
      </c>
      <c r="C453" s="1" t="n">
        <v>46180</v>
      </c>
      <c r="D453" t="inlineStr">
        <is>
          <t>NORRBOTTENS LÄN</t>
        </is>
      </c>
      <c r="E453" t="inlineStr">
        <is>
          <t>GÄLLIVARE</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55050-2023</t>
        </is>
      </c>
      <c r="B454" s="1" t="n">
        <v>45237</v>
      </c>
      <c r="C454" s="1" t="n">
        <v>46180</v>
      </c>
      <c r="D454" t="inlineStr">
        <is>
          <t>NORRBOTTENS LÄN</t>
        </is>
      </c>
      <c r="E454" t="inlineStr">
        <is>
          <t>GÄLLIVARE</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60158-2025</t>
        </is>
      </c>
      <c r="B455" s="1" t="n">
        <v>45994.42756944444</v>
      </c>
      <c r="C455" s="1" t="n">
        <v>46180</v>
      </c>
      <c r="D455" t="inlineStr">
        <is>
          <t>NORRBOTTENS LÄN</t>
        </is>
      </c>
      <c r="E455" t="inlineStr">
        <is>
          <t>GÄLLIVARE</t>
        </is>
      </c>
      <c r="F455" t="inlineStr">
        <is>
          <t>SCA</t>
        </is>
      </c>
      <c r="G455" t="n">
        <v>9.4</v>
      </c>
      <c r="H455" t="n">
        <v>0</v>
      </c>
      <c r="I455" t="n">
        <v>0</v>
      </c>
      <c r="J455" t="n">
        <v>0</v>
      </c>
      <c r="K455" t="n">
        <v>0</v>
      </c>
      <c r="L455" t="n">
        <v>0</v>
      </c>
      <c r="M455" t="n">
        <v>0</v>
      </c>
      <c r="N455" t="n">
        <v>0</v>
      </c>
      <c r="O455" t="n">
        <v>0</v>
      </c>
      <c r="P455" t="n">
        <v>0</v>
      </c>
      <c r="Q455" t="n">
        <v>0</v>
      </c>
      <c r="R455" s="2" t="inlineStr"/>
    </row>
    <row r="456" ht="15" customHeight="1">
      <c r="A456" t="inlineStr">
        <is>
          <t>A 61476-2024</t>
        </is>
      </c>
      <c r="B456" s="1" t="n">
        <v>45646</v>
      </c>
      <c r="C456" s="1" t="n">
        <v>46180</v>
      </c>
      <c r="D456" t="inlineStr">
        <is>
          <t>NORRBOTTENS LÄN</t>
        </is>
      </c>
      <c r="E456" t="inlineStr">
        <is>
          <t>GÄLLIVARE</t>
        </is>
      </c>
      <c r="G456" t="n">
        <v>17</v>
      </c>
      <c r="H456" t="n">
        <v>0</v>
      </c>
      <c r="I456" t="n">
        <v>0</v>
      </c>
      <c r="J456" t="n">
        <v>0</v>
      </c>
      <c r="K456" t="n">
        <v>0</v>
      </c>
      <c r="L456" t="n">
        <v>0</v>
      </c>
      <c r="M456" t="n">
        <v>0</v>
      </c>
      <c r="N456" t="n">
        <v>0</v>
      </c>
      <c r="O456" t="n">
        <v>0</v>
      </c>
      <c r="P456" t="n">
        <v>0</v>
      </c>
      <c r="Q456" t="n">
        <v>0</v>
      </c>
      <c r="R456" s="2" t="inlineStr"/>
    </row>
    <row r="457" ht="15" customHeight="1">
      <c r="A457" t="inlineStr">
        <is>
          <t>A 55644-2023</t>
        </is>
      </c>
      <c r="B457" s="1" t="n">
        <v>45238</v>
      </c>
      <c r="C457" s="1" t="n">
        <v>46180</v>
      </c>
      <c r="D457" t="inlineStr">
        <is>
          <t>NORRBOTTENS LÄN</t>
        </is>
      </c>
      <c r="E457" t="inlineStr">
        <is>
          <t>GÄLLIVARE</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60219-2025</t>
        </is>
      </c>
      <c r="B458" s="1" t="n">
        <v>45994.54309027778</v>
      </c>
      <c r="C458" s="1" t="n">
        <v>46180</v>
      </c>
      <c r="D458" t="inlineStr">
        <is>
          <t>NORRBOTTENS LÄN</t>
        </is>
      </c>
      <c r="E458" t="inlineStr">
        <is>
          <t>GÄLLIVARE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54725-2023</t>
        </is>
      </c>
      <c r="B459" s="1" t="n">
        <v>45229</v>
      </c>
      <c r="C459" s="1" t="n">
        <v>46180</v>
      </c>
      <c r="D459" t="inlineStr">
        <is>
          <t>NORRBOTTENS LÄN</t>
        </is>
      </c>
      <c r="E459" t="inlineStr">
        <is>
          <t>GÄLLIVARE</t>
        </is>
      </c>
      <c r="G459" t="n">
        <v>2.5</v>
      </c>
      <c r="H459" t="n">
        <v>0</v>
      </c>
      <c r="I459" t="n">
        <v>0</v>
      </c>
      <c r="J459" t="n">
        <v>0</v>
      </c>
      <c r="K459" t="n">
        <v>0</v>
      </c>
      <c r="L459" t="n">
        <v>0</v>
      </c>
      <c r="M459" t="n">
        <v>0</v>
      </c>
      <c r="N459" t="n">
        <v>0</v>
      </c>
      <c r="O459" t="n">
        <v>0</v>
      </c>
      <c r="P459" t="n">
        <v>0</v>
      </c>
      <c r="Q459" t="n">
        <v>0</v>
      </c>
      <c r="R459" s="2" t="inlineStr"/>
    </row>
    <row r="460" ht="15" customHeight="1">
      <c r="A460" t="inlineStr">
        <is>
          <t>A 60584-2023</t>
        </is>
      </c>
      <c r="B460" s="1" t="n">
        <v>45259</v>
      </c>
      <c r="C460" s="1" t="n">
        <v>46180</v>
      </c>
      <c r="D460" t="inlineStr">
        <is>
          <t>NORRBOTTENS LÄN</t>
        </is>
      </c>
      <c r="E460" t="inlineStr">
        <is>
          <t>GÄLLIVARE</t>
        </is>
      </c>
      <c r="F460" t="inlineStr">
        <is>
          <t>SCA</t>
        </is>
      </c>
      <c r="G460" t="n">
        <v>7.1</v>
      </c>
      <c r="H460" t="n">
        <v>0</v>
      </c>
      <c r="I460" t="n">
        <v>0</v>
      </c>
      <c r="J460" t="n">
        <v>0</v>
      </c>
      <c r="K460" t="n">
        <v>0</v>
      </c>
      <c r="L460" t="n">
        <v>0</v>
      </c>
      <c r="M460" t="n">
        <v>0</v>
      </c>
      <c r="N460" t="n">
        <v>0</v>
      </c>
      <c r="O460" t="n">
        <v>0</v>
      </c>
      <c r="P460" t="n">
        <v>0</v>
      </c>
      <c r="Q460" t="n">
        <v>0</v>
      </c>
      <c r="R460" s="2" t="inlineStr"/>
    </row>
    <row r="461" ht="15" customHeight="1">
      <c r="A461" t="inlineStr">
        <is>
          <t>A 47862-2024</t>
        </is>
      </c>
      <c r="B461" s="1" t="n">
        <v>45588</v>
      </c>
      <c r="C461" s="1" t="n">
        <v>46180</v>
      </c>
      <c r="D461" t="inlineStr">
        <is>
          <t>NORRBOTTENS LÄN</t>
        </is>
      </c>
      <c r="E461" t="inlineStr">
        <is>
          <t>GÄLLIVARE</t>
        </is>
      </c>
      <c r="F461" t="inlineStr">
        <is>
          <t>Allmännings- och besparingsskogar</t>
        </is>
      </c>
      <c r="G461" t="n">
        <v>5.8</v>
      </c>
      <c r="H461" t="n">
        <v>0</v>
      </c>
      <c r="I461" t="n">
        <v>0</v>
      </c>
      <c r="J461" t="n">
        <v>0</v>
      </c>
      <c r="K461" t="n">
        <v>0</v>
      </c>
      <c r="L461" t="n">
        <v>0</v>
      </c>
      <c r="M461" t="n">
        <v>0</v>
      </c>
      <c r="N461" t="n">
        <v>0</v>
      </c>
      <c r="O461" t="n">
        <v>0</v>
      </c>
      <c r="P461" t="n">
        <v>0</v>
      </c>
      <c r="Q461" t="n">
        <v>0</v>
      </c>
      <c r="R461" s="2" t="inlineStr"/>
    </row>
    <row r="462" ht="15" customHeight="1">
      <c r="A462" t="inlineStr">
        <is>
          <t>A 60208-2025</t>
        </is>
      </c>
      <c r="B462" s="1" t="n">
        <v>45994.52303240741</v>
      </c>
      <c r="C462" s="1" t="n">
        <v>46180</v>
      </c>
      <c r="D462" t="inlineStr">
        <is>
          <t>NORRBOTTENS LÄN</t>
        </is>
      </c>
      <c r="E462" t="inlineStr">
        <is>
          <t>GÄLLIVARE</t>
        </is>
      </c>
      <c r="F462" t="inlineStr">
        <is>
          <t>Sveaskog</t>
        </is>
      </c>
      <c r="G462" t="n">
        <v>5</v>
      </c>
      <c r="H462" t="n">
        <v>0</v>
      </c>
      <c r="I462" t="n">
        <v>0</v>
      </c>
      <c r="J462" t="n">
        <v>0</v>
      </c>
      <c r="K462" t="n">
        <v>0</v>
      </c>
      <c r="L462" t="n">
        <v>0</v>
      </c>
      <c r="M462" t="n">
        <v>0</v>
      </c>
      <c r="N462" t="n">
        <v>0</v>
      </c>
      <c r="O462" t="n">
        <v>0</v>
      </c>
      <c r="P462" t="n">
        <v>0</v>
      </c>
      <c r="Q462" t="n">
        <v>0</v>
      </c>
      <c r="R462" s="2" t="inlineStr"/>
    </row>
    <row r="463" ht="15" customHeight="1">
      <c r="A463" t="inlineStr">
        <is>
          <t>A 20660-2026</t>
        </is>
      </c>
      <c r="B463" s="1" t="n">
        <v>46141.42776620371</v>
      </c>
      <c r="C463" s="1" t="n">
        <v>46180</v>
      </c>
      <c r="D463" t="inlineStr">
        <is>
          <t>NORRBOTTENS LÄN</t>
        </is>
      </c>
      <c r="E463" t="inlineStr">
        <is>
          <t>GÄLLIVARE</t>
        </is>
      </c>
      <c r="F463" t="inlineStr">
        <is>
          <t>SCA</t>
        </is>
      </c>
      <c r="G463" t="n">
        <v>18.4</v>
      </c>
      <c r="H463" t="n">
        <v>0</v>
      </c>
      <c r="I463" t="n">
        <v>0</v>
      </c>
      <c r="J463" t="n">
        <v>0</v>
      </c>
      <c r="K463" t="n">
        <v>0</v>
      </c>
      <c r="L463" t="n">
        <v>0</v>
      </c>
      <c r="M463" t="n">
        <v>0</v>
      </c>
      <c r="N463" t="n">
        <v>0</v>
      </c>
      <c r="O463" t="n">
        <v>0</v>
      </c>
      <c r="P463" t="n">
        <v>0</v>
      </c>
      <c r="Q463" t="n">
        <v>0</v>
      </c>
      <c r="R463" s="2" t="inlineStr"/>
    </row>
    <row r="464" ht="15" customHeight="1">
      <c r="A464" t="inlineStr">
        <is>
          <t>A 41870-2024</t>
        </is>
      </c>
      <c r="B464" s="1" t="n">
        <v>45561</v>
      </c>
      <c r="C464" s="1" t="n">
        <v>46180</v>
      </c>
      <c r="D464" t="inlineStr">
        <is>
          <t>NORRBOTTENS LÄN</t>
        </is>
      </c>
      <c r="E464" t="inlineStr">
        <is>
          <t>GÄLLIVARE</t>
        </is>
      </c>
      <c r="G464" t="n">
        <v>1.8</v>
      </c>
      <c r="H464" t="n">
        <v>0</v>
      </c>
      <c r="I464" t="n">
        <v>0</v>
      </c>
      <c r="J464" t="n">
        <v>0</v>
      </c>
      <c r="K464" t="n">
        <v>0</v>
      </c>
      <c r="L464" t="n">
        <v>0</v>
      </c>
      <c r="M464" t="n">
        <v>0</v>
      </c>
      <c r="N464" t="n">
        <v>0</v>
      </c>
      <c r="O464" t="n">
        <v>0</v>
      </c>
      <c r="P464" t="n">
        <v>0</v>
      </c>
      <c r="Q464" t="n">
        <v>0</v>
      </c>
      <c r="R464" s="2" t="inlineStr"/>
    </row>
    <row r="465" ht="15" customHeight="1">
      <c r="A465" t="inlineStr">
        <is>
          <t>A 60863-2025</t>
        </is>
      </c>
      <c r="B465" s="1" t="n">
        <v>45999.53010416667</v>
      </c>
      <c r="C465" s="1" t="n">
        <v>46180</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44326-2024</t>
        </is>
      </c>
      <c r="B466" s="1" t="n">
        <v>45573.59427083333</v>
      </c>
      <c r="C466" s="1" t="n">
        <v>46180</v>
      </c>
      <c r="D466" t="inlineStr">
        <is>
          <t>NORRBOTTENS LÄN</t>
        </is>
      </c>
      <c r="E466" t="inlineStr">
        <is>
          <t>GÄLLIVARE</t>
        </is>
      </c>
      <c r="G466" t="n">
        <v>1.7</v>
      </c>
      <c r="H466" t="n">
        <v>0</v>
      </c>
      <c r="I466" t="n">
        <v>0</v>
      </c>
      <c r="J466" t="n">
        <v>0</v>
      </c>
      <c r="K466" t="n">
        <v>0</v>
      </c>
      <c r="L466" t="n">
        <v>0</v>
      </c>
      <c r="M466" t="n">
        <v>0</v>
      </c>
      <c r="N466" t="n">
        <v>0</v>
      </c>
      <c r="O466" t="n">
        <v>0</v>
      </c>
      <c r="P466" t="n">
        <v>0</v>
      </c>
      <c r="Q466" t="n">
        <v>0</v>
      </c>
      <c r="R466" s="2" t="inlineStr"/>
    </row>
    <row r="467" ht="15" customHeight="1">
      <c r="A467" t="inlineStr">
        <is>
          <t>A 60982-2025</t>
        </is>
      </c>
      <c r="B467" s="1" t="n">
        <v>45999.70535879629</v>
      </c>
      <c r="C467" s="1" t="n">
        <v>46180</v>
      </c>
      <c r="D467" t="inlineStr">
        <is>
          <t>NORRBOTTENS LÄN</t>
        </is>
      </c>
      <c r="E467" t="inlineStr">
        <is>
          <t>GÄLLIVARE</t>
        </is>
      </c>
      <c r="G467" t="n">
        <v>2.5</v>
      </c>
      <c r="H467" t="n">
        <v>0</v>
      </c>
      <c r="I467" t="n">
        <v>0</v>
      </c>
      <c r="J467" t="n">
        <v>0</v>
      </c>
      <c r="K467" t="n">
        <v>0</v>
      </c>
      <c r="L467" t="n">
        <v>0</v>
      </c>
      <c r="M467" t="n">
        <v>0</v>
      </c>
      <c r="N467" t="n">
        <v>0</v>
      </c>
      <c r="O467" t="n">
        <v>0</v>
      </c>
      <c r="P467" t="n">
        <v>0</v>
      </c>
      <c r="Q467" t="n">
        <v>0</v>
      </c>
      <c r="R467" s="2" t="inlineStr"/>
    </row>
    <row r="468" ht="15" customHeight="1">
      <c r="A468" t="inlineStr">
        <is>
          <t>A 60857-2025</t>
        </is>
      </c>
      <c r="B468" s="1" t="n">
        <v>45999.52039351852</v>
      </c>
      <c r="C468" s="1" t="n">
        <v>46180</v>
      </c>
      <c r="D468" t="inlineStr">
        <is>
          <t>NORRBOTTENS LÄN</t>
        </is>
      </c>
      <c r="E468" t="inlineStr">
        <is>
          <t>GÄLLIVARE</t>
        </is>
      </c>
      <c r="G468" t="n">
        <v>5</v>
      </c>
      <c r="H468" t="n">
        <v>0</v>
      </c>
      <c r="I468" t="n">
        <v>0</v>
      </c>
      <c r="J468" t="n">
        <v>0</v>
      </c>
      <c r="K468" t="n">
        <v>0</v>
      </c>
      <c r="L468" t="n">
        <v>0</v>
      </c>
      <c r="M468" t="n">
        <v>0</v>
      </c>
      <c r="N468" t="n">
        <v>0</v>
      </c>
      <c r="O468" t="n">
        <v>0</v>
      </c>
      <c r="P468" t="n">
        <v>0</v>
      </c>
      <c r="Q468" t="n">
        <v>0</v>
      </c>
      <c r="R468" s="2" t="inlineStr"/>
    </row>
    <row r="469" ht="15" customHeight="1">
      <c r="A469" t="inlineStr">
        <is>
          <t>A 60845-2025</t>
        </is>
      </c>
      <c r="B469" s="1" t="n">
        <v>45999.48986111111</v>
      </c>
      <c r="C469" s="1" t="n">
        <v>46180</v>
      </c>
      <c r="D469" t="inlineStr">
        <is>
          <t>NORRBOTTENS LÄN</t>
        </is>
      </c>
      <c r="E469" t="inlineStr">
        <is>
          <t>GÄLLIVARE</t>
        </is>
      </c>
      <c r="G469" t="n">
        <v>41.3</v>
      </c>
      <c r="H469" t="n">
        <v>0</v>
      </c>
      <c r="I469" t="n">
        <v>0</v>
      </c>
      <c r="J469" t="n">
        <v>0</v>
      </c>
      <c r="K469" t="n">
        <v>0</v>
      </c>
      <c r="L469" t="n">
        <v>0</v>
      </c>
      <c r="M469" t="n">
        <v>0</v>
      </c>
      <c r="N469" t="n">
        <v>0</v>
      </c>
      <c r="O469" t="n">
        <v>0</v>
      </c>
      <c r="P469" t="n">
        <v>0</v>
      </c>
      <c r="Q469" t="n">
        <v>0</v>
      </c>
      <c r="R469" s="2" t="inlineStr"/>
    </row>
    <row r="470" ht="15" customHeight="1">
      <c r="A470" t="inlineStr">
        <is>
          <t>A 60923-2025</t>
        </is>
      </c>
      <c r="B470" s="1" t="n">
        <v>45999</v>
      </c>
      <c r="C470" s="1" t="n">
        <v>46180</v>
      </c>
      <c r="D470" t="inlineStr">
        <is>
          <t>NORRBOTTENS LÄN</t>
        </is>
      </c>
      <c r="E470" t="inlineStr">
        <is>
          <t>GÄLLIVARE</t>
        </is>
      </c>
      <c r="G470" t="n">
        <v>25.5</v>
      </c>
      <c r="H470" t="n">
        <v>0</v>
      </c>
      <c r="I470" t="n">
        <v>0</v>
      </c>
      <c r="J470" t="n">
        <v>0</v>
      </c>
      <c r="K470" t="n">
        <v>0</v>
      </c>
      <c r="L470" t="n">
        <v>0</v>
      </c>
      <c r="M470" t="n">
        <v>0</v>
      </c>
      <c r="N470" t="n">
        <v>0</v>
      </c>
      <c r="O470" t="n">
        <v>0</v>
      </c>
      <c r="P470" t="n">
        <v>0</v>
      </c>
      <c r="Q470" t="n">
        <v>0</v>
      </c>
      <c r="R470" s="2" t="inlineStr"/>
    </row>
    <row r="471" ht="15" customHeight="1">
      <c r="A471" t="inlineStr">
        <is>
          <t>A 2175-2026</t>
        </is>
      </c>
      <c r="B471" s="1" t="n">
        <v>46036</v>
      </c>
      <c r="C471" s="1" t="n">
        <v>46180</v>
      </c>
      <c r="D471" t="inlineStr">
        <is>
          <t>NORRBOTTENS LÄN</t>
        </is>
      </c>
      <c r="E471" t="inlineStr">
        <is>
          <t>GÄLLIVARE</t>
        </is>
      </c>
      <c r="G471" t="n">
        <v>13.8</v>
      </c>
      <c r="H471" t="n">
        <v>0</v>
      </c>
      <c r="I471" t="n">
        <v>0</v>
      </c>
      <c r="J471" t="n">
        <v>0</v>
      </c>
      <c r="K471" t="n">
        <v>0</v>
      </c>
      <c r="L471" t="n">
        <v>0</v>
      </c>
      <c r="M471" t="n">
        <v>0</v>
      </c>
      <c r="N471" t="n">
        <v>0</v>
      </c>
      <c r="O471" t="n">
        <v>0</v>
      </c>
      <c r="P471" t="n">
        <v>0</v>
      </c>
      <c r="Q471" t="n">
        <v>0</v>
      </c>
      <c r="R471" s="2" t="inlineStr"/>
    </row>
    <row r="472" ht="15" customHeight="1">
      <c r="A472" t="inlineStr">
        <is>
          <t>A 14628-2026</t>
        </is>
      </c>
      <c r="B472" s="1" t="n">
        <v>46101.39769675926</v>
      </c>
      <c r="C472" s="1" t="n">
        <v>46180</v>
      </c>
      <c r="D472" t="inlineStr">
        <is>
          <t>NORRBOTTENS LÄN</t>
        </is>
      </c>
      <c r="E472" t="inlineStr">
        <is>
          <t>GÄLLIVARE</t>
        </is>
      </c>
      <c r="G472" t="n">
        <v>5.2</v>
      </c>
      <c r="H472" t="n">
        <v>0</v>
      </c>
      <c r="I472" t="n">
        <v>0</v>
      </c>
      <c r="J472" t="n">
        <v>0</v>
      </c>
      <c r="K472" t="n">
        <v>0</v>
      </c>
      <c r="L472" t="n">
        <v>0</v>
      </c>
      <c r="M472" t="n">
        <v>0</v>
      </c>
      <c r="N472" t="n">
        <v>0</v>
      </c>
      <c r="O472" t="n">
        <v>0</v>
      </c>
      <c r="P472" t="n">
        <v>0</v>
      </c>
      <c r="Q472" t="n">
        <v>0</v>
      </c>
      <c r="R472" s="2" t="inlineStr"/>
    </row>
    <row r="473" ht="15" customHeight="1">
      <c r="A473" t="inlineStr">
        <is>
          <t>A 27182-2025</t>
        </is>
      </c>
      <c r="B473" s="1" t="n">
        <v>45812</v>
      </c>
      <c r="C473" s="1" t="n">
        <v>46180</v>
      </c>
      <c r="D473" t="inlineStr">
        <is>
          <t>NORRBOTTENS LÄN</t>
        </is>
      </c>
      <c r="E473" t="inlineStr">
        <is>
          <t>GÄLLIVARE</t>
        </is>
      </c>
      <c r="F473" t="inlineStr">
        <is>
          <t>Sveaskog</t>
        </is>
      </c>
      <c r="G473" t="n">
        <v>11.2</v>
      </c>
      <c r="H473" t="n">
        <v>0</v>
      </c>
      <c r="I473" t="n">
        <v>0</v>
      </c>
      <c r="J473" t="n">
        <v>0</v>
      </c>
      <c r="K473" t="n">
        <v>0</v>
      </c>
      <c r="L473" t="n">
        <v>0</v>
      </c>
      <c r="M473" t="n">
        <v>0</v>
      </c>
      <c r="N473" t="n">
        <v>0</v>
      </c>
      <c r="O473" t="n">
        <v>0</v>
      </c>
      <c r="P473" t="n">
        <v>0</v>
      </c>
      <c r="Q473" t="n">
        <v>0</v>
      </c>
      <c r="R473" s="2" t="inlineStr"/>
    </row>
    <row r="474" ht="15" customHeight="1">
      <c r="A474" t="inlineStr">
        <is>
          <t>A 14619-2026</t>
        </is>
      </c>
      <c r="B474" s="1" t="n">
        <v>46101.38458333333</v>
      </c>
      <c r="C474" s="1" t="n">
        <v>46180</v>
      </c>
      <c r="D474" t="inlineStr">
        <is>
          <t>NORRBOTTENS LÄN</t>
        </is>
      </c>
      <c r="E474" t="inlineStr">
        <is>
          <t>GÄLLIVARE</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61446-2025</t>
        </is>
      </c>
      <c r="B475" s="1" t="n">
        <v>46001.57520833334</v>
      </c>
      <c r="C475" s="1" t="n">
        <v>46180</v>
      </c>
      <c r="D475" t="inlineStr">
        <is>
          <t>NORRBOTTENS LÄN</t>
        </is>
      </c>
      <c r="E475" t="inlineStr">
        <is>
          <t>GÄLLIVARE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25503-2024</t>
        </is>
      </c>
      <c r="B476" s="1" t="n">
        <v>45463.48306712963</v>
      </c>
      <c r="C476" s="1" t="n">
        <v>46180</v>
      </c>
      <c r="D476" t="inlineStr">
        <is>
          <t>NORRBOTTENS LÄN</t>
        </is>
      </c>
      <c r="E476" t="inlineStr">
        <is>
          <t>GÄLLIVARE</t>
        </is>
      </c>
      <c r="G476" t="n">
        <v>3.2</v>
      </c>
      <c r="H476" t="n">
        <v>0</v>
      </c>
      <c r="I476" t="n">
        <v>0</v>
      </c>
      <c r="J476" t="n">
        <v>0</v>
      </c>
      <c r="K476" t="n">
        <v>0</v>
      </c>
      <c r="L476" t="n">
        <v>0</v>
      </c>
      <c r="M476" t="n">
        <v>0</v>
      </c>
      <c r="N476" t="n">
        <v>0</v>
      </c>
      <c r="O476" t="n">
        <v>0</v>
      </c>
      <c r="P476" t="n">
        <v>0</v>
      </c>
      <c r="Q476" t="n">
        <v>0</v>
      </c>
      <c r="R476" s="2" t="inlineStr"/>
    </row>
    <row r="477" ht="15" customHeight="1">
      <c r="A477" t="inlineStr">
        <is>
          <t>A 14629-2026</t>
        </is>
      </c>
      <c r="B477" s="1" t="n">
        <v>46101.399375</v>
      </c>
      <c r="C477" s="1" t="n">
        <v>46180</v>
      </c>
      <c r="D477" t="inlineStr">
        <is>
          <t>NORRBOTTENS LÄN</t>
        </is>
      </c>
      <c r="E477" t="inlineStr">
        <is>
          <t>GÄLLIVARE</t>
        </is>
      </c>
      <c r="G477" t="n">
        <v>4.5</v>
      </c>
      <c r="H477" t="n">
        <v>0</v>
      </c>
      <c r="I477" t="n">
        <v>0</v>
      </c>
      <c r="J477" t="n">
        <v>0</v>
      </c>
      <c r="K477" t="n">
        <v>0</v>
      </c>
      <c r="L477" t="n">
        <v>0</v>
      </c>
      <c r="M477" t="n">
        <v>0</v>
      </c>
      <c r="N477" t="n">
        <v>0</v>
      </c>
      <c r="O477" t="n">
        <v>0</v>
      </c>
      <c r="P477" t="n">
        <v>0</v>
      </c>
      <c r="Q477" t="n">
        <v>0</v>
      </c>
      <c r="R477" s="2" t="inlineStr"/>
    </row>
    <row r="478" ht="15" customHeight="1">
      <c r="A478" t="inlineStr">
        <is>
          <t>A 2237-2023</t>
        </is>
      </c>
      <c r="B478" s="1" t="n">
        <v>44942.46430555556</v>
      </c>
      <c r="C478" s="1" t="n">
        <v>46180</v>
      </c>
      <c r="D478" t="inlineStr">
        <is>
          <t>NORRBOTTENS LÄN</t>
        </is>
      </c>
      <c r="E478" t="inlineStr">
        <is>
          <t>GÄLLIVARE</t>
        </is>
      </c>
      <c r="G478" t="n">
        <v>7</v>
      </c>
      <c r="H478" t="n">
        <v>0</v>
      </c>
      <c r="I478" t="n">
        <v>0</v>
      </c>
      <c r="J478" t="n">
        <v>0</v>
      </c>
      <c r="K478" t="n">
        <v>0</v>
      </c>
      <c r="L478" t="n">
        <v>0</v>
      </c>
      <c r="M478" t="n">
        <v>0</v>
      </c>
      <c r="N478" t="n">
        <v>0</v>
      </c>
      <c r="O478" t="n">
        <v>0</v>
      </c>
      <c r="P478" t="n">
        <v>0</v>
      </c>
      <c r="Q478" t="n">
        <v>0</v>
      </c>
      <c r="R478" s="2" t="inlineStr"/>
    </row>
    <row r="479" ht="15" customHeight="1">
      <c r="A479" t="inlineStr">
        <is>
          <t>A 61668-2025</t>
        </is>
      </c>
      <c r="B479" s="1" t="n">
        <v>46002.46994212963</v>
      </c>
      <c r="C479" s="1" t="n">
        <v>46180</v>
      </c>
      <c r="D479" t="inlineStr">
        <is>
          <t>NORRBOTTENS LÄN</t>
        </is>
      </c>
      <c r="E479" t="inlineStr">
        <is>
          <t>GÄLLIVARE</t>
        </is>
      </c>
      <c r="G479" t="n">
        <v>13.6</v>
      </c>
      <c r="H479" t="n">
        <v>0</v>
      </c>
      <c r="I479" t="n">
        <v>0</v>
      </c>
      <c r="J479" t="n">
        <v>0</v>
      </c>
      <c r="K479" t="n">
        <v>0</v>
      </c>
      <c r="L479" t="n">
        <v>0</v>
      </c>
      <c r="M479" t="n">
        <v>0</v>
      </c>
      <c r="N479" t="n">
        <v>0</v>
      </c>
      <c r="O479" t="n">
        <v>0</v>
      </c>
      <c r="P479" t="n">
        <v>0</v>
      </c>
      <c r="Q479" t="n">
        <v>0</v>
      </c>
      <c r="R479" s="2" t="inlineStr"/>
    </row>
    <row r="480" ht="15" customHeight="1">
      <c r="A480" t="inlineStr">
        <is>
          <t>A 61681-2025</t>
        </is>
      </c>
      <c r="B480" s="1" t="n">
        <v>46002.49121527778</v>
      </c>
      <c r="C480" s="1" t="n">
        <v>46180</v>
      </c>
      <c r="D480" t="inlineStr">
        <is>
          <t>NORRBOTTENS LÄN</t>
        </is>
      </c>
      <c r="E480" t="inlineStr">
        <is>
          <t>GÄLLIVARE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61352-2025</t>
        </is>
      </c>
      <c r="B481" s="1" t="n">
        <v>46001</v>
      </c>
      <c r="C481" s="1" t="n">
        <v>46180</v>
      </c>
      <c r="D481" t="inlineStr">
        <is>
          <t>NORRBOTTENS LÄN</t>
        </is>
      </c>
      <c r="E481" t="inlineStr">
        <is>
          <t>GÄLLIVARE</t>
        </is>
      </c>
      <c r="G481" t="n">
        <v>2.4</v>
      </c>
      <c r="H481" t="n">
        <v>0</v>
      </c>
      <c r="I481" t="n">
        <v>0</v>
      </c>
      <c r="J481" t="n">
        <v>0</v>
      </c>
      <c r="K481" t="n">
        <v>0</v>
      </c>
      <c r="L481" t="n">
        <v>0</v>
      </c>
      <c r="M481" t="n">
        <v>0</v>
      </c>
      <c r="N481" t="n">
        <v>0</v>
      </c>
      <c r="O481" t="n">
        <v>0</v>
      </c>
      <c r="P481" t="n">
        <v>0</v>
      </c>
      <c r="Q481" t="n">
        <v>0</v>
      </c>
      <c r="R481" s="2" t="inlineStr"/>
    </row>
    <row r="482" ht="15" customHeight="1">
      <c r="A482" t="inlineStr">
        <is>
          <t>A 61687-2025</t>
        </is>
      </c>
      <c r="B482" s="1" t="n">
        <v>46002.50983796296</v>
      </c>
      <c r="C482" s="1" t="n">
        <v>46180</v>
      </c>
      <c r="D482" t="inlineStr">
        <is>
          <t>NORRBOTTENS LÄN</t>
        </is>
      </c>
      <c r="E482" t="inlineStr">
        <is>
          <t>GÄLLIVARE</t>
        </is>
      </c>
      <c r="G482" t="n">
        <v>12.7</v>
      </c>
      <c r="H482" t="n">
        <v>0</v>
      </c>
      <c r="I482" t="n">
        <v>0</v>
      </c>
      <c r="J482" t="n">
        <v>0</v>
      </c>
      <c r="K482" t="n">
        <v>0</v>
      </c>
      <c r="L482" t="n">
        <v>0</v>
      </c>
      <c r="M482" t="n">
        <v>0</v>
      </c>
      <c r="N482" t="n">
        <v>0</v>
      </c>
      <c r="O482" t="n">
        <v>0</v>
      </c>
      <c r="P482" t="n">
        <v>0</v>
      </c>
      <c r="Q482" t="n">
        <v>0</v>
      </c>
      <c r="R482" s="2" t="inlineStr"/>
    </row>
    <row r="483" ht="15" customHeight="1">
      <c r="A483" t="inlineStr">
        <is>
          <t>A 61444-2025</t>
        </is>
      </c>
      <c r="B483" s="1" t="n">
        <v>46001.57497685185</v>
      </c>
      <c r="C483" s="1" t="n">
        <v>46180</v>
      </c>
      <c r="D483" t="inlineStr">
        <is>
          <t>NORRBOTTENS LÄN</t>
        </is>
      </c>
      <c r="E483" t="inlineStr">
        <is>
          <t>GÄLLIVARE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61445-2025</t>
        </is>
      </c>
      <c r="B484" s="1" t="n">
        <v>46001.57512731481</v>
      </c>
      <c r="C484" s="1" t="n">
        <v>46180</v>
      </c>
      <c r="D484" t="inlineStr">
        <is>
          <t>NORRBOTTENS LÄN</t>
        </is>
      </c>
      <c r="E484" t="inlineStr">
        <is>
          <t>GÄLLIVARE</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61680-2025</t>
        </is>
      </c>
      <c r="B485" s="1" t="n">
        <v>46002.49015046296</v>
      </c>
      <c r="C485" s="1" t="n">
        <v>46180</v>
      </c>
      <c r="D485" t="inlineStr">
        <is>
          <t>NORRBOTTENS LÄN</t>
        </is>
      </c>
      <c r="E485" t="inlineStr">
        <is>
          <t>GÄLLIVARE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61715-2025</t>
        </is>
      </c>
      <c r="B486" s="1" t="n">
        <v>46002.56920138889</v>
      </c>
      <c r="C486" s="1" t="n">
        <v>46180</v>
      </c>
      <c r="D486" t="inlineStr">
        <is>
          <t>NORRBOTTENS LÄN</t>
        </is>
      </c>
      <c r="E486" t="inlineStr">
        <is>
          <t>GÄLLIVARE</t>
        </is>
      </c>
      <c r="F486" t="inlineStr">
        <is>
          <t>Sveaskog</t>
        </is>
      </c>
      <c r="G486" t="n">
        <v>15.8</v>
      </c>
      <c r="H486" t="n">
        <v>0</v>
      </c>
      <c r="I486" t="n">
        <v>0</v>
      </c>
      <c r="J486" t="n">
        <v>0</v>
      </c>
      <c r="K486" t="n">
        <v>0</v>
      </c>
      <c r="L486" t="n">
        <v>0</v>
      </c>
      <c r="M486" t="n">
        <v>0</v>
      </c>
      <c r="N486" t="n">
        <v>0</v>
      </c>
      <c r="O486" t="n">
        <v>0</v>
      </c>
      <c r="P486" t="n">
        <v>0</v>
      </c>
      <c r="Q486" t="n">
        <v>0</v>
      </c>
      <c r="R486" s="2" t="inlineStr"/>
    </row>
    <row r="487" ht="15" customHeight="1">
      <c r="A487" t="inlineStr">
        <is>
          <t>A 61902-2025</t>
        </is>
      </c>
      <c r="B487" s="1" t="n">
        <v>46003.46940972222</v>
      </c>
      <c r="C487" s="1" t="n">
        <v>46180</v>
      </c>
      <c r="D487" t="inlineStr">
        <is>
          <t>NORRBOTTENS LÄN</t>
        </is>
      </c>
      <c r="E487" t="inlineStr">
        <is>
          <t>GÄLLIVARE</t>
        </is>
      </c>
      <c r="F487" t="inlineStr">
        <is>
          <t>SCA</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62496-2022</t>
        </is>
      </c>
      <c r="B488" s="1" t="n">
        <v>44916</v>
      </c>
      <c r="C488" s="1" t="n">
        <v>46180</v>
      </c>
      <c r="D488" t="inlineStr">
        <is>
          <t>NORRBOTTENS LÄN</t>
        </is>
      </c>
      <c r="E488" t="inlineStr">
        <is>
          <t>GÄLLIVARE</t>
        </is>
      </c>
      <c r="G488" t="n">
        <v>23.4</v>
      </c>
      <c r="H488" t="n">
        <v>0</v>
      </c>
      <c r="I488" t="n">
        <v>0</v>
      </c>
      <c r="J488" t="n">
        <v>0</v>
      </c>
      <c r="K488" t="n">
        <v>0</v>
      </c>
      <c r="L488" t="n">
        <v>0</v>
      </c>
      <c r="M488" t="n">
        <v>0</v>
      </c>
      <c r="N488" t="n">
        <v>0</v>
      </c>
      <c r="O488" t="n">
        <v>0</v>
      </c>
      <c r="P488" t="n">
        <v>0</v>
      </c>
      <c r="Q488" t="n">
        <v>0</v>
      </c>
      <c r="R488" s="2" t="inlineStr"/>
    </row>
    <row r="489" ht="15" customHeight="1">
      <c r="A489" t="inlineStr">
        <is>
          <t>A 61916-2025</t>
        </is>
      </c>
      <c r="B489" s="1" t="n">
        <v>46003</v>
      </c>
      <c r="C489" s="1" t="n">
        <v>46180</v>
      </c>
      <c r="D489" t="inlineStr">
        <is>
          <t>NORRBOTTENS LÄN</t>
        </is>
      </c>
      <c r="E489" t="inlineStr">
        <is>
          <t>GÄLLIVARE</t>
        </is>
      </c>
      <c r="G489" t="n">
        <v>91.90000000000001</v>
      </c>
      <c r="H489" t="n">
        <v>0</v>
      </c>
      <c r="I489" t="n">
        <v>0</v>
      </c>
      <c r="J489" t="n">
        <v>0</v>
      </c>
      <c r="K489" t="n">
        <v>0</v>
      </c>
      <c r="L489" t="n">
        <v>0</v>
      </c>
      <c r="M489" t="n">
        <v>0</v>
      </c>
      <c r="N489" t="n">
        <v>0</v>
      </c>
      <c r="O489" t="n">
        <v>0</v>
      </c>
      <c r="P489" t="n">
        <v>0</v>
      </c>
      <c r="Q489" t="n">
        <v>0</v>
      </c>
      <c r="R489" s="2" t="inlineStr"/>
    </row>
    <row r="490" ht="15" customHeight="1">
      <c r="A490" t="inlineStr">
        <is>
          <t>A 59698-2024</t>
        </is>
      </c>
      <c r="B490" s="1" t="n">
        <v>45639</v>
      </c>
      <c r="C490" s="1" t="n">
        <v>46180</v>
      </c>
      <c r="D490" t="inlineStr">
        <is>
          <t>NORRBOTTENS LÄN</t>
        </is>
      </c>
      <c r="E490" t="inlineStr">
        <is>
          <t>GÄLLIVARE</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59704-2024</t>
        </is>
      </c>
      <c r="B491" s="1" t="n">
        <v>45639</v>
      </c>
      <c r="C491" s="1" t="n">
        <v>46180</v>
      </c>
      <c r="D491" t="inlineStr">
        <is>
          <t>NORRBOTTENS LÄN</t>
        </is>
      </c>
      <c r="E491" t="inlineStr">
        <is>
          <t>GÄLLIVARE</t>
        </is>
      </c>
      <c r="F491" t="inlineStr">
        <is>
          <t>Sveaskog</t>
        </is>
      </c>
      <c r="G491" t="n">
        <v>5.8</v>
      </c>
      <c r="H491" t="n">
        <v>0</v>
      </c>
      <c r="I491" t="n">
        <v>0</v>
      </c>
      <c r="J491" t="n">
        <v>0</v>
      </c>
      <c r="K491" t="n">
        <v>0</v>
      </c>
      <c r="L491" t="n">
        <v>0</v>
      </c>
      <c r="M491" t="n">
        <v>0</v>
      </c>
      <c r="N491" t="n">
        <v>0</v>
      </c>
      <c r="O491" t="n">
        <v>0</v>
      </c>
      <c r="P491" t="n">
        <v>0</v>
      </c>
      <c r="Q491" t="n">
        <v>0</v>
      </c>
      <c r="R491" s="2" t="inlineStr"/>
    </row>
    <row r="492" ht="15" customHeight="1">
      <c r="A492" t="inlineStr">
        <is>
          <t>A 14389-2026</t>
        </is>
      </c>
      <c r="B492" s="1" t="n">
        <v>46100.38642361111</v>
      </c>
      <c r="C492" s="1" t="n">
        <v>46180</v>
      </c>
      <c r="D492" t="inlineStr">
        <is>
          <t>NORRBOTTENS LÄN</t>
        </is>
      </c>
      <c r="E492" t="inlineStr">
        <is>
          <t>GÄLLIVARE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55394-2023</t>
        </is>
      </c>
      <c r="B493" s="1" t="n">
        <v>45231</v>
      </c>
      <c r="C493" s="1" t="n">
        <v>46180</v>
      </c>
      <c r="D493" t="inlineStr">
        <is>
          <t>NORRBOTTENS LÄN</t>
        </is>
      </c>
      <c r="E493" t="inlineStr">
        <is>
          <t>GÄLLIVARE</t>
        </is>
      </c>
      <c r="G493" t="n">
        <v>1.4</v>
      </c>
      <c r="H493" t="n">
        <v>0</v>
      </c>
      <c r="I493" t="n">
        <v>0</v>
      </c>
      <c r="J493" t="n">
        <v>0</v>
      </c>
      <c r="K493" t="n">
        <v>0</v>
      </c>
      <c r="L493" t="n">
        <v>0</v>
      </c>
      <c r="M493" t="n">
        <v>0</v>
      </c>
      <c r="N493" t="n">
        <v>0</v>
      </c>
      <c r="O493" t="n">
        <v>0</v>
      </c>
      <c r="P493" t="n">
        <v>0</v>
      </c>
      <c r="Q493" t="n">
        <v>0</v>
      </c>
      <c r="R493" s="2" t="inlineStr"/>
    </row>
    <row r="494" ht="15" customHeight="1">
      <c r="A494" t="inlineStr">
        <is>
          <t>A 62677-2025</t>
        </is>
      </c>
      <c r="B494" s="1" t="n">
        <v>46008.45121527778</v>
      </c>
      <c r="C494" s="1" t="n">
        <v>46180</v>
      </c>
      <c r="D494" t="inlineStr">
        <is>
          <t>NORRBOTTENS LÄN</t>
        </is>
      </c>
      <c r="E494" t="inlineStr">
        <is>
          <t>GÄLLIVARE</t>
        </is>
      </c>
      <c r="G494" t="n">
        <v>10.7</v>
      </c>
      <c r="H494" t="n">
        <v>0</v>
      </c>
      <c r="I494" t="n">
        <v>0</v>
      </c>
      <c r="J494" t="n">
        <v>0</v>
      </c>
      <c r="K494" t="n">
        <v>0</v>
      </c>
      <c r="L494" t="n">
        <v>0</v>
      </c>
      <c r="M494" t="n">
        <v>0</v>
      </c>
      <c r="N494" t="n">
        <v>0</v>
      </c>
      <c r="O494" t="n">
        <v>0</v>
      </c>
      <c r="P494" t="n">
        <v>0</v>
      </c>
      <c r="Q494" t="n">
        <v>0</v>
      </c>
      <c r="R494" s="2" t="inlineStr"/>
    </row>
    <row r="495" ht="15" customHeight="1">
      <c r="A495" t="inlineStr">
        <is>
          <t>A 55410-2023</t>
        </is>
      </c>
      <c r="B495" s="1" t="n">
        <v>45231</v>
      </c>
      <c r="C495" s="1" t="n">
        <v>46180</v>
      </c>
      <c r="D495" t="inlineStr">
        <is>
          <t>NORRBOTTENS LÄN</t>
        </is>
      </c>
      <c r="E495" t="inlineStr">
        <is>
          <t>GÄLLIVARE</t>
        </is>
      </c>
      <c r="G495" t="n">
        <v>1.7</v>
      </c>
      <c r="H495" t="n">
        <v>0</v>
      </c>
      <c r="I495" t="n">
        <v>0</v>
      </c>
      <c r="J495" t="n">
        <v>0</v>
      </c>
      <c r="K495" t="n">
        <v>0</v>
      </c>
      <c r="L495" t="n">
        <v>0</v>
      </c>
      <c r="M495" t="n">
        <v>0</v>
      </c>
      <c r="N495" t="n">
        <v>0</v>
      </c>
      <c r="O495" t="n">
        <v>0</v>
      </c>
      <c r="P495" t="n">
        <v>0</v>
      </c>
      <c r="Q495" t="n">
        <v>0</v>
      </c>
      <c r="R495" s="2" t="inlineStr"/>
    </row>
    <row r="496" ht="15" customHeight="1">
      <c r="A496" t="inlineStr">
        <is>
          <t>A 73335-2021</t>
        </is>
      </c>
      <c r="B496" s="1" t="n">
        <v>44550</v>
      </c>
      <c r="C496" s="1" t="n">
        <v>46180</v>
      </c>
      <c r="D496" t="inlineStr">
        <is>
          <t>NORRBOTTENS LÄN</t>
        </is>
      </c>
      <c r="E496" t="inlineStr">
        <is>
          <t>GÄLLIVARE</t>
        </is>
      </c>
      <c r="G496" t="n">
        <v>1.1</v>
      </c>
      <c r="H496" t="n">
        <v>0</v>
      </c>
      <c r="I496" t="n">
        <v>0</v>
      </c>
      <c r="J496" t="n">
        <v>0</v>
      </c>
      <c r="K496" t="n">
        <v>0</v>
      </c>
      <c r="L496" t="n">
        <v>0</v>
      </c>
      <c r="M496" t="n">
        <v>0</v>
      </c>
      <c r="N496" t="n">
        <v>0</v>
      </c>
      <c r="O496" t="n">
        <v>0</v>
      </c>
      <c r="P496" t="n">
        <v>0</v>
      </c>
      <c r="Q496" t="n">
        <v>0</v>
      </c>
      <c r="R496" s="2" t="inlineStr"/>
    </row>
    <row r="497" ht="15" customHeight="1">
      <c r="A497" t="inlineStr">
        <is>
          <t>A 62923-2025</t>
        </is>
      </c>
      <c r="B497" s="1" t="n">
        <v>46008</v>
      </c>
      <c r="C497" s="1" t="n">
        <v>46180</v>
      </c>
      <c r="D497" t="inlineStr">
        <is>
          <t>NORRBOTTENS LÄN</t>
        </is>
      </c>
      <c r="E497" t="inlineStr">
        <is>
          <t>GÄLLIVARE</t>
        </is>
      </c>
      <c r="G497" t="n">
        <v>3.8</v>
      </c>
      <c r="H497" t="n">
        <v>0</v>
      </c>
      <c r="I497" t="n">
        <v>0</v>
      </c>
      <c r="J497" t="n">
        <v>0</v>
      </c>
      <c r="K497" t="n">
        <v>0</v>
      </c>
      <c r="L497" t="n">
        <v>0</v>
      </c>
      <c r="M497" t="n">
        <v>0</v>
      </c>
      <c r="N497" t="n">
        <v>0</v>
      </c>
      <c r="O497" t="n">
        <v>0</v>
      </c>
      <c r="P497" t="n">
        <v>0</v>
      </c>
      <c r="Q497" t="n">
        <v>0</v>
      </c>
      <c r="R497" s="2" t="inlineStr"/>
    </row>
    <row r="498" ht="15" customHeight="1">
      <c r="A498" t="inlineStr">
        <is>
          <t>A 41843-2024</t>
        </is>
      </c>
      <c r="B498" s="1" t="n">
        <v>45561</v>
      </c>
      <c r="C498" s="1" t="n">
        <v>46180</v>
      </c>
      <c r="D498" t="inlineStr">
        <is>
          <t>NORRBOTTENS LÄN</t>
        </is>
      </c>
      <c r="E498" t="inlineStr">
        <is>
          <t>GÄLLIVARE</t>
        </is>
      </c>
      <c r="G498" t="n">
        <v>3.1</v>
      </c>
      <c r="H498" t="n">
        <v>0</v>
      </c>
      <c r="I498" t="n">
        <v>0</v>
      </c>
      <c r="J498" t="n">
        <v>0</v>
      </c>
      <c r="K498" t="n">
        <v>0</v>
      </c>
      <c r="L498" t="n">
        <v>0</v>
      </c>
      <c r="M498" t="n">
        <v>0</v>
      </c>
      <c r="N498" t="n">
        <v>0</v>
      </c>
      <c r="O498" t="n">
        <v>0</v>
      </c>
      <c r="P498" t="n">
        <v>0</v>
      </c>
      <c r="Q498" t="n">
        <v>0</v>
      </c>
      <c r="R498" s="2" t="inlineStr"/>
    </row>
    <row r="499" ht="15" customHeight="1">
      <c r="A499" t="inlineStr">
        <is>
          <t>A 63551-2025</t>
        </is>
      </c>
      <c r="B499" s="1" t="n">
        <v>46013.60815972222</v>
      </c>
      <c r="C499" s="1" t="n">
        <v>46180</v>
      </c>
      <c r="D499" t="inlineStr">
        <is>
          <t>NORRBOTTENS LÄN</t>
        </is>
      </c>
      <c r="E499" t="inlineStr">
        <is>
          <t>GÄLLIVARE</t>
        </is>
      </c>
      <c r="G499" t="n">
        <v>1.9</v>
      </c>
      <c r="H499" t="n">
        <v>0</v>
      </c>
      <c r="I499" t="n">
        <v>0</v>
      </c>
      <c r="J499" t="n">
        <v>0</v>
      </c>
      <c r="K499" t="n">
        <v>0</v>
      </c>
      <c r="L499" t="n">
        <v>0</v>
      </c>
      <c r="M499" t="n">
        <v>0</v>
      </c>
      <c r="N499" t="n">
        <v>0</v>
      </c>
      <c r="O499" t="n">
        <v>0</v>
      </c>
      <c r="P499" t="n">
        <v>0</v>
      </c>
      <c r="Q499" t="n">
        <v>0</v>
      </c>
      <c r="R499" s="2" t="inlineStr"/>
    </row>
    <row r="500" ht="15" customHeight="1">
      <c r="A500" t="inlineStr">
        <is>
          <t>A 14818-2026</t>
        </is>
      </c>
      <c r="B500" s="1" t="n">
        <v>46104.344375</v>
      </c>
      <c r="C500" s="1" t="n">
        <v>46180</v>
      </c>
      <c r="D500" t="inlineStr">
        <is>
          <t>NORRBOTTENS LÄN</t>
        </is>
      </c>
      <c r="E500" t="inlineStr">
        <is>
          <t>GÄLLIVARE</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63523-2025</t>
        </is>
      </c>
      <c r="B501" s="1" t="n">
        <v>46013.53849537037</v>
      </c>
      <c r="C501" s="1" t="n">
        <v>46180</v>
      </c>
      <c r="D501" t="inlineStr">
        <is>
          <t>NORRBOTTENS LÄN</t>
        </is>
      </c>
      <c r="E501" t="inlineStr">
        <is>
          <t>GÄLLIVARE</t>
        </is>
      </c>
      <c r="G501" t="n">
        <v>13.7</v>
      </c>
      <c r="H501" t="n">
        <v>0</v>
      </c>
      <c r="I501" t="n">
        <v>0</v>
      </c>
      <c r="J501" t="n">
        <v>0</v>
      </c>
      <c r="K501" t="n">
        <v>0</v>
      </c>
      <c r="L501" t="n">
        <v>0</v>
      </c>
      <c r="M501" t="n">
        <v>0</v>
      </c>
      <c r="N501" t="n">
        <v>0</v>
      </c>
      <c r="O501" t="n">
        <v>0</v>
      </c>
      <c r="P501" t="n">
        <v>0</v>
      </c>
      <c r="Q501" t="n">
        <v>0</v>
      </c>
      <c r="R501" s="2" t="inlineStr"/>
    </row>
    <row r="502" ht="15" customHeight="1">
      <c r="A502" t="inlineStr">
        <is>
          <t>A 21588-2026</t>
        </is>
      </c>
      <c r="B502" s="1" t="n">
        <v>46149.34516203704</v>
      </c>
      <c r="C502" s="1" t="n">
        <v>46180</v>
      </c>
      <c r="D502" t="inlineStr">
        <is>
          <t>NORRBOTTENS LÄN</t>
        </is>
      </c>
      <c r="E502" t="inlineStr">
        <is>
          <t>GÄLLIVARE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36984-2023</t>
        </is>
      </c>
      <c r="B503" s="1" t="n">
        <v>45154.95511574074</v>
      </c>
      <c r="C503" s="1" t="n">
        <v>46180</v>
      </c>
      <c r="D503" t="inlineStr">
        <is>
          <t>NORRBOTTENS LÄN</t>
        </is>
      </c>
      <c r="E503" t="inlineStr">
        <is>
          <t>GÄLLIVARE</t>
        </is>
      </c>
      <c r="F503" t="inlineStr">
        <is>
          <t>SCA</t>
        </is>
      </c>
      <c r="G503" t="n">
        <v>5.3</v>
      </c>
      <c r="H503" t="n">
        <v>0</v>
      </c>
      <c r="I503" t="n">
        <v>0</v>
      </c>
      <c r="J503" t="n">
        <v>0</v>
      </c>
      <c r="K503" t="n">
        <v>0</v>
      </c>
      <c r="L503" t="n">
        <v>0</v>
      </c>
      <c r="M503" t="n">
        <v>0</v>
      </c>
      <c r="N503" t="n">
        <v>0</v>
      </c>
      <c r="O503" t="n">
        <v>0</v>
      </c>
      <c r="P503" t="n">
        <v>0</v>
      </c>
      <c r="Q503" t="n">
        <v>0</v>
      </c>
      <c r="R503" s="2" t="inlineStr"/>
    </row>
    <row r="504" ht="15" customHeight="1">
      <c r="A504" t="inlineStr">
        <is>
          <t>A 53626-2025</t>
        </is>
      </c>
      <c r="B504" s="1" t="n">
        <v>45960</v>
      </c>
      <c r="C504" s="1" t="n">
        <v>46180</v>
      </c>
      <c r="D504" t="inlineStr">
        <is>
          <t>NORRBOTTENS LÄN</t>
        </is>
      </c>
      <c r="E504" t="inlineStr">
        <is>
          <t>GÄLLIVARE</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53637-2025</t>
        </is>
      </c>
      <c r="B505" s="1" t="n">
        <v>45960</v>
      </c>
      <c r="C505" s="1" t="n">
        <v>46180</v>
      </c>
      <c r="D505" t="inlineStr">
        <is>
          <t>NORRBOTTENS LÄN</t>
        </is>
      </c>
      <c r="E505" t="inlineStr">
        <is>
          <t>GÄLLIVARE</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21591-2026</t>
        </is>
      </c>
      <c r="B506" s="1" t="n">
        <v>46149.34572916666</v>
      </c>
      <c r="C506" s="1" t="n">
        <v>46180</v>
      </c>
      <c r="D506" t="inlineStr">
        <is>
          <t>NORRBOTTENS LÄN</t>
        </is>
      </c>
      <c r="E506" t="inlineStr">
        <is>
          <t>GÄLLIVARE</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53635-2025</t>
        </is>
      </c>
      <c r="B507" s="1" t="n">
        <v>45960</v>
      </c>
      <c r="C507" s="1" t="n">
        <v>46180</v>
      </c>
      <c r="D507" t="inlineStr">
        <is>
          <t>NORRBOTTENS LÄN</t>
        </is>
      </c>
      <c r="E507" t="inlineStr">
        <is>
          <t>GÄLLIVARE</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53621-2025</t>
        </is>
      </c>
      <c r="B508" s="1" t="n">
        <v>45960</v>
      </c>
      <c r="C508" s="1" t="n">
        <v>46180</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53634-2025</t>
        </is>
      </c>
      <c r="B509" s="1" t="n">
        <v>45960</v>
      </c>
      <c r="C509" s="1" t="n">
        <v>46180</v>
      </c>
      <c r="D509" t="inlineStr">
        <is>
          <t>NORRBOTTENS LÄN</t>
        </is>
      </c>
      <c r="E509" t="inlineStr">
        <is>
          <t>GÄLLIVARE</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20415-2026</t>
        </is>
      </c>
      <c r="B510" s="1" t="n">
        <v>46140</v>
      </c>
      <c r="C510" s="1" t="n">
        <v>46180</v>
      </c>
      <c r="D510" t="inlineStr">
        <is>
          <t>NORRBOTTENS LÄN</t>
        </is>
      </c>
      <c r="E510" t="inlineStr">
        <is>
          <t>GÄLLIVARE</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53622-2025</t>
        </is>
      </c>
      <c r="B511" s="1" t="n">
        <v>45960</v>
      </c>
      <c r="C511" s="1" t="n">
        <v>46180</v>
      </c>
      <c r="D511" t="inlineStr">
        <is>
          <t>NORRBOTTENS LÄN</t>
        </is>
      </c>
      <c r="E511" t="inlineStr">
        <is>
          <t>GÄLLIVARE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53636-2025</t>
        </is>
      </c>
      <c r="B512" s="1" t="n">
        <v>45960</v>
      </c>
      <c r="C512" s="1" t="n">
        <v>46180</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50554-2024</t>
        </is>
      </c>
      <c r="B513" s="1" t="n">
        <v>45601.59497685185</v>
      </c>
      <c r="C513" s="1" t="n">
        <v>46180</v>
      </c>
      <c r="D513" t="inlineStr">
        <is>
          <t>NORRBOTTENS LÄN</t>
        </is>
      </c>
      <c r="E513" t="inlineStr">
        <is>
          <t>GÄLLIVARE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64052-2025</t>
        </is>
      </c>
      <c r="B514" s="1" t="n">
        <v>46021.59439814815</v>
      </c>
      <c r="C514" s="1" t="n">
        <v>46180</v>
      </c>
      <c r="D514" t="inlineStr">
        <is>
          <t>NORRBOTTENS LÄN</t>
        </is>
      </c>
      <c r="E514" t="inlineStr">
        <is>
          <t>GÄLLIVARE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36980-2023</t>
        </is>
      </c>
      <c r="B515" s="1" t="n">
        <v>45154.95482638889</v>
      </c>
      <c r="C515" s="1" t="n">
        <v>46180</v>
      </c>
      <c r="D515" t="inlineStr">
        <is>
          <t>NORRBOTTENS LÄN</t>
        </is>
      </c>
      <c r="E515" t="inlineStr">
        <is>
          <t>GÄLLIVARE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1609-2023</t>
        </is>
      </c>
      <c r="B516" s="1" t="n">
        <v>44937</v>
      </c>
      <c r="C516" s="1" t="n">
        <v>46180</v>
      </c>
      <c r="D516" t="inlineStr">
        <is>
          <t>NORRBOTTENS LÄN</t>
        </is>
      </c>
      <c r="E516" t="inlineStr">
        <is>
          <t>GÄLLIVARE</t>
        </is>
      </c>
      <c r="G516" t="n">
        <v>0.7</v>
      </c>
      <c r="H516" t="n">
        <v>0</v>
      </c>
      <c r="I516" t="n">
        <v>0</v>
      </c>
      <c r="J516" t="n">
        <v>0</v>
      </c>
      <c r="K516" t="n">
        <v>0</v>
      </c>
      <c r="L516" t="n">
        <v>0</v>
      </c>
      <c r="M516" t="n">
        <v>0</v>
      </c>
      <c r="N516" t="n">
        <v>0</v>
      </c>
      <c r="O516" t="n">
        <v>0</v>
      </c>
      <c r="P516" t="n">
        <v>0</v>
      </c>
      <c r="Q516" t="n">
        <v>0</v>
      </c>
      <c r="R516" s="2" t="inlineStr"/>
    </row>
    <row r="517" ht="15" customHeight="1">
      <c r="A517" t="inlineStr">
        <is>
          <t>A 61783-2023</t>
        </is>
      </c>
      <c r="B517" s="1" t="n">
        <v>45265.95695601852</v>
      </c>
      <c r="C517" s="1" t="n">
        <v>46180</v>
      </c>
      <c r="D517" t="inlineStr">
        <is>
          <t>NORRBOTTENS LÄN</t>
        </is>
      </c>
      <c r="E517" t="inlineStr">
        <is>
          <t>GÄLLIVARE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53828-2024</t>
        </is>
      </c>
      <c r="B518" s="1" t="n">
        <v>45615.61438657407</v>
      </c>
      <c r="C518" s="1" t="n">
        <v>46180</v>
      </c>
      <c r="D518" t="inlineStr">
        <is>
          <t>NORRBOTTENS LÄN</t>
        </is>
      </c>
      <c r="E518" t="inlineStr">
        <is>
          <t>GÄLLIVARE</t>
        </is>
      </c>
      <c r="G518" t="n">
        <v>1.3</v>
      </c>
      <c r="H518" t="n">
        <v>0</v>
      </c>
      <c r="I518" t="n">
        <v>0</v>
      </c>
      <c r="J518" t="n">
        <v>0</v>
      </c>
      <c r="K518" t="n">
        <v>0</v>
      </c>
      <c r="L518" t="n">
        <v>0</v>
      </c>
      <c r="M518" t="n">
        <v>0</v>
      </c>
      <c r="N518" t="n">
        <v>0</v>
      </c>
      <c r="O518" t="n">
        <v>0</v>
      </c>
      <c r="P518" t="n">
        <v>0</v>
      </c>
      <c r="Q518" t="n">
        <v>0</v>
      </c>
      <c r="R518" s="2" t="inlineStr"/>
    </row>
    <row r="519" ht="15" customHeight="1">
      <c r="A519" t="inlineStr">
        <is>
          <t>A 29011-2024</t>
        </is>
      </c>
      <c r="B519" s="1" t="n">
        <v>45481</v>
      </c>
      <c r="C519" s="1" t="n">
        <v>46180</v>
      </c>
      <c r="D519" t="inlineStr">
        <is>
          <t>NORRBOTTENS LÄN</t>
        </is>
      </c>
      <c r="E519" t="inlineStr">
        <is>
          <t>GÄLLIVARE</t>
        </is>
      </c>
      <c r="G519" t="n">
        <v>0.7</v>
      </c>
      <c r="H519" t="n">
        <v>0</v>
      </c>
      <c r="I519" t="n">
        <v>0</v>
      </c>
      <c r="J519" t="n">
        <v>0</v>
      </c>
      <c r="K519" t="n">
        <v>0</v>
      </c>
      <c r="L519" t="n">
        <v>0</v>
      </c>
      <c r="M519" t="n">
        <v>0</v>
      </c>
      <c r="N519" t="n">
        <v>0</v>
      </c>
      <c r="O519" t="n">
        <v>0</v>
      </c>
      <c r="P519" t="n">
        <v>0</v>
      </c>
      <c r="Q519" t="n">
        <v>0</v>
      </c>
      <c r="R519" s="2" t="inlineStr"/>
    </row>
    <row r="520" ht="15" customHeight="1">
      <c r="A520" t="inlineStr">
        <is>
          <t>A 10298-2023</t>
        </is>
      </c>
      <c r="B520" s="1" t="n">
        <v>44986</v>
      </c>
      <c r="C520" s="1" t="n">
        <v>46180</v>
      </c>
      <c r="D520" t="inlineStr">
        <is>
          <t>NORRBOTTENS LÄN</t>
        </is>
      </c>
      <c r="E520" t="inlineStr">
        <is>
          <t>GÄLLIVARE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39559-2022</t>
        </is>
      </c>
      <c r="B521" s="1" t="n">
        <v>44818</v>
      </c>
      <c r="C521" s="1" t="n">
        <v>46180</v>
      </c>
      <c r="D521" t="inlineStr">
        <is>
          <t>NORRBOTTENS LÄN</t>
        </is>
      </c>
      <c r="E521" t="inlineStr">
        <is>
          <t>GÄLLIVARE</t>
        </is>
      </c>
      <c r="F521" t="inlineStr">
        <is>
          <t>Sveaskog</t>
        </is>
      </c>
      <c r="G521" t="n">
        <v>11.6</v>
      </c>
      <c r="H521" t="n">
        <v>0</v>
      </c>
      <c r="I521" t="n">
        <v>0</v>
      </c>
      <c r="J521" t="n">
        <v>0</v>
      </c>
      <c r="K521" t="n">
        <v>0</v>
      </c>
      <c r="L521" t="n">
        <v>0</v>
      </c>
      <c r="M521" t="n">
        <v>0</v>
      </c>
      <c r="N521" t="n">
        <v>0</v>
      </c>
      <c r="O521" t="n">
        <v>0</v>
      </c>
      <c r="P521" t="n">
        <v>0</v>
      </c>
      <c r="Q521" t="n">
        <v>0</v>
      </c>
      <c r="R521" s="2" t="inlineStr"/>
    </row>
    <row r="522" ht="15" customHeight="1">
      <c r="A522" t="inlineStr">
        <is>
          <t>A 833-2025</t>
        </is>
      </c>
      <c r="B522" s="1" t="n">
        <v>45665</v>
      </c>
      <c r="C522" s="1" t="n">
        <v>46180</v>
      </c>
      <c r="D522" t="inlineStr">
        <is>
          <t>NORRBOTTENS LÄN</t>
        </is>
      </c>
      <c r="E522" t="inlineStr">
        <is>
          <t>GÄLLIVARE</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836-2025</t>
        </is>
      </c>
      <c r="B523" s="1" t="n">
        <v>45665</v>
      </c>
      <c r="C523" s="1" t="n">
        <v>46180</v>
      </c>
      <c r="D523" t="inlineStr">
        <is>
          <t>NORRBOTTENS LÄN</t>
        </is>
      </c>
      <c r="E523" t="inlineStr">
        <is>
          <t>GÄLLIVARE</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839-2025</t>
        </is>
      </c>
      <c r="B524" s="1" t="n">
        <v>45665</v>
      </c>
      <c r="C524" s="1" t="n">
        <v>46180</v>
      </c>
      <c r="D524" t="inlineStr">
        <is>
          <t>NORRBOTTENS LÄN</t>
        </is>
      </c>
      <c r="E524" t="inlineStr">
        <is>
          <t>GÄLLIVARE</t>
        </is>
      </c>
      <c r="F524" t="inlineStr">
        <is>
          <t>Sveaskog</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59675-2024</t>
        </is>
      </c>
      <c r="B525" s="1" t="n">
        <v>45639</v>
      </c>
      <c r="C525" s="1" t="n">
        <v>46180</v>
      </c>
      <c r="D525" t="inlineStr">
        <is>
          <t>NORRBOTTENS LÄN</t>
        </is>
      </c>
      <c r="E525" t="inlineStr">
        <is>
          <t>GÄLLIVARE</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20286-2025</t>
        </is>
      </c>
      <c r="B526" s="1" t="n">
        <v>45774</v>
      </c>
      <c r="C526" s="1" t="n">
        <v>46180</v>
      </c>
      <c r="D526" t="inlineStr">
        <is>
          <t>NORRBOTTENS LÄN</t>
        </is>
      </c>
      <c r="E526" t="inlineStr">
        <is>
          <t>GÄLLIVARE</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17030-2026</t>
        </is>
      </c>
      <c r="B527" s="1" t="n">
        <v>46114.46943287037</v>
      </c>
      <c r="C527" s="1" t="n">
        <v>46180</v>
      </c>
      <c r="D527" t="inlineStr">
        <is>
          <t>NORRBOTTENS LÄN</t>
        </is>
      </c>
      <c r="E527" t="inlineStr">
        <is>
          <t>GÄLLIVARE</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44340-2024</t>
        </is>
      </c>
      <c r="B528" s="1" t="n">
        <v>45573</v>
      </c>
      <c r="C528" s="1" t="n">
        <v>46180</v>
      </c>
      <c r="D528" t="inlineStr">
        <is>
          <t>NORRBOTTENS LÄN</t>
        </is>
      </c>
      <c r="E528" t="inlineStr">
        <is>
          <t>GÄLLIVARE</t>
        </is>
      </c>
      <c r="G528" t="n">
        <v>3.5</v>
      </c>
      <c r="H528" t="n">
        <v>0</v>
      </c>
      <c r="I528" t="n">
        <v>0</v>
      </c>
      <c r="J528" t="n">
        <v>0</v>
      </c>
      <c r="K528" t="n">
        <v>0</v>
      </c>
      <c r="L528" t="n">
        <v>0</v>
      </c>
      <c r="M528" t="n">
        <v>0</v>
      </c>
      <c r="N528" t="n">
        <v>0</v>
      </c>
      <c r="O528" t="n">
        <v>0</v>
      </c>
      <c r="P528" t="n">
        <v>0</v>
      </c>
      <c r="Q528" t="n">
        <v>0</v>
      </c>
      <c r="R528" s="2" t="inlineStr"/>
    </row>
    <row r="529" ht="15" customHeight="1">
      <c r="A529" t="inlineStr">
        <is>
          <t>A 57535-2024</t>
        </is>
      </c>
      <c r="B529" s="1" t="n">
        <v>45630.42950231482</v>
      </c>
      <c r="C529" s="1" t="n">
        <v>46180</v>
      </c>
      <c r="D529" t="inlineStr">
        <is>
          <t>NORRBOTTENS LÄN</t>
        </is>
      </c>
      <c r="E529" t="inlineStr">
        <is>
          <t>GÄLLIVARE</t>
        </is>
      </c>
      <c r="G529" t="n">
        <v>1.8</v>
      </c>
      <c r="H529" t="n">
        <v>0</v>
      </c>
      <c r="I529" t="n">
        <v>0</v>
      </c>
      <c r="J529" t="n">
        <v>0</v>
      </c>
      <c r="K529" t="n">
        <v>0</v>
      </c>
      <c r="L529" t="n">
        <v>0</v>
      </c>
      <c r="M529" t="n">
        <v>0</v>
      </c>
      <c r="N529" t="n">
        <v>0</v>
      </c>
      <c r="O529" t="n">
        <v>0</v>
      </c>
      <c r="P529" t="n">
        <v>0</v>
      </c>
      <c r="Q529" t="n">
        <v>0</v>
      </c>
      <c r="R529" s="2" t="inlineStr"/>
    </row>
    <row r="530" ht="15" customHeight="1">
      <c r="A530" t="inlineStr">
        <is>
          <t>A 65517-2021</t>
        </is>
      </c>
      <c r="B530" s="1" t="n">
        <v>44516</v>
      </c>
      <c r="C530" s="1" t="n">
        <v>46180</v>
      </c>
      <c r="D530" t="inlineStr">
        <is>
          <t>NORRBOTTENS LÄN</t>
        </is>
      </c>
      <c r="E530" t="inlineStr">
        <is>
          <t>GÄLLIVARE</t>
        </is>
      </c>
      <c r="G530" t="n">
        <v>5</v>
      </c>
      <c r="H530" t="n">
        <v>0</v>
      </c>
      <c r="I530" t="n">
        <v>0</v>
      </c>
      <c r="J530" t="n">
        <v>0</v>
      </c>
      <c r="K530" t="n">
        <v>0</v>
      </c>
      <c r="L530" t="n">
        <v>0</v>
      </c>
      <c r="M530" t="n">
        <v>0</v>
      </c>
      <c r="N530" t="n">
        <v>0</v>
      </c>
      <c r="O530" t="n">
        <v>0</v>
      </c>
      <c r="P530" t="n">
        <v>0</v>
      </c>
      <c r="Q530" t="n">
        <v>0</v>
      </c>
      <c r="R530" s="2" t="inlineStr"/>
    </row>
    <row r="531" ht="15" customHeight="1">
      <c r="A531" t="inlineStr">
        <is>
          <t>A 45654-2024</t>
        </is>
      </c>
      <c r="B531" s="1" t="n">
        <v>45579</v>
      </c>
      <c r="C531" s="1" t="n">
        <v>46180</v>
      </c>
      <c r="D531" t="inlineStr">
        <is>
          <t>NORRBOTTENS LÄN</t>
        </is>
      </c>
      <c r="E531" t="inlineStr">
        <is>
          <t>GÄLLIVARE</t>
        </is>
      </c>
      <c r="G531" t="n">
        <v>2.1</v>
      </c>
      <c r="H531" t="n">
        <v>0</v>
      </c>
      <c r="I531" t="n">
        <v>0</v>
      </c>
      <c r="J531" t="n">
        <v>0</v>
      </c>
      <c r="K531" t="n">
        <v>0</v>
      </c>
      <c r="L531" t="n">
        <v>0</v>
      </c>
      <c r="M531" t="n">
        <v>0</v>
      </c>
      <c r="N531" t="n">
        <v>0</v>
      </c>
      <c r="O531" t="n">
        <v>0</v>
      </c>
      <c r="P531" t="n">
        <v>0</v>
      </c>
      <c r="Q531" t="n">
        <v>0</v>
      </c>
      <c r="R531" s="2" t="inlineStr"/>
    </row>
    <row r="532" ht="15" customHeight="1">
      <c r="A532" t="inlineStr">
        <is>
          <t>A 47239-2023</t>
        </is>
      </c>
      <c r="B532" s="1" t="n">
        <v>45196</v>
      </c>
      <c r="C532" s="1" t="n">
        <v>46180</v>
      </c>
      <c r="D532" t="inlineStr">
        <is>
          <t>NORRBOTTENS LÄN</t>
        </is>
      </c>
      <c r="E532" t="inlineStr">
        <is>
          <t>GÄLLIVARE</t>
        </is>
      </c>
      <c r="F532" t="inlineStr">
        <is>
          <t>Övriga statliga verk och myndigheter</t>
        </is>
      </c>
      <c r="G532" t="n">
        <v>65.40000000000001</v>
      </c>
      <c r="H532" t="n">
        <v>0</v>
      </c>
      <c r="I532" t="n">
        <v>0</v>
      </c>
      <c r="J532" t="n">
        <v>0</v>
      </c>
      <c r="K532" t="n">
        <v>0</v>
      </c>
      <c r="L532" t="n">
        <v>0</v>
      </c>
      <c r="M532" t="n">
        <v>0</v>
      </c>
      <c r="N532" t="n">
        <v>0</v>
      </c>
      <c r="O532" t="n">
        <v>0</v>
      </c>
      <c r="P532" t="n">
        <v>0</v>
      </c>
      <c r="Q532" t="n">
        <v>0</v>
      </c>
      <c r="R532" s="2" t="inlineStr"/>
    </row>
    <row r="533" ht="15" customHeight="1">
      <c r="A533" t="inlineStr">
        <is>
          <t>A 47239-2023</t>
        </is>
      </c>
      <c r="B533" s="1" t="n">
        <v>45196</v>
      </c>
      <c r="C533" s="1" t="n">
        <v>46180</v>
      </c>
      <c r="D533" t="inlineStr">
        <is>
          <t>NORRBOTTENS LÄN</t>
        </is>
      </c>
      <c r="E533" t="inlineStr">
        <is>
          <t>GÄLLIVARE</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14974-2025</t>
        </is>
      </c>
      <c r="B534" s="1" t="n">
        <v>45743</v>
      </c>
      <c r="C534" s="1" t="n">
        <v>46180</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5111-2025</t>
        </is>
      </c>
      <c r="B535" s="1" t="n">
        <v>45691</v>
      </c>
      <c r="C535" s="1" t="n">
        <v>46180</v>
      </c>
      <c r="D535" t="inlineStr">
        <is>
          <t>NORRBOTTENS LÄN</t>
        </is>
      </c>
      <c r="E535" t="inlineStr">
        <is>
          <t>GÄLLIVARE</t>
        </is>
      </c>
      <c r="G535" t="n">
        <v>11</v>
      </c>
      <c r="H535" t="n">
        <v>0</v>
      </c>
      <c r="I535" t="n">
        <v>0</v>
      </c>
      <c r="J535" t="n">
        <v>0</v>
      </c>
      <c r="K535" t="n">
        <v>0</v>
      </c>
      <c r="L535" t="n">
        <v>0</v>
      </c>
      <c r="M535" t="n">
        <v>0</v>
      </c>
      <c r="N535" t="n">
        <v>0</v>
      </c>
      <c r="O535" t="n">
        <v>0</v>
      </c>
      <c r="P535" t="n">
        <v>0</v>
      </c>
      <c r="Q535" t="n">
        <v>0</v>
      </c>
      <c r="R535" s="2" t="inlineStr"/>
    </row>
    <row r="536" ht="15" customHeight="1">
      <c r="A536" t="inlineStr">
        <is>
          <t>A 46857-2023</t>
        </is>
      </c>
      <c r="B536" s="1" t="n">
        <v>45199.97033564815</v>
      </c>
      <c r="C536" s="1" t="n">
        <v>46180</v>
      </c>
      <c r="D536" t="inlineStr">
        <is>
          <t>NORRBOTTENS LÄN</t>
        </is>
      </c>
      <c r="E536" t="inlineStr">
        <is>
          <t>GÄLLIVARE</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8018-2022</t>
        </is>
      </c>
      <c r="B537" s="1" t="n">
        <v>44609</v>
      </c>
      <c r="C537" s="1" t="n">
        <v>46180</v>
      </c>
      <c r="D537" t="inlineStr">
        <is>
          <t>NORRBOTTENS LÄN</t>
        </is>
      </c>
      <c r="E537" t="inlineStr">
        <is>
          <t>GÄLLIVARE</t>
        </is>
      </c>
      <c r="G537" t="n">
        <v>1.8</v>
      </c>
      <c r="H537" t="n">
        <v>0</v>
      </c>
      <c r="I537" t="n">
        <v>0</v>
      </c>
      <c r="J537" t="n">
        <v>0</v>
      </c>
      <c r="K537" t="n">
        <v>0</v>
      </c>
      <c r="L537" t="n">
        <v>0</v>
      </c>
      <c r="M537" t="n">
        <v>0</v>
      </c>
      <c r="N537" t="n">
        <v>0</v>
      </c>
      <c r="O537" t="n">
        <v>0</v>
      </c>
      <c r="P537" t="n">
        <v>0</v>
      </c>
      <c r="Q537" t="n">
        <v>0</v>
      </c>
      <c r="R537" s="2" t="inlineStr"/>
    </row>
    <row r="538" ht="15" customHeight="1">
      <c r="A538" t="inlineStr">
        <is>
          <t>A 4633-2025</t>
        </is>
      </c>
      <c r="B538" s="1" t="n">
        <v>45687</v>
      </c>
      <c r="C538" s="1" t="n">
        <v>46180</v>
      </c>
      <c r="D538" t="inlineStr">
        <is>
          <t>NORRBOTTENS LÄN</t>
        </is>
      </c>
      <c r="E538" t="inlineStr">
        <is>
          <t>GÄLLIVARE</t>
        </is>
      </c>
      <c r="G538" t="n">
        <v>11.8</v>
      </c>
      <c r="H538" t="n">
        <v>0</v>
      </c>
      <c r="I538" t="n">
        <v>0</v>
      </c>
      <c r="J538" t="n">
        <v>0</v>
      </c>
      <c r="K538" t="n">
        <v>0</v>
      </c>
      <c r="L538" t="n">
        <v>0</v>
      </c>
      <c r="M538" t="n">
        <v>0</v>
      </c>
      <c r="N538" t="n">
        <v>0</v>
      </c>
      <c r="O538" t="n">
        <v>0</v>
      </c>
      <c r="P538" t="n">
        <v>0</v>
      </c>
      <c r="Q538" t="n">
        <v>0</v>
      </c>
      <c r="R538" s="2" t="inlineStr"/>
    </row>
    <row r="539" ht="15" customHeight="1">
      <c r="A539" t="inlineStr">
        <is>
          <t>A 35730-2023</t>
        </is>
      </c>
      <c r="B539" s="1" t="n">
        <v>45147</v>
      </c>
      <c r="C539" s="1" t="n">
        <v>46180</v>
      </c>
      <c r="D539" t="inlineStr">
        <is>
          <t>NORRBOTTENS LÄN</t>
        </is>
      </c>
      <c r="E539" t="inlineStr">
        <is>
          <t>GÄLLIVARE</t>
        </is>
      </c>
      <c r="G539" t="n">
        <v>0.4</v>
      </c>
      <c r="H539" t="n">
        <v>0</v>
      </c>
      <c r="I539" t="n">
        <v>0</v>
      </c>
      <c r="J539" t="n">
        <v>0</v>
      </c>
      <c r="K539" t="n">
        <v>0</v>
      </c>
      <c r="L539" t="n">
        <v>0</v>
      </c>
      <c r="M539" t="n">
        <v>0</v>
      </c>
      <c r="N539" t="n">
        <v>0</v>
      </c>
      <c r="O539" t="n">
        <v>0</v>
      </c>
      <c r="P539" t="n">
        <v>0</v>
      </c>
      <c r="Q539" t="n">
        <v>0</v>
      </c>
      <c r="R539" s="2" t="inlineStr"/>
    </row>
    <row r="540" ht="15" customHeight="1">
      <c r="A540" t="inlineStr">
        <is>
          <t>A 35362-2023</t>
        </is>
      </c>
      <c r="B540" s="1" t="n">
        <v>45146</v>
      </c>
      <c r="C540" s="1" t="n">
        <v>46180</v>
      </c>
      <c r="D540" t="inlineStr">
        <is>
          <t>NORRBOTTENS LÄN</t>
        </is>
      </c>
      <c r="E540" t="inlineStr">
        <is>
          <t>GÄLLIVARE</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4639-2025</t>
        </is>
      </c>
      <c r="B541" s="1" t="n">
        <v>45687.65006944445</v>
      </c>
      <c r="C541" s="1" t="n">
        <v>46180</v>
      </c>
      <c r="D541" t="inlineStr">
        <is>
          <t>NORRBOTTENS LÄN</t>
        </is>
      </c>
      <c r="E541" t="inlineStr">
        <is>
          <t>GÄLLIVARE</t>
        </is>
      </c>
      <c r="G541" t="n">
        <v>1.2</v>
      </c>
      <c r="H541" t="n">
        <v>0</v>
      </c>
      <c r="I541" t="n">
        <v>0</v>
      </c>
      <c r="J541" t="n">
        <v>0</v>
      </c>
      <c r="K541" t="n">
        <v>0</v>
      </c>
      <c r="L541" t="n">
        <v>0</v>
      </c>
      <c r="M541" t="n">
        <v>0</v>
      </c>
      <c r="N541" t="n">
        <v>0</v>
      </c>
      <c r="O541" t="n">
        <v>0</v>
      </c>
      <c r="P541" t="n">
        <v>0</v>
      </c>
      <c r="Q541" t="n">
        <v>0</v>
      </c>
      <c r="R541" s="2" t="inlineStr"/>
    </row>
    <row r="542" ht="15" customHeight="1">
      <c r="A542" t="inlineStr">
        <is>
          <t>A 53909-2024</t>
        </is>
      </c>
      <c r="B542" s="1" t="n">
        <v>45615.7202662037</v>
      </c>
      <c r="C542" s="1" t="n">
        <v>46180</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31450-2024</t>
        </is>
      </c>
      <c r="B543" s="1" t="n">
        <v>45505</v>
      </c>
      <c r="C543" s="1" t="n">
        <v>46180</v>
      </c>
      <c r="D543" t="inlineStr">
        <is>
          <t>NORRBOTTENS LÄN</t>
        </is>
      </c>
      <c r="E543" t="inlineStr">
        <is>
          <t>GÄLLIVARE</t>
        </is>
      </c>
      <c r="G543" t="n">
        <v>5.5</v>
      </c>
      <c r="H543" t="n">
        <v>0</v>
      </c>
      <c r="I543" t="n">
        <v>0</v>
      </c>
      <c r="J543" t="n">
        <v>0</v>
      </c>
      <c r="K543" t="n">
        <v>0</v>
      </c>
      <c r="L543" t="n">
        <v>0</v>
      </c>
      <c r="M543" t="n">
        <v>0</v>
      </c>
      <c r="N543" t="n">
        <v>0</v>
      </c>
      <c r="O543" t="n">
        <v>0</v>
      </c>
      <c r="P543" t="n">
        <v>0</v>
      </c>
      <c r="Q543" t="n">
        <v>0</v>
      </c>
      <c r="R543" s="2" t="inlineStr"/>
    </row>
    <row r="544" ht="15" customHeight="1">
      <c r="A544" t="inlineStr">
        <is>
          <t>A 41873-2024</t>
        </is>
      </c>
      <c r="B544" s="1" t="n">
        <v>45561.47195601852</v>
      </c>
      <c r="C544" s="1" t="n">
        <v>46180</v>
      </c>
      <c r="D544" t="inlineStr">
        <is>
          <t>NORRBOTTENS LÄN</t>
        </is>
      </c>
      <c r="E544" t="inlineStr">
        <is>
          <t>GÄLLIVARE</t>
        </is>
      </c>
      <c r="G544" t="n">
        <v>2.1</v>
      </c>
      <c r="H544" t="n">
        <v>0</v>
      </c>
      <c r="I544" t="n">
        <v>0</v>
      </c>
      <c r="J544" t="n">
        <v>0</v>
      </c>
      <c r="K544" t="n">
        <v>0</v>
      </c>
      <c r="L544" t="n">
        <v>0</v>
      </c>
      <c r="M544" t="n">
        <v>0</v>
      </c>
      <c r="N544" t="n">
        <v>0</v>
      </c>
      <c r="O544" t="n">
        <v>0</v>
      </c>
      <c r="P544" t="n">
        <v>0</v>
      </c>
      <c r="Q544" t="n">
        <v>0</v>
      </c>
      <c r="R544" s="2" t="inlineStr"/>
    </row>
    <row r="545" ht="15" customHeight="1">
      <c r="A545" t="inlineStr">
        <is>
          <t>A 41917-2024</t>
        </is>
      </c>
      <c r="B545" s="1" t="n">
        <v>45561.55268518518</v>
      </c>
      <c r="C545" s="1" t="n">
        <v>46180</v>
      </c>
      <c r="D545" t="inlineStr">
        <is>
          <t>NORRBOTTENS LÄN</t>
        </is>
      </c>
      <c r="E545" t="inlineStr">
        <is>
          <t>GÄLLIVARE</t>
        </is>
      </c>
      <c r="G545" t="n">
        <v>2.4</v>
      </c>
      <c r="H545" t="n">
        <v>0</v>
      </c>
      <c r="I545" t="n">
        <v>0</v>
      </c>
      <c r="J545" t="n">
        <v>0</v>
      </c>
      <c r="K545" t="n">
        <v>0</v>
      </c>
      <c r="L545" t="n">
        <v>0</v>
      </c>
      <c r="M545" t="n">
        <v>0</v>
      </c>
      <c r="N545" t="n">
        <v>0</v>
      </c>
      <c r="O545" t="n">
        <v>0</v>
      </c>
      <c r="P545" t="n">
        <v>0</v>
      </c>
      <c r="Q545" t="n">
        <v>0</v>
      </c>
      <c r="R545" s="2" t="inlineStr"/>
    </row>
    <row r="546" ht="15" customHeight="1">
      <c r="A546" t="inlineStr">
        <is>
          <t>A 29196-2021</t>
        </is>
      </c>
      <c r="B546" s="1" t="n">
        <v>44358</v>
      </c>
      <c r="C546" s="1" t="n">
        <v>46180</v>
      </c>
      <c r="D546" t="inlineStr">
        <is>
          <t>NORRBOTTENS LÄN</t>
        </is>
      </c>
      <c r="E546" t="inlineStr">
        <is>
          <t>GÄLLIVARE</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36245-2023</t>
        </is>
      </c>
      <c r="B547" s="1" t="n">
        <v>45150</v>
      </c>
      <c r="C547" s="1" t="n">
        <v>46180</v>
      </c>
      <c r="D547" t="inlineStr">
        <is>
          <t>NORRBOTTENS LÄN</t>
        </is>
      </c>
      <c r="E547" t="inlineStr">
        <is>
          <t>GÄLLIVARE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64262-2023</t>
        </is>
      </c>
      <c r="B548" s="1" t="n">
        <v>45279</v>
      </c>
      <c r="C548" s="1" t="n">
        <v>46180</v>
      </c>
      <c r="D548" t="inlineStr">
        <is>
          <t>NORRBOTTENS LÄN</t>
        </is>
      </c>
      <c r="E548" t="inlineStr">
        <is>
          <t>GÄLLIVARE</t>
        </is>
      </c>
      <c r="G548" t="n">
        <v>3.5</v>
      </c>
      <c r="H548" t="n">
        <v>0</v>
      </c>
      <c r="I548" t="n">
        <v>0</v>
      </c>
      <c r="J548" t="n">
        <v>0</v>
      </c>
      <c r="K548" t="n">
        <v>0</v>
      </c>
      <c r="L548" t="n">
        <v>0</v>
      </c>
      <c r="M548" t="n">
        <v>0</v>
      </c>
      <c r="N548" t="n">
        <v>0</v>
      </c>
      <c r="O548" t="n">
        <v>0</v>
      </c>
      <c r="P548" t="n">
        <v>0</v>
      </c>
      <c r="Q548" t="n">
        <v>0</v>
      </c>
      <c r="R548" s="2" t="inlineStr"/>
    </row>
    <row r="549" ht="15" customHeight="1">
      <c r="A549" t="inlineStr">
        <is>
          <t>A 36881-2023</t>
        </is>
      </c>
      <c r="B549" s="1" t="n">
        <v>45154</v>
      </c>
      <c r="C549" s="1" t="n">
        <v>46180</v>
      </c>
      <c r="D549" t="inlineStr">
        <is>
          <t>NORRBOTTENS LÄN</t>
        </is>
      </c>
      <c r="E549" t="inlineStr">
        <is>
          <t>GÄLLIVARE</t>
        </is>
      </c>
      <c r="G549" t="n">
        <v>3.8</v>
      </c>
      <c r="H549" t="n">
        <v>0</v>
      </c>
      <c r="I549" t="n">
        <v>0</v>
      </c>
      <c r="J549" t="n">
        <v>0</v>
      </c>
      <c r="K549" t="n">
        <v>0</v>
      </c>
      <c r="L549" t="n">
        <v>0</v>
      </c>
      <c r="M549" t="n">
        <v>0</v>
      </c>
      <c r="N549" t="n">
        <v>0</v>
      </c>
      <c r="O549" t="n">
        <v>0</v>
      </c>
      <c r="P549" t="n">
        <v>0</v>
      </c>
      <c r="Q549" t="n">
        <v>0</v>
      </c>
      <c r="R549" s="2" t="inlineStr"/>
    </row>
    <row r="550" ht="15" customHeight="1">
      <c r="A550" t="inlineStr">
        <is>
          <t>A 55584-2023</t>
        </is>
      </c>
      <c r="B550" s="1" t="n">
        <v>45238</v>
      </c>
      <c r="C550" s="1" t="n">
        <v>46180</v>
      </c>
      <c r="D550" t="inlineStr">
        <is>
          <t>NORRBOTTENS LÄN</t>
        </is>
      </c>
      <c r="E550" t="inlineStr">
        <is>
          <t>GÄLLIVARE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24564-2022</t>
        </is>
      </c>
      <c r="B551" s="1" t="n">
        <v>44726</v>
      </c>
      <c r="C551" s="1" t="n">
        <v>46180</v>
      </c>
      <c r="D551" t="inlineStr">
        <is>
          <t>NORRBOTTENS LÄN</t>
        </is>
      </c>
      <c r="E551" t="inlineStr">
        <is>
          <t>GÄLLIVARE</t>
        </is>
      </c>
      <c r="G551" t="n">
        <v>12.9</v>
      </c>
      <c r="H551" t="n">
        <v>0</v>
      </c>
      <c r="I551" t="n">
        <v>0</v>
      </c>
      <c r="J551" t="n">
        <v>0</v>
      </c>
      <c r="K551" t="n">
        <v>0</v>
      </c>
      <c r="L551" t="n">
        <v>0</v>
      </c>
      <c r="M551" t="n">
        <v>0</v>
      </c>
      <c r="N551" t="n">
        <v>0</v>
      </c>
      <c r="O551" t="n">
        <v>0</v>
      </c>
      <c r="P551" t="n">
        <v>0</v>
      </c>
      <c r="Q551" t="n">
        <v>0</v>
      </c>
      <c r="R551" s="2" t="inlineStr"/>
    </row>
    <row r="552" ht="15" customHeight="1">
      <c r="A552" t="inlineStr">
        <is>
          <t>A 47239-2023</t>
        </is>
      </c>
      <c r="B552" s="1" t="n">
        <v>45196</v>
      </c>
      <c r="C552" s="1" t="n">
        <v>46180</v>
      </c>
      <c r="D552" t="inlineStr">
        <is>
          <t>NORRBOTTENS LÄN</t>
        </is>
      </c>
      <c r="E552" t="inlineStr">
        <is>
          <t>GÄLLIVARE</t>
        </is>
      </c>
      <c r="F552" t="inlineStr">
        <is>
          <t>Övriga statliga verk och myndigheter</t>
        </is>
      </c>
      <c r="G552" t="n">
        <v>28.1</v>
      </c>
      <c r="H552" t="n">
        <v>0</v>
      </c>
      <c r="I552" t="n">
        <v>0</v>
      </c>
      <c r="J552" t="n">
        <v>0</v>
      </c>
      <c r="K552" t="n">
        <v>0</v>
      </c>
      <c r="L552" t="n">
        <v>0</v>
      </c>
      <c r="M552" t="n">
        <v>0</v>
      </c>
      <c r="N552" t="n">
        <v>0</v>
      </c>
      <c r="O552" t="n">
        <v>0</v>
      </c>
      <c r="P552" t="n">
        <v>0</v>
      </c>
      <c r="Q552" t="n">
        <v>0</v>
      </c>
      <c r="R552" s="2" t="inlineStr"/>
    </row>
    <row r="553" ht="15" customHeight="1">
      <c r="A553" t="inlineStr">
        <is>
          <t>A 48760-2023</t>
        </is>
      </c>
      <c r="B553" s="1" t="n">
        <v>45208.92326388889</v>
      </c>
      <c r="C553" s="1" t="n">
        <v>46180</v>
      </c>
      <c r="D553" t="inlineStr">
        <is>
          <t>NORRBOTTENS LÄN</t>
        </is>
      </c>
      <c r="E553" t="inlineStr">
        <is>
          <t>GÄLLIVARE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36244-2023</t>
        </is>
      </c>
      <c r="B554" s="1" t="n">
        <v>45150</v>
      </c>
      <c r="C554" s="1" t="n">
        <v>46180</v>
      </c>
      <c r="D554" t="inlineStr">
        <is>
          <t>NORRBOTTENS LÄN</t>
        </is>
      </c>
      <c r="E554" t="inlineStr">
        <is>
          <t>GÄLLIVARE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46180</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17315-2026</t>
        </is>
      </c>
      <c r="B556" s="1" t="n">
        <v>46119.59447916667</v>
      </c>
      <c r="C556" s="1" t="n">
        <v>46180</v>
      </c>
      <c r="D556" t="inlineStr">
        <is>
          <t>NORRBOTTENS LÄN</t>
        </is>
      </c>
      <c r="E556" t="inlineStr">
        <is>
          <t>GÄLLIVARE</t>
        </is>
      </c>
      <c r="F556" t="inlineStr">
        <is>
          <t>SCA</t>
        </is>
      </c>
      <c r="G556" t="n">
        <v>23.8</v>
      </c>
      <c r="H556" t="n">
        <v>0</v>
      </c>
      <c r="I556" t="n">
        <v>0</v>
      </c>
      <c r="J556" t="n">
        <v>0</v>
      </c>
      <c r="K556" t="n">
        <v>0</v>
      </c>
      <c r="L556" t="n">
        <v>0</v>
      </c>
      <c r="M556" t="n">
        <v>0</v>
      </c>
      <c r="N556" t="n">
        <v>0</v>
      </c>
      <c r="O556" t="n">
        <v>0</v>
      </c>
      <c r="P556" t="n">
        <v>0</v>
      </c>
      <c r="Q556" t="n">
        <v>0</v>
      </c>
      <c r="R556" s="2" t="inlineStr"/>
    </row>
    <row r="557" ht="15" customHeight="1">
      <c r="A557" t="inlineStr">
        <is>
          <t>A 47162-2023</t>
        </is>
      </c>
      <c r="B557" s="1" t="n">
        <v>45201</v>
      </c>
      <c r="C557" s="1" t="n">
        <v>46180</v>
      </c>
      <c r="D557" t="inlineStr">
        <is>
          <t>NORRBOTTENS LÄN</t>
        </is>
      </c>
      <c r="E557" t="inlineStr">
        <is>
          <t>GÄLLIVARE</t>
        </is>
      </c>
      <c r="F557" t="inlineStr">
        <is>
          <t>SCA</t>
        </is>
      </c>
      <c r="G557" t="n">
        <v>8.1</v>
      </c>
      <c r="H557" t="n">
        <v>0</v>
      </c>
      <c r="I557" t="n">
        <v>0</v>
      </c>
      <c r="J557" t="n">
        <v>0</v>
      </c>
      <c r="K557" t="n">
        <v>0</v>
      </c>
      <c r="L557" t="n">
        <v>0</v>
      </c>
      <c r="M557" t="n">
        <v>0</v>
      </c>
      <c r="N557" t="n">
        <v>0</v>
      </c>
      <c r="O557" t="n">
        <v>0</v>
      </c>
      <c r="P557" t="n">
        <v>0</v>
      </c>
      <c r="Q557" t="n">
        <v>0</v>
      </c>
      <c r="R557" s="2" t="inlineStr"/>
    </row>
    <row r="558" ht="15" customHeight="1">
      <c r="A558" t="inlineStr">
        <is>
          <t>A 11783-2025</t>
        </is>
      </c>
      <c r="B558" s="1" t="n">
        <v>45727.71951388889</v>
      </c>
      <c r="C558" s="1" t="n">
        <v>46180</v>
      </c>
      <c r="D558" t="inlineStr">
        <is>
          <t>NORRBOTTENS LÄN</t>
        </is>
      </c>
      <c r="E558" t="inlineStr">
        <is>
          <t>GÄLLIVARE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64360-2023</t>
        </is>
      </c>
      <c r="B559" s="1" t="n">
        <v>45280</v>
      </c>
      <c r="C559" s="1" t="n">
        <v>46180</v>
      </c>
      <c r="D559" t="inlineStr">
        <is>
          <t>NORRBOTTENS LÄN</t>
        </is>
      </c>
      <c r="E559" t="inlineStr">
        <is>
          <t>GÄLLIVARE</t>
        </is>
      </c>
      <c r="G559" t="n">
        <v>2.1</v>
      </c>
      <c r="H559" t="n">
        <v>0</v>
      </c>
      <c r="I559" t="n">
        <v>0</v>
      </c>
      <c r="J559" t="n">
        <v>0</v>
      </c>
      <c r="K559" t="n">
        <v>0</v>
      </c>
      <c r="L559" t="n">
        <v>0</v>
      </c>
      <c r="M559" t="n">
        <v>0</v>
      </c>
      <c r="N559" t="n">
        <v>0</v>
      </c>
      <c r="O559" t="n">
        <v>0</v>
      </c>
      <c r="P559" t="n">
        <v>0</v>
      </c>
      <c r="Q559" t="n">
        <v>0</v>
      </c>
      <c r="R559" s="2" t="inlineStr"/>
    </row>
    <row r="560" ht="15" customHeight="1">
      <c r="A560" t="inlineStr">
        <is>
          <t>A 44982-2023</t>
        </is>
      </c>
      <c r="B560" s="1" t="n">
        <v>45190.95821759259</v>
      </c>
      <c r="C560" s="1" t="n">
        <v>46180</v>
      </c>
      <c r="D560" t="inlineStr">
        <is>
          <t>NORRBOTTENS LÄN</t>
        </is>
      </c>
      <c r="E560" t="inlineStr">
        <is>
          <t>GÄLLIVARE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44985-2023</t>
        </is>
      </c>
      <c r="B561" s="1" t="n">
        <v>45190.95814814815</v>
      </c>
      <c r="C561" s="1" t="n">
        <v>46180</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9655-2024</t>
        </is>
      </c>
      <c r="B562" s="1" t="n">
        <v>45362</v>
      </c>
      <c r="C562" s="1" t="n">
        <v>46180</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2135-2024</t>
        </is>
      </c>
      <c r="B563" s="1" t="n">
        <v>45309</v>
      </c>
      <c r="C563" s="1" t="n">
        <v>46180</v>
      </c>
      <c r="D563" t="inlineStr">
        <is>
          <t>NORRBOTTENS LÄN</t>
        </is>
      </c>
      <c r="E563" t="inlineStr">
        <is>
          <t>GÄLLIVARE</t>
        </is>
      </c>
      <c r="G563" t="n">
        <v>2.7</v>
      </c>
      <c r="H563" t="n">
        <v>0</v>
      </c>
      <c r="I563" t="n">
        <v>0</v>
      </c>
      <c r="J563" t="n">
        <v>0</v>
      </c>
      <c r="K563" t="n">
        <v>0</v>
      </c>
      <c r="L563" t="n">
        <v>0</v>
      </c>
      <c r="M563" t="n">
        <v>0</v>
      </c>
      <c r="N563" t="n">
        <v>0</v>
      </c>
      <c r="O563" t="n">
        <v>0</v>
      </c>
      <c r="P563" t="n">
        <v>0</v>
      </c>
      <c r="Q563" t="n">
        <v>0</v>
      </c>
      <c r="R563" s="2" t="inlineStr"/>
    </row>
    <row r="564" ht="15" customHeight="1">
      <c r="A564" t="inlineStr">
        <is>
          <t>A 60868-2023</t>
        </is>
      </c>
      <c r="B564" s="1" t="n">
        <v>45260</v>
      </c>
      <c r="C564" s="1" t="n">
        <v>46180</v>
      </c>
      <c r="D564" t="inlineStr">
        <is>
          <t>NORRBOTTENS LÄN</t>
        </is>
      </c>
      <c r="E564" t="inlineStr">
        <is>
          <t>GÄLLIVARE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10948-2025</t>
        </is>
      </c>
      <c r="B565" s="1" t="n">
        <v>45723.34453703704</v>
      </c>
      <c r="C565" s="1" t="n">
        <v>46180</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61190-2023</t>
        </is>
      </c>
      <c r="B566" s="1" t="n">
        <v>45264</v>
      </c>
      <c r="C566" s="1" t="n">
        <v>46180</v>
      </c>
      <c r="D566" t="inlineStr">
        <is>
          <t>NORRBOTTENS LÄN</t>
        </is>
      </c>
      <c r="E566" t="inlineStr">
        <is>
          <t>GÄLLIVARE</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55606-2023</t>
        </is>
      </c>
      <c r="B567" s="1" t="n">
        <v>45238</v>
      </c>
      <c r="C567" s="1" t="n">
        <v>46180</v>
      </c>
      <c r="D567" t="inlineStr">
        <is>
          <t>NORRBOTTENS LÄN</t>
        </is>
      </c>
      <c r="E567" t="inlineStr">
        <is>
          <t>GÄLLIVARE</t>
        </is>
      </c>
      <c r="G567" t="n">
        <v>2.4</v>
      </c>
      <c r="H567" t="n">
        <v>0</v>
      </c>
      <c r="I567" t="n">
        <v>0</v>
      </c>
      <c r="J567" t="n">
        <v>0</v>
      </c>
      <c r="K567" t="n">
        <v>0</v>
      </c>
      <c r="L567" t="n">
        <v>0</v>
      </c>
      <c r="M567" t="n">
        <v>0</v>
      </c>
      <c r="N567" t="n">
        <v>0</v>
      </c>
      <c r="O567" t="n">
        <v>0</v>
      </c>
      <c r="P567" t="n">
        <v>0</v>
      </c>
      <c r="Q567" t="n">
        <v>0</v>
      </c>
      <c r="R567" s="2" t="inlineStr"/>
    </row>
    <row r="568" ht="15" customHeight="1">
      <c r="A568" t="inlineStr">
        <is>
          <t>A 29254-2024</t>
        </is>
      </c>
      <c r="B568" s="1" t="n">
        <v>45482</v>
      </c>
      <c r="C568" s="1" t="n">
        <v>46180</v>
      </c>
      <c r="D568" t="inlineStr">
        <is>
          <t>NORRBOTTENS LÄN</t>
        </is>
      </c>
      <c r="E568" t="inlineStr">
        <is>
          <t>GÄLLIVARE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59172-2022</t>
        </is>
      </c>
      <c r="B569" s="1" t="n">
        <v>44904.48228009259</v>
      </c>
      <c r="C569" s="1" t="n">
        <v>46180</v>
      </c>
      <c r="D569" t="inlineStr">
        <is>
          <t>NORRBOTTENS LÄN</t>
        </is>
      </c>
      <c r="E569" t="inlineStr">
        <is>
          <t>GÄLLIVARE</t>
        </is>
      </c>
      <c r="G569" t="n">
        <v>0.5</v>
      </c>
      <c r="H569" t="n">
        <v>0</v>
      </c>
      <c r="I569" t="n">
        <v>0</v>
      </c>
      <c r="J569" t="n">
        <v>0</v>
      </c>
      <c r="K569" t="n">
        <v>0</v>
      </c>
      <c r="L569" t="n">
        <v>0</v>
      </c>
      <c r="M569" t="n">
        <v>0</v>
      </c>
      <c r="N569" t="n">
        <v>0</v>
      </c>
      <c r="O569" t="n">
        <v>0</v>
      </c>
      <c r="P569" t="n">
        <v>0</v>
      </c>
      <c r="Q569" t="n">
        <v>0</v>
      </c>
      <c r="R569" s="2" t="inlineStr"/>
    </row>
    <row r="570" ht="15" customHeight="1">
      <c r="A570" t="inlineStr">
        <is>
          <t>A 52887-2023</t>
        </is>
      </c>
      <c r="B570" s="1" t="n">
        <v>45219</v>
      </c>
      <c r="C570" s="1" t="n">
        <v>46180</v>
      </c>
      <c r="D570" t="inlineStr">
        <is>
          <t>NORRBOTTENS LÄN</t>
        </is>
      </c>
      <c r="E570" t="inlineStr">
        <is>
          <t>GÄLLIVARE</t>
        </is>
      </c>
      <c r="F570" t="inlineStr">
        <is>
          <t>Övriga statliga verk och myndigheter</t>
        </is>
      </c>
      <c r="G570" t="n">
        <v>23.1</v>
      </c>
      <c r="H570" t="n">
        <v>0</v>
      </c>
      <c r="I570" t="n">
        <v>0</v>
      </c>
      <c r="J570" t="n">
        <v>0</v>
      </c>
      <c r="K570" t="n">
        <v>0</v>
      </c>
      <c r="L570" t="n">
        <v>0</v>
      </c>
      <c r="M570" t="n">
        <v>0</v>
      </c>
      <c r="N570" t="n">
        <v>0</v>
      </c>
      <c r="O570" t="n">
        <v>0</v>
      </c>
      <c r="P570" t="n">
        <v>0</v>
      </c>
      <c r="Q570" t="n">
        <v>0</v>
      </c>
      <c r="R570" s="2" t="inlineStr"/>
    </row>
    <row r="571" ht="15" customHeight="1">
      <c r="A571" t="inlineStr">
        <is>
          <t>A 838-2025</t>
        </is>
      </c>
      <c r="B571" s="1" t="n">
        <v>45665</v>
      </c>
      <c r="C571" s="1" t="n">
        <v>46180</v>
      </c>
      <c r="D571" t="inlineStr">
        <is>
          <t>NORRBOTTENS LÄN</t>
        </is>
      </c>
      <c r="E571" t="inlineStr">
        <is>
          <t>GÄLLIVARE</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15743-2026</t>
        </is>
      </c>
      <c r="B572" s="1" t="n">
        <v>46107</v>
      </c>
      <c r="C572" s="1" t="n">
        <v>46180</v>
      </c>
      <c r="D572" t="inlineStr">
        <is>
          <t>NORRBOTTENS LÄN</t>
        </is>
      </c>
      <c r="E572" t="inlineStr">
        <is>
          <t>GÄLLIVARE</t>
        </is>
      </c>
      <c r="F572" t="inlineStr">
        <is>
          <t>Sveaskog</t>
        </is>
      </c>
      <c r="G572" t="n">
        <v>5.6</v>
      </c>
      <c r="H572" t="n">
        <v>0</v>
      </c>
      <c r="I572" t="n">
        <v>0</v>
      </c>
      <c r="J572" t="n">
        <v>0</v>
      </c>
      <c r="K572" t="n">
        <v>0</v>
      </c>
      <c r="L572" t="n">
        <v>0</v>
      </c>
      <c r="M572" t="n">
        <v>0</v>
      </c>
      <c r="N572" t="n">
        <v>0</v>
      </c>
      <c r="O572" t="n">
        <v>0</v>
      </c>
      <c r="P572" t="n">
        <v>0</v>
      </c>
      <c r="Q572" t="n">
        <v>0</v>
      </c>
      <c r="R572" s="2" t="inlineStr"/>
    </row>
    <row r="573" ht="15" customHeight="1">
      <c r="A573" t="inlineStr">
        <is>
          <t>A 15741-2026</t>
        </is>
      </c>
      <c r="B573" s="1" t="n">
        <v>46107</v>
      </c>
      <c r="C573" s="1" t="n">
        <v>46180</v>
      </c>
      <c r="D573" t="inlineStr">
        <is>
          <t>NORRBOTTENS LÄN</t>
        </is>
      </c>
      <c r="E573" t="inlineStr">
        <is>
          <t>GÄLLIVARE</t>
        </is>
      </c>
      <c r="F573" t="inlineStr">
        <is>
          <t>Sveaskog</t>
        </is>
      </c>
      <c r="G573" t="n">
        <v>12.1</v>
      </c>
      <c r="H573" t="n">
        <v>0</v>
      </c>
      <c r="I573" t="n">
        <v>0</v>
      </c>
      <c r="J573" t="n">
        <v>0</v>
      </c>
      <c r="K573" t="n">
        <v>0</v>
      </c>
      <c r="L573" t="n">
        <v>0</v>
      </c>
      <c r="M573" t="n">
        <v>0</v>
      </c>
      <c r="N573" t="n">
        <v>0</v>
      </c>
      <c r="O573" t="n">
        <v>0</v>
      </c>
      <c r="P573" t="n">
        <v>0</v>
      </c>
      <c r="Q573" t="n">
        <v>0</v>
      </c>
      <c r="R573" s="2" t="inlineStr"/>
    </row>
    <row r="574" ht="15" customHeight="1">
      <c r="A574" t="inlineStr">
        <is>
          <t>A 17584-2026</t>
        </is>
      </c>
      <c r="B574" s="1" t="n">
        <v>46121.3794212963</v>
      </c>
      <c r="C574" s="1" t="n">
        <v>46180</v>
      </c>
      <c r="D574" t="inlineStr">
        <is>
          <t>NORRBOTTENS LÄN</t>
        </is>
      </c>
      <c r="E574" t="inlineStr">
        <is>
          <t>GÄLLIVARE</t>
        </is>
      </c>
      <c r="G574" t="n">
        <v>16.7</v>
      </c>
      <c r="H574" t="n">
        <v>0</v>
      </c>
      <c r="I574" t="n">
        <v>0</v>
      </c>
      <c r="J574" t="n">
        <v>0</v>
      </c>
      <c r="K574" t="n">
        <v>0</v>
      </c>
      <c r="L574" t="n">
        <v>0</v>
      </c>
      <c r="M574" t="n">
        <v>0</v>
      </c>
      <c r="N574" t="n">
        <v>0</v>
      </c>
      <c r="O574" t="n">
        <v>0</v>
      </c>
      <c r="P574" t="n">
        <v>0</v>
      </c>
      <c r="Q574" t="n">
        <v>0</v>
      </c>
      <c r="R574" s="2" t="inlineStr"/>
    </row>
    <row r="575" ht="15" customHeight="1">
      <c r="A575" t="inlineStr">
        <is>
          <t>A 61468-2024</t>
        </is>
      </c>
      <c r="B575" s="1" t="n">
        <v>45646</v>
      </c>
      <c r="C575" s="1" t="n">
        <v>46180</v>
      </c>
      <c r="D575" t="inlineStr">
        <is>
          <t>NORRBOTTENS LÄN</t>
        </is>
      </c>
      <c r="E575" t="inlineStr">
        <is>
          <t>GÄLLIVARE</t>
        </is>
      </c>
      <c r="G575" t="n">
        <v>1.5</v>
      </c>
      <c r="H575" t="n">
        <v>0</v>
      </c>
      <c r="I575" t="n">
        <v>0</v>
      </c>
      <c r="J575" t="n">
        <v>0</v>
      </c>
      <c r="K575" t="n">
        <v>0</v>
      </c>
      <c r="L575" t="n">
        <v>0</v>
      </c>
      <c r="M575" t="n">
        <v>0</v>
      </c>
      <c r="N575" t="n">
        <v>0</v>
      </c>
      <c r="O575" t="n">
        <v>0</v>
      </c>
      <c r="P575" t="n">
        <v>0</v>
      </c>
      <c r="Q575" t="n">
        <v>0</v>
      </c>
      <c r="R575" s="2" t="inlineStr"/>
    </row>
    <row r="576" ht="15" customHeight="1">
      <c r="A576" t="inlineStr">
        <is>
          <t>A 6781-2023</t>
        </is>
      </c>
      <c r="B576" s="1" t="n">
        <v>44966</v>
      </c>
      <c r="C576" s="1" t="n">
        <v>46180</v>
      </c>
      <c r="D576" t="inlineStr">
        <is>
          <t>NORRBOTTENS LÄN</t>
        </is>
      </c>
      <c r="E576" t="inlineStr">
        <is>
          <t>GÄLLIVARE</t>
        </is>
      </c>
      <c r="F576" t="inlineStr">
        <is>
          <t>SCA</t>
        </is>
      </c>
      <c r="G576" t="n">
        <v>14.1</v>
      </c>
      <c r="H576" t="n">
        <v>0</v>
      </c>
      <c r="I576" t="n">
        <v>0</v>
      </c>
      <c r="J576" t="n">
        <v>0</v>
      </c>
      <c r="K576" t="n">
        <v>0</v>
      </c>
      <c r="L576" t="n">
        <v>0</v>
      </c>
      <c r="M576" t="n">
        <v>0</v>
      </c>
      <c r="N576" t="n">
        <v>0</v>
      </c>
      <c r="O576" t="n">
        <v>0</v>
      </c>
      <c r="P576" t="n">
        <v>0</v>
      </c>
      <c r="Q576" t="n">
        <v>0</v>
      </c>
      <c r="R576" s="2" t="inlineStr"/>
    </row>
    <row r="577" ht="15" customHeight="1">
      <c r="A577" t="inlineStr">
        <is>
          <t>A 23480-2026</t>
        </is>
      </c>
      <c r="B577" s="1" t="n">
        <v>46163.42777777778</v>
      </c>
      <c r="C577" s="1" t="n">
        <v>46180</v>
      </c>
      <c r="D577" t="inlineStr">
        <is>
          <t>NORRBOTTENS LÄN</t>
        </is>
      </c>
      <c r="E577" t="inlineStr">
        <is>
          <t>GÄLLIVARE</t>
        </is>
      </c>
      <c r="F577" t="inlineStr">
        <is>
          <t>Naturvårdsverket</t>
        </is>
      </c>
      <c r="G577" t="n">
        <v>17.3</v>
      </c>
      <c r="H577" t="n">
        <v>0</v>
      </c>
      <c r="I577" t="n">
        <v>0</v>
      </c>
      <c r="J577" t="n">
        <v>0</v>
      </c>
      <c r="K577" t="n">
        <v>0</v>
      </c>
      <c r="L577" t="n">
        <v>0</v>
      </c>
      <c r="M577" t="n">
        <v>0</v>
      </c>
      <c r="N577" t="n">
        <v>0</v>
      </c>
      <c r="O577" t="n">
        <v>0</v>
      </c>
      <c r="P577" t="n">
        <v>0</v>
      </c>
      <c r="Q577" t="n">
        <v>0</v>
      </c>
      <c r="R577" s="2" t="inlineStr"/>
    </row>
    <row r="578" ht="15" customHeight="1">
      <c r="A578" t="inlineStr">
        <is>
          <t>A 63155-2021</t>
        </is>
      </c>
      <c r="B578" s="1" t="n">
        <v>44505</v>
      </c>
      <c r="C578" s="1" t="n">
        <v>46180</v>
      </c>
      <c r="D578" t="inlineStr">
        <is>
          <t>NORRBOTTENS LÄN</t>
        </is>
      </c>
      <c r="E578" t="inlineStr">
        <is>
          <t>GÄLLIVARE</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23379-2026</t>
        </is>
      </c>
      <c r="B579" s="1" t="n">
        <v>46162.64709490741</v>
      </c>
      <c r="C579" s="1" t="n">
        <v>46180</v>
      </c>
      <c r="D579" t="inlineStr">
        <is>
          <t>NORRBOTTENS LÄN</t>
        </is>
      </c>
      <c r="E579" t="inlineStr">
        <is>
          <t>GÄLLIVARE</t>
        </is>
      </c>
      <c r="G579" t="n">
        <v>14</v>
      </c>
      <c r="H579" t="n">
        <v>0</v>
      </c>
      <c r="I579" t="n">
        <v>0</v>
      </c>
      <c r="J579" t="n">
        <v>0</v>
      </c>
      <c r="K579" t="n">
        <v>0</v>
      </c>
      <c r="L579" t="n">
        <v>0</v>
      </c>
      <c r="M579" t="n">
        <v>0</v>
      </c>
      <c r="N579" t="n">
        <v>0</v>
      </c>
      <c r="O579" t="n">
        <v>0</v>
      </c>
      <c r="P579" t="n">
        <v>0</v>
      </c>
      <c r="Q579" t="n">
        <v>0</v>
      </c>
      <c r="R579" s="2" t="inlineStr"/>
    </row>
    <row r="580" ht="15" customHeight="1">
      <c r="A580" t="inlineStr">
        <is>
          <t>A 6271-2024</t>
        </is>
      </c>
      <c r="B580" s="1" t="n">
        <v>45337</v>
      </c>
      <c r="C580" s="1" t="n">
        <v>46180</v>
      </c>
      <c r="D580" t="inlineStr">
        <is>
          <t>NORRBOTTENS LÄN</t>
        </is>
      </c>
      <c r="E580" t="inlineStr">
        <is>
          <t>GÄLLIVARE</t>
        </is>
      </c>
      <c r="G580" t="n">
        <v>14.7</v>
      </c>
      <c r="H580" t="n">
        <v>0</v>
      </c>
      <c r="I580" t="n">
        <v>0</v>
      </c>
      <c r="J580" t="n">
        <v>0</v>
      </c>
      <c r="K580" t="n">
        <v>0</v>
      </c>
      <c r="L580" t="n">
        <v>0</v>
      </c>
      <c r="M580" t="n">
        <v>0</v>
      </c>
      <c r="N580" t="n">
        <v>0</v>
      </c>
      <c r="O580" t="n">
        <v>0</v>
      </c>
      <c r="P580" t="n">
        <v>0</v>
      </c>
      <c r="Q580" t="n">
        <v>0</v>
      </c>
      <c r="R580" s="2" t="inlineStr"/>
    </row>
    <row r="581" ht="15" customHeight="1">
      <c r="A581" t="inlineStr">
        <is>
          <t>A 6272-2024</t>
        </is>
      </c>
      <c r="B581" s="1" t="n">
        <v>45337</v>
      </c>
      <c r="C581" s="1" t="n">
        <v>46180</v>
      </c>
      <c r="D581" t="inlineStr">
        <is>
          <t>NORRBOTTENS LÄN</t>
        </is>
      </c>
      <c r="E581" t="inlineStr">
        <is>
          <t>GÄLLIVARE</t>
        </is>
      </c>
      <c r="G581" t="n">
        <v>5.3</v>
      </c>
      <c r="H581" t="n">
        <v>0</v>
      </c>
      <c r="I581" t="n">
        <v>0</v>
      </c>
      <c r="J581" t="n">
        <v>0</v>
      </c>
      <c r="K581" t="n">
        <v>0</v>
      </c>
      <c r="L581" t="n">
        <v>0</v>
      </c>
      <c r="M581" t="n">
        <v>0</v>
      </c>
      <c r="N581" t="n">
        <v>0</v>
      </c>
      <c r="O581" t="n">
        <v>0</v>
      </c>
      <c r="P581" t="n">
        <v>0</v>
      </c>
      <c r="Q581" t="n">
        <v>0</v>
      </c>
      <c r="R581" s="2" t="inlineStr"/>
    </row>
    <row r="582" ht="15" customHeight="1">
      <c r="A582" t="inlineStr">
        <is>
          <t>A 23482-2026</t>
        </is>
      </c>
      <c r="B582" s="1" t="n">
        <v>46163</v>
      </c>
      <c r="C582" s="1" t="n">
        <v>46180</v>
      </c>
      <c r="D582" t="inlineStr">
        <is>
          <t>NORRBOTTENS LÄN</t>
        </is>
      </c>
      <c r="E582" t="inlineStr">
        <is>
          <t>GÄLLIVARE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17812-2026</t>
        </is>
      </c>
      <c r="B583" s="1" t="n">
        <v>46122.42827546296</v>
      </c>
      <c r="C583" s="1" t="n">
        <v>46180</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53785-2022</t>
        </is>
      </c>
      <c r="B584" s="1" t="n">
        <v>44875</v>
      </c>
      <c r="C584" s="1" t="n">
        <v>46180</v>
      </c>
      <c r="D584" t="inlineStr">
        <is>
          <t>NORRBOTTENS LÄN</t>
        </is>
      </c>
      <c r="E584" t="inlineStr">
        <is>
          <t>GÄLLIVARE</t>
        </is>
      </c>
      <c r="G584" t="n">
        <v>3</v>
      </c>
      <c r="H584" t="n">
        <v>0</v>
      </c>
      <c r="I584" t="n">
        <v>0</v>
      </c>
      <c r="J584" t="n">
        <v>0</v>
      </c>
      <c r="K584" t="n">
        <v>0</v>
      </c>
      <c r="L584" t="n">
        <v>0</v>
      </c>
      <c r="M584" t="n">
        <v>0</v>
      </c>
      <c r="N584" t="n">
        <v>0</v>
      </c>
      <c r="O584" t="n">
        <v>0</v>
      </c>
      <c r="P584" t="n">
        <v>0</v>
      </c>
      <c r="Q584" t="n">
        <v>0</v>
      </c>
      <c r="R584" s="2" t="inlineStr"/>
    </row>
    <row r="585" ht="15" customHeight="1">
      <c r="A585" t="inlineStr">
        <is>
          <t>A 4135-2022</t>
        </is>
      </c>
      <c r="B585" s="1" t="n">
        <v>44588</v>
      </c>
      <c r="C585" s="1" t="n">
        <v>46180</v>
      </c>
      <c r="D585" t="inlineStr">
        <is>
          <t>NORRBOTTENS LÄN</t>
        </is>
      </c>
      <c r="E585" t="inlineStr">
        <is>
          <t>GÄLLIVARE</t>
        </is>
      </c>
      <c r="G585" t="n">
        <v>2.8</v>
      </c>
      <c r="H585" t="n">
        <v>0</v>
      </c>
      <c r="I585" t="n">
        <v>0</v>
      </c>
      <c r="J585" t="n">
        <v>0</v>
      </c>
      <c r="K585" t="n">
        <v>0</v>
      </c>
      <c r="L585" t="n">
        <v>0</v>
      </c>
      <c r="M585" t="n">
        <v>0</v>
      </c>
      <c r="N585" t="n">
        <v>0</v>
      </c>
      <c r="O585" t="n">
        <v>0</v>
      </c>
      <c r="P585" t="n">
        <v>0</v>
      </c>
      <c r="Q585" t="n">
        <v>0</v>
      </c>
      <c r="R585" s="2" t="inlineStr"/>
    </row>
    <row r="586" ht="15" customHeight="1">
      <c r="A586" t="inlineStr">
        <is>
          <t>A 17779-2026</t>
        </is>
      </c>
      <c r="B586" s="1" t="n">
        <v>46122.37244212963</v>
      </c>
      <c r="C586" s="1" t="n">
        <v>46180</v>
      </c>
      <c r="D586" t="inlineStr">
        <is>
          <t>NORRBOTTENS LÄN</t>
        </is>
      </c>
      <c r="E586" t="inlineStr">
        <is>
          <t>GÄLLIVARE</t>
        </is>
      </c>
      <c r="G586" t="n">
        <v>4.2</v>
      </c>
      <c r="H586" t="n">
        <v>0</v>
      </c>
      <c r="I586" t="n">
        <v>0</v>
      </c>
      <c r="J586" t="n">
        <v>0</v>
      </c>
      <c r="K586" t="n">
        <v>0</v>
      </c>
      <c r="L586" t="n">
        <v>0</v>
      </c>
      <c r="M586" t="n">
        <v>0</v>
      </c>
      <c r="N586" t="n">
        <v>0</v>
      </c>
      <c r="O586" t="n">
        <v>0</v>
      </c>
      <c r="P586" t="n">
        <v>0</v>
      </c>
      <c r="Q586" t="n">
        <v>0</v>
      </c>
      <c r="R586" s="2" t="inlineStr"/>
    </row>
    <row r="587" ht="15" customHeight="1">
      <c r="A587" t="inlineStr">
        <is>
          <t>A 10652-2022</t>
        </is>
      </c>
      <c r="B587" s="1" t="n">
        <v>44624</v>
      </c>
      <c r="C587" s="1" t="n">
        <v>46180</v>
      </c>
      <c r="D587" t="inlineStr">
        <is>
          <t>NORRBOTTENS LÄN</t>
        </is>
      </c>
      <c r="E587" t="inlineStr">
        <is>
          <t>GÄLLIVARE</t>
        </is>
      </c>
      <c r="G587" t="n">
        <v>7.9</v>
      </c>
      <c r="H587" t="n">
        <v>0</v>
      </c>
      <c r="I587" t="n">
        <v>0</v>
      </c>
      <c r="J587" t="n">
        <v>0</v>
      </c>
      <c r="K587" t="n">
        <v>0</v>
      </c>
      <c r="L587" t="n">
        <v>0</v>
      </c>
      <c r="M587" t="n">
        <v>0</v>
      </c>
      <c r="N587" t="n">
        <v>0</v>
      </c>
      <c r="O587" t="n">
        <v>0</v>
      </c>
      <c r="P587" t="n">
        <v>0</v>
      </c>
      <c r="Q587" t="n">
        <v>0</v>
      </c>
      <c r="R587" s="2" t="inlineStr"/>
    </row>
    <row r="588" ht="15" customHeight="1">
      <c r="A588" t="inlineStr">
        <is>
          <t>A 2244-2023</t>
        </is>
      </c>
      <c r="B588" s="1" t="n">
        <v>44942</v>
      </c>
      <c r="C588" s="1" t="n">
        <v>46180</v>
      </c>
      <c r="D588" t="inlineStr">
        <is>
          <t>NORRBOTTENS LÄN</t>
        </is>
      </c>
      <c r="E588" t="inlineStr">
        <is>
          <t>GÄLLIVARE</t>
        </is>
      </c>
      <c r="G588" t="n">
        <v>21.1</v>
      </c>
      <c r="H588" t="n">
        <v>0</v>
      </c>
      <c r="I588" t="n">
        <v>0</v>
      </c>
      <c r="J588" t="n">
        <v>0</v>
      </c>
      <c r="K588" t="n">
        <v>0</v>
      </c>
      <c r="L588" t="n">
        <v>0</v>
      </c>
      <c r="M588" t="n">
        <v>0</v>
      </c>
      <c r="N588" t="n">
        <v>0</v>
      </c>
      <c r="O588" t="n">
        <v>0</v>
      </c>
      <c r="P588" t="n">
        <v>0</v>
      </c>
      <c r="Q588" t="n">
        <v>0</v>
      </c>
      <c r="R588" s="2" t="inlineStr"/>
    </row>
    <row r="589" ht="15" customHeight="1">
      <c r="A589" t="inlineStr">
        <is>
          <t>A 2276-2023</t>
        </is>
      </c>
      <c r="B589" s="1" t="n">
        <v>44942</v>
      </c>
      <c r="C589" s="1" t="n">
        <v>46180</v>
      </c>
      <c r="D589" t="inlineStr">
        <is>
          <t>NORRBOTTENS LÄN</t>
        </is>
      </c>
      <c r="E589" t="inlineStr">
        <is>
          <t>GÄLLIVARE</t>
        </is>
      </c>
      <c r="G589" t="n">
        <v>2.8</v>
      </c>
      <c r="H589" t="n">
        <v>0</v>
      </c>
      <c r="I589" t="n">
        <v>0</v>
      </c>
      <c r="J589" t="n">
        <v>0</v>
      </c>
      <c r="K589" t="n">
        <v>0</v>
      </c>
      <c r="L589" t="n">
        <v>0</v>
      </c>
      <c r="M589" t="n">
        <v>0</v>
      </c>
      <c r="N589" t="n">
        <v>0</v>
      </c>
      <c r="O589" t="n">
        <v>0</v>
      </c>
      <c r="P589" t="n">
        <v>0</v>
      </c>
      <c r="Q589" t="n">
        <v>0</v>
      </c>
      <c r="R589" s="2" t="inlineStr"/>
    </row>
    <row r="590" ht="15" customHeight="1">
      <c r="A590" t="inlineStr">
        <is>
          <t>A 18512-2026</t>
        </is>
      </c>
      <c r="B590" s="1" t="n">
        <v>46127</v>
      </c>
      <c r="C590" s="1" t="n">
        <v>46180</v>
      </c>
      <c r="D590" t="inlineStr">
        <is>
          <t>NORRBOTTENS LÄN</t>
        </is>
      </c>
      <c r="E590" t="inlineStr">
        <is>
          <t>GÄLLIVARE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41653-2023</t>
        </is>
      </c>
      <c r="B591" s="1" t="n">
        <v>45175.95738425926</v>
      </c>
      <c r="C591" s="1" t="n">
        <v>46180</v>
      </c>
      <c r="D591" t="inlineStr">
        <is>
          <t>NORRBOTTENS LÄN</t>
        </is>
      </c>
      <c r="E591" t="inlineStr">
        <is>
          <t>GÄLLIVARE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24361-2026</t>
        </is>
      </c>
      <c r="B592" s="1" t="n">
        <v>46169.5834837963</v>
      </c>
      <c r="C592" s="1" t="n">
        <v>46180</v>
      </c>
      <c r="D592" t="inlineStr">
        <is>
          <t>NORRBOTTENS LÄN</t>
        </is>
      </c>
      <c r="E592" t="inlineStr">
        <is>
          <t>GÄLLIVARE</t>
        </is>
      </c>
      <c r="G592" t="n">
        <v>3.3</v>
      </c>
      <c r="H592" t="n">
        <v>0</v>
      </c>
      <c r="I592" t="n">
        <v>0</v>
      </c>
      <c r="J592" t="n">
        <v>0</v>
      </c>
      <c r="K592" t="n">
        <v>0</v>
      </c>
      <c r="L592" t="n">
        <v>0</v>
      </c>
      <c r="M592" t="n">
        <v>0</v>
      </c>
      <c r="N592" t="n">
        <v>0</v>
      </c>
      <c r="O592" t="n">
        <v>0</v>
      </c>
      <c r="P592" t="n">
        <v>0</v>
      </c>
      <c r="Q592" t="n">
        <v>0</v>
      </c>
      <c r="R592" s="2" t="inlineStr"/>
    </row>
    <row r="593" ht="15" customHeight="1">
      <c r="A593" t="inlineStr">
        <is>
          <t>A 41927-2024</t>
        </is>
      </c>
      <c r="B593" s="1" t="n">
        <v>45561.55981481481</v>
      </c>
      <c r="C593" s="1" t="n">
        <v>46180</v>
      </c>
      <c r="D593" t="inlineStr">
        <is>
          <t>NORRBOTTENS LÄN</t>
        </is>
      </c>
      <c r="E593" t="inlineStr">
        <is>
          <t>GÄLLIVARE</t>
        </is>
      </c>
      <c r="G593" t="n">
        <v>11.2</v>
      </c>
      <c r="H593" t="n">
        <v>0</v>
      </c>
      <c r="I593" t="n">
        <v>0</v>
      </c>
      <c r="J593" t="n">
        <v>0</v>
      </c>
      <c r="K593" t="n">
        <v>0</v>
      </c>
      <c r="L593" t="n">
        <v>0</v>
      </c>
      <c r="M593" t="n">
        <v>0</v>
      </c>
      <c r="N593" t="n">
        <v>0</v>
      </c>
      <c r="O593" t="n">
        <v>0</v>
      </c>
      <c r="P593" t="n">
        <v>0</v>
      </c>
      <c r="Q593" t="n">
        <v>0</v>
      </c>
      <c r="R593" s="2" t="inlineStr"/>
    </row>
    <row r="594" ht="15" customHeight="1">
      <c r="A594" t="inlineStr">
        <is>
          <t>A 18403-2026</t>
        </is>
      </c>
      <c r="B594" s="1" t="n">
        <v>46126.67193287037</v>
      </c>
      <c r="C594" s="1" t="n">
        <v>46180</v>
      </c>
      <c r="D594" t="inlineStr">
        <is>
          <t>NORRBOTTENS LÄN</t>
        </is>
      </c>
      <c r="E594" t="inlineStr">
        <is>
          <t>GÄLLIVARE</t>
        </is>
      </c>
      <c r="G594" t="n">
        <v>17.4</v>
      </c>
      <c r="H594" t="n">
        <v>0</v>
      </c>
      <c r="I594" t="n">
        <v>0</v>
      </c>
      <c r="J594" t="n">
        <v>0</v>
      </c>
      <c r="K594" t="n">
        <v>0</v>
      </c>
      <c r="L594" t="n">
        <v>0</v>
      </c>
      <c r="M594" t="n">
        <v>0</v>
      </c>
      <c r="N594" t="n">
        <v>0</v>
      </c>
      <c r="O594" t="n">
        <v>0</v>
      </c>
      <c r="P594" t="n">
        <v>0</v>
      </c>
      <c r="Q594" t="n">
        <v>0</v>
      </c>
      <c r="R594" s="2" t="inlineStr"/>
    </row>
    <row r="595" ht="15" customHeight="1">
      <c r="A595" t="inlineStr">
        <is>
          <t>A 51570-2024</t>
        </is>
      </c>
      <c r="B595" s="1" t="n">
        <v>45604</v>
      </c>
      <c r="C595" s="1" t="n">
        <v>46180</v>
      </c>
      <c r="D595" t="inlineStr">
        <is>
          <t>NORRBOTTENS LÄN</t>
        </is>
      </c>
      <c r="E595" t="inlineStr">
        <is>
          <t>GÄLLIVARE</t>
        </is>
      </c>
      <c r="G595" t="n">
        <v>6.1</v>
      </c>
      <c r="H595" t="n">
        <v>0</v>
      </c>
      <c r="I595" t="n">
        <v>0</v>
      </c>
      <c r="J595" t="n">
        <v>0</v>
      </c>
      <c r="K595" t="n">
        <v>0</v>
      </c>
      <c r="L595" t="n">
        <v>0</v>
      </c>
      <c r="M595" t="n">
        <v>0</v>
      </c>
      <c r="N595" t="n">
        <v>0</v>
      </c>
      <c r="O595" t="n">
        <v>0</v>
      </c>
      <c r="P595" t="n">
        <v>0</v>
      </c>
      <c r="Q595" t="n">
        <v>0</v>
      </c>
      <c r="R595" s="2" t="inlineStr"/>
    </row>
    <row r="596" ht="15" customHeight="1">
      <c r="A596" t="inlineStr">
        <is>
          <t>A 5708-2023</t>
        </is>
      </c>
      <c r="B596" s="1" t="n">
        <v>44960</v>
      </c>
      <c r="C596" s="1" t="n">
        <v>46180</v>
      </c>
      <c r="D596" t="inlineStr">
        <is>
          <t>NORRBOTTENS LÄN</t>
        </is>
      </c>
      <c r="E596" t="inlineStr">
        <is>
          <t>GÄLLIVARE</t>
        </is>
      </c>
      <c r="F596" t="inlineStr">
        <is>
          <t>SCA</t>
        </is>
      </c>
      <c r="G596" t="n">
        <v>15.3</v>
      </c>
      <c r="H596" t="n">
        <v>0</v>
      </c>
      <c r="I596" t="n">
        <v>0</v>
      </c>
      <c r="J596" t="n">
        <v>0</v>
      </c>
      <c r="K596" t="n">
        <v>0</v>
      </c>
      <c r="L596" t="n">
        <v>0</v>
      </c>
      <c r="M596" t="n">
        <v>0</v>
      </c>
      <c r="N596" t="n">
        <v>0</v>
      </c>
      <c r="O596" t="n">
        <v>0</v>
      </c>
      <c r="P596" t="n">
        <v>0</v>
      </c>
      <c r="Q596" t="n">
        <v>0</v>
      </c>
      <c r="R596" s="2" t="inlineStr"/>
    </row>
    <row r="597" ht="15" customHeight="1">
      <c r="A597" t="inlineStr">
        <is>
          <t>A 4238-2023</t>
        </is>
      </c>
      <c r="B597" s="1" t="n">
        <v>44953</v>
      </c>
      <c r="C597" s="1" t="n">
        <v>46180</v>
      </c>
      <c r="D597" t="inlineStr">
        <is>
          <t>NORRBOTTENS LÄN</t>
        </is>
      </c>
      <c r="E597" t="inlineStr">
        <is>
          <t>GÄLLIVARE</t>
        </is>
      </c>
      <c r="G597" t="n">
        <v>5.1</v>
      </c>
      <c r="H597" t="n">
        <v>0</v>
      </c>
      <c r="I597" t="n">
        <v>0</v>
      </c>
      <c r="J597" t="n">
        <v>0</v>
      </c>
      <c r="K597" t="n">
        <v>0</v>
      </c>
      <c r="L597" t="n">
        <v>0</v>
      </c>
      <c r="M597" t="n">
        <v>0</v>
      </c>
      <c r="N597" t="n">
        <v>0</v>
      </c>
      <c r="O597" t="n">
        <v>0</v>
      </c>
      <c r="P597" t="n">
        <v>0</v>
      </c>
      <c r="Q597" t="n">
        <v>0</v>
      </c>
      <c r="R597" s="2" t="inlineStr"/>
    </row>
    <row r="598" ht="15" customHeight="1">
      <c r="A598" t="inlineStr">
        <is>
          <t>A 7693-2022</t>
        </is>
      </c>
      <c r="B598" s="1" t="n">
        <v>44607</v>
      </c>
      <c r="C598" s="1" t="n">
        <v>46180</v>
      </c>
      <c r="D598" t="inlineStr">
        <is>
          <t>NORRBOTTENS LÄN</t>
        </is>
      </c>
      <c r="E598" t="inlineStr">
        <is>
          <t>GÄLLIVARE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44981-2023</t>
        </is>
      </c>
      <c r="B599" s="1" t="n">
        <v>45190.95791666667</v>
      </c>
      <c r="C599" s="1" t="n">
        <v>46180</v>
      </c>
      <c r="D599" t="inlineStr">
        <is>
          <t>NORRBOTTENS LÄN</t>
        </is>
      </c>
      <c r="E599" t="inlineStr">
        <is>
          <t>GÄLLIVARE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54281-2024</t>
        </is>
      </c>
      <c r="B600" s="1" t="n">
        <v>45616</v>
      </c>
      <c r="C600" s="1" t="n">
        <v>46180</v>
      </c>
      <c r="D600" t="inlineStr">
        <is>
          <t>NORRBOTTENS LÄN</t>
        </is>
      </c>
      <c r="E600" t="inlineStr">
        <is>
          <t>GÄLLIVARE</t>
        </is>
      </c>
      <c r="G600" t="n">
        <v>0.3</v>
      </c>
      <c r="H600" t="n">
        <v>0</v>
      </c>
      <c r="I600" t="n">
        <v>0</v>
      </c>
      <c r="J600" t="n">
        <v>0</v>
      </c>
      <c r="K600" t="n">
        <v>0</v>
      </c>
      <c r="L600" t="n">
        <v>0</v>
      </c>
      <c r="M600" t="n">
        <v>0</v>
      </c>
      <c r="N600" t="n">
        <v>0</v>
      </c>
      <c r="O600" t="n">
        <v>0</v>
      </c>
      <c r="P600" t="n">
        <v>0</v>
      </c>
      <c r="Q600" t="n">
        <v>0</v>
      </c>
      <c r="R600" s="2" t="inlineStr"/>
    </row>
    <row r="601" ht="15" customHeight="1">
      <c r="A601" t="inlineStr">
        <is>
          <t>A 46056-2023</t>
        </is>
      </c>
      <c r="B601" s="1" t="n">
        <v>45196</v>
      </c>
      <c r="C601" s="1" t="n">
        <v>46180</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49873-2023</t>
        </is>
      </c>
      <c r="B602" s="1" t="n">
        <v>45212</v>
      </c>
      <c r="C602" s="1" t="n">
        <v>46180</v>
      </c>
      <c r="D602" t="inlineStr">
        <is>
          <t>NORRBOTTENS LÄN</t>
        </is>
      </c>
      <c r="E602" t="inlineStr">
        <is>
          <t>GÄLLIVARE</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59697-2024</t>
        </is>
      </c>
      <c r="B603" s="1" t="n">
        <v>45639</v>
      </c>
      <c r="C603" s="1" t="n">
        <v>46180</v>
      </c>
      <c r="D603" t="inlineStr">
        <is>
          <t>NORRBOTTENS LÄN</t>
        </is>
      </c>
      <c r="E603" t="inlineStr">
        <is>
          <t>GÄLLIVARE</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64237-2023</t>
        </is>
      </c>
      <c r="B604" s="1" t="n">
        <v>45279.92658564815</v>
      </c>
      <c r="C604" s="1" t="n">
        <v>46180</v>
      </c>
      <c r="D604" t="inlineStr">
        <is>
          <t>NORRBOTTENS LÄN</t>
        </is>
      </c>
      <c r="E604" t="inlineStr">
        <is>
          <t>GÄLLIVARE</t>
        </is>
      </c>
      <c r="G604" t="n">
        <v>3.1</v>
      </c>
      <c r="H604" t="n">
        <v>0</v>
      </c>
      <c r="I604" t="n">
        <v>0</v>
      </c>
      <c r="J604" t="n">
        <v>0</v>
      </c>
      <c r="K604" t="n">
        <v>0</v>
      </c>
      <c r="L604" t="n">
        <v>0</v>
      </c>
      <c r="M604" t="n">
        <v>0</v>
      </c>
      <c r="N604" t="n">
        <v>0</v>
      </c>
      <c r="O604" t="n">
        <v>0</v>
      </c>
      <c r="P604" t="n">
        <v>0</v>
      </c>
      <c r="Q604" t="n">
        <v>0</v>
      </c>
      <c r="R604" s="2" t="inlineStr"/>
    </row>
    <row r="605" ht="15" customHeight="1">
      <c r="A605" t="inlineStr">
        <is>
          <t>A 4390-2025</t>
        </is>
      </c>
      <c r="B605" s="1" t="n">
        <v>45686.41289351852</v>
      </c>
      <c r="C605" s="1" t="n">
        <v>46180</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404-2023</t>
        </is>
      </c>
      <c r="B606" s="1" t="n">
        <v>44923</v>
      </c>
      <c r="C606" s="1" t="n">
        <v>46180</v>
      </c>
      <c r="D606" t="inlineStr">
        <is>
          <t>NORRBOTTENS LÄN</t>
        </is>
      </c>
      <c r="E606" t="inlineStr">
        <is>
          <t>GÄLLIVARE</t>
        </is>
      </c>
      <c r="G606" t="n">
        <v>1</v>
      </c>
      <c r="H606" t="n">
        <v>0</v>
      </c>
      <c r="I606" t="n">
        <v>0</v>
      </c>
      <c r="J606" t="n">
        <v>0</v>
      </c>
      <c r="K606" t="n">
        <v>0</v>
      </c>
      <c r="L606" t="n">
        <v>0</v>
      </c>
      <c r="M606" t="n">
        <v>0</v>
      </c>
      <c r="N606" t="n">
        <v>0</v>
      </c>
      <c r="O606" t="n">
        <v>0</v>
      </c>
      <c r="P606" t="n">
        <v>0</v>
      </c>
      <c r="Q606" t="n">
        <v>0</v>
      </c>
      <c r="R606" s="2" t="inlineStr"/>
    </row>
    <row r="607" ht="15" customHeight="1">
      <c r="A607" t="inlineStr">
        <is>
          <t>A 59695-2024</t>
        </is>
      </c>
      <c r="B607" s="1" t="n">
        <v>45639</v>
      </c>
      <c r="C607" s="1" t="n">
        <v>46180</v>
      </c>
      <c r="D607" t="inlineStr">
        <is>
          <t>NORRBOTTENS LÄN</t>
        </is>
      </c>
      <c r="E607" t="inlineStr">
        <is>
          <t>GÄLLIVARE</t>
        </is>
      </c>
      <c r="F607" t="inlineStr">
        <is>
          <t>Sveaskog</t>
        </is>
      </c>
      <c r="G607" t="n">
        <v>5.9</v>
      </c>
      <c r="H607" t="n">
        <v>0</v>
      </c>
      <c r="I607" t="n">
        <v>0</v>
      </c>
      <c r="J607" t="n">
        <v>0</v>
      </c>
      <c r="K607" t="n">
        <v>0</v>
      </c>
      <c r="L607" t="n">
        <v>0</v>
      </c>
      <c r="M607" t="n">
        <v>0</v>
      </c>
      <c r="N607" t="n">
        <v>0</v>
      </c>
      <c r="O607" t="n">
        <v>0</v>
      </c>
      <c r="P607" t="n">
        <v>0</v>
      </c>
      <c r="Q607" t="n">
        <v>0</v>
      </c>
      <c r="R607" s="2" t="inlineStr"/>
    </row>
    <row r="608" ht="15" customHeight="1">
      <c r="A608" t="inlineStr">
        <is>
          <t>A 59232-2024</t>
        </is>
      </c>
      <c r="B608" s="1" t="n">
        <v>45637</v>
      </c>
      <c r="C608" s="1" t="n">
        <v>46180</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15151-2025</t>
        </is>
      </c>
      <c r="B609" s="1" t="n">
        <v>45744</v>
      </c>
      <c r="C609" s="1" t="n">
        <v>46180</v>
      </c>
      <c r="D609" t="inlineStr">
        <is>
          <t>NORRBOTTENS LÄN</t>
        </is>
      </c>
      <c r="E609" t="inlineStr">
        <is>
          <t>GÄLLIVARE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3270-2025</t>
        </is>
      </c>
      <c r="B610" s="1" t="n">
        <v>45679</v>
      </c>
      <c r="C610" s="1" t="n">
        <v>46180</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9650-2024</t>
        </is>
      </c>
      <c r="B611" s="1" t="n">
        <v>45362</v>
      </c>
      <c r="C611" s="1" t="n">
        <v>46180</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16952-2023</t>
        </is>
      </c>
      <c r="B612" s="1" t="n">
        <v>45033</v>
      </c>
      <c r="C612" s="1" t="n">
        <v>46180</v>
      </c>
      <c r="D612" t="inlineStr">
        <is>
          <t>NORRBOTTENS LÄN</t>
        </is>
      </c>
      <c r="E612" t="inlineStr">
        <is>
          <t>GÄLLIVARE</t>
        </is>
      </c>
      <c r="G612" t="n">
        <v>0.5</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46180</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38751-2024</t>
        </is>
      </c>
      <c r="B614" s="1" t="n">
        <v>45547.42896990741</v>
      </c>
      <c r="C614" s="1" t="n">
        <v>46180</v>
      </c>
      <c r="D614" t="inlineStr">
        <is>
          <t>NORRBOTTENS LÄN</t>
        </is>
      </c>
      <c r="E614" t="inlineStr">
        <is>
          <t>GÄLLIVARE</t>
        </is>
      </c>
      <c r="G614" t="n">
        <v>2.3</v>
      </c>
      <c r="H614" t="n">
        <v>0</v>
      </c>
      <c r="I614" t="n">
        <v>0</v>
      </c>
      <c r="J614" t="n">
        <v>0</v>
      </c>
      <c r="K614" t="n">
        <v>0</v>
      </c>
      <c r="L614" t="n">
        <v>0</v>
      </c>
      <c r="M614" t="n">
        <v>0</v>
      </c>
      <c r="N614" t="n">
        <v>0</v>
      </c>
      <c r="O614" t="n">
        <v>0</v>
      </c>
      <c r="P614" t="n">
        <v>0</v>
      </c>
      <c r="Q614" t="n">
        <v>0</v>
      </c>
      <c r="R614" s="2" t="inlineStr"/>
    </row>
    <row r="615" ht="15" customHeight="1">
      <c r="A615" t="inlineStr">
        <is>
          <t>A 23774-2023</t>
        </is>
      </c>
      <c r="B615" s="1" t="n">
        <v>45077</v>
      </c>
      <c r="C615" s="1" t="n">
        <v>46180</v>
      </c>
      <c r="D615" t="inlineStr">
        <is>
          <t>NORRBOTTENS LÄN</t>
        </is>
      </c>
      <c r="E615" t="inlineStr">
        <is>
          <t>GÄLLIVARE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33847-2023</t>
        </is>
      </c>
      <c r="B616" s="1" t="n">
        <v>45121</v>
      </c>
      <c r="C616" s="1" t="n">
        <v>46180</v>
      </c>
      <c r="D616" t="inlineStr">
        <is>
          <t>NORRBOTTENS LÄN</t>
        </is>
      </c>
      <c r="E616" t="inlineStr">
        <is>
          <t>GÄLLIVARE</t>
        </is>
      </c>
      <c r="F616" t="inlineStr">
        <is>
          <t>Övriga statliga verk och myndigheter</t>
        </is>
      </c>
      <c r="G616" t="n">
        <v>3</v>
      </c>
      <c r="H616" t="n">
        <v>0</v>
      </c>
      <c r="I616" t="n">
        <v>0</v>
      </c>
      <c r="J616" t="n">
        <v>0</v>
      </c>
      <c r="K616" t="n">
        <v>0</v>
      </c>
      <c r="L616" t="n">
        <v>0</v>
      </c>
      <c r="M616" t="n">
        <v>0</v>
      </c>
      <c r="N616" t="n">
        <v>0</v>
      </c>
      <c r="O616" t="n">
        <v>0</v>
      </c>
      <c r="P616" t="n">
        <v>0</v>
      </c>
      <c r="Q616" t="n">
        <v>0</v>
      </c>
      <c r="R616" s="2" t="inlineStr"/>
    </row>
    <row r="617" ht="15" customHeight="1">
      <c r="A617" t="inlineStr">
        <is>
          <t>A 44398-2023</t>
        </is>
      </c>
      <c r="B617" s="1" t="n">
        <v>45188</v>
      </c>
      <c r="C617" s="1" t="n">
        <v>46180</v>
      </c>
      <c r="D617" t="inlineStr">
        <is>
          <t>NORRBOTTENS LÄN</t>
        </is>
      </c>
      <c r="E617" t="inlineStr">
        <is>
          <t>GÄLLIVARE</t>
        </is>
      </c>
      <c r="F617" t="inlineStr">
        <is>
          <t>SCA</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59703-2024</t>
        </is>
      </c>
      <c r="B618" s="1" t="n">
        <v>45639</v>
      </c>
      <c r="C618" s="1" t="n">
        <v>46180</v>
      </c>
      <c r="D618" t="inlineStr">
        <is>
          <t>NORRBOTTENS LÄN</t>
        </is>
      </c>
      <c r="E618" t="inlineStr">
        <is>
          <t>GÄLLIVARE</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12202-2024</t>
        </is>
      </c>
      <c r="B619" s="1" t="n">
        <v>45377.95069444444</v>
      </c>
      <c r="C619" s="1" t="n">
        <v>46180</v>
      </c>
      <c r="D619" t="inlineStr">
        <is>
          <t>NORRBOTTENS LÄN</t>
        </is>
      </c>
      <c r="E619" t="inlineStr">
        <is>
          <t>GÄLLIVARE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24581-2026</t>
        </is>
      </c>
      <c r="B620" s="1" t="n">
        <v>46170.65699074074</v>
      </c>
      <c r="C620" s="1" t="n">
        <v>46180</v>
      </c>
      <c r="D620" t="inlineStr">
        <is>
          <t>NORRBOTTENS LÄN</t>
        </is>
      </c>
      <c r="E620" t="inlineStr">
        <is>
          <t>GÄLLIVARE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25493-2024</t>
        </is>
      </c>
      <c r="B621" s="1" t="n">
        <v>45463</v>
      </c>
      <c r="C621" s="1" t="n">
        <v>46180</v>
      </c>
      <c r="D621" t="inlineStr">
        <is>
          <t>NORRBOTTENS LÄN</t>
        </is>
      </c>
      <c r="E621" t="inlineStr">
        <is>
          <t>GÄLLIVARE</t>
        </is>
      </c>
      <c r="G621" t="n">
        <v>5.5</v>
      </c>
      <c r="H621" t="n">
        <v>0</v>
      </c>
      <c r="I621" t="n">
        <v>0</v>
      </c>
      <c r="J621" t="n">
        <v>0</v>
      </c>
      <c r="K621" t="n">
        <v>0</v>
      </c>
      <c r="L621" t="n">
        <v>0</v>
      </c>
      <c r="M621" t="n">
        <v>0</v>
      </c>
      <c r="N621" t="n">
        <v>0</v>
      </c>
      <c r="O621" t="n">
        <v>0</v>
      </c>
      <c r="P621" t="n">
        <v>0</v>
      </c>
      <c r="Q621" t="n">
        <v>0</v>
      </c>
      <c r="R621" s="2" t="inlineStr"/>
    </row>
    <row r="622" ht="15" customHeight="1">
      <c r="A622" t="inlineStr">
        <is>
          <t>A 64238-2023</t>
        </is>
      </c>
      <c r="B622" s="1" t="n">
        <v>45279</v>
      </c>
      <c r="C622" s="1" t="n">
        <v>46180</v>
      </c>
      <c r="D622" t="inlineStr">
        <is>
          <t>NORRBOTTENS LÄN</t>
        </is>
      </c>
      <c r="E622" t="inlineStr">
        <is>
          <t>GÄLLIVARE</t>
        </is>
      </c>
      <c r="G622" t="n">
        <v>5.5</v>
      </c>
      <c r="H622" t="n">
        <v>0</v>
      </c>
      <c r="I622" t="n">
        <v>0</v>
      </c>
      <c r="J622" t="n">
        <v>0</v>
      </c>
      <c r="K622" t="n">
        <v>0</v>
      </c>
      <c r="L622" t="n">
        <v>0</v>
      </c>
      <c r="M622" t="n">
        <v>0</v>
      </c>
      <c r="N622" t="n">
        <v>0</v>
      </c>
      <c r="O622" t="n">
        <v>0</v>
      </c>
      <c r="P622" t="n">
        <v>0</v>
      </c>
      <c r="Q622" t="n">
        <v>0</v>
      </c>
      <c r="R622" s="2" t="inlineStr"/>
    </row>
    <row r="623" ht="15" customHeight="1">
      <c r="A623" t="inlineStr">
        <is>
          <t>A 48007-2024</t>
        </is>
      </c>
      <c r="B623" s="1" t="n">
        <v>45589</v>
      </c>
      <c r="C623" s="1" t="n">
        <v>46180</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4768-2023</t>
        </is>
      </c>
      <c r="B624" s="1" t="n">
        <v>44953</v>
      </c>
      <c r="C624" s="1" t="n">
        <v>46180</v>
      </c>
      <c r="D624" t="inlineStr">
        <is>
          <t>NORRBOTTENS LÄN</t>
        </is>
      </c>
      <c r="E624" t="inlineStr">
        <is>
          <t>GÄLLIVARE</t>
        </is>
      </c>
      <c r="G624" t="n">
        <v>7.9</v>
      </c>
      <c r="H624" t="n">
        <v>0</v>
      </c>
      <c r="I624" t="n">
        <v>0</v>
      </c>
      <c r="J624" t="n">
        <v>0</v>
      </c>
      <c r="K624" t="n">
        <v>0</v>
      </c>
      <c r="L624" t="n">
        <v>0</v>
      </c>
      <c r="M624" t="n">
        <v>0</v>
      </c>
      <c r="N624" t="n">
        <v>0</v>
      </c>
      <c r="O624" t="n">
        <v>0</v>
      </c>
      <c r="P624" t="n">
        <v>0</v>
      </c>
      <c r="Q624" t="n">
        <v>0</v>
      </c>
      <c r="R624" s="2" t="inlineStr"/>
    </row>
    <row r="625" ht="15" customHeight="1">
      <c r="A625" t="inlineStr">
        <is>
          <t>A 19683-2026</t>
        </is>
      </c>
      <c r="B625" s="1" t="n">
        <v>46134.65684027778</v>
      </c>
      <c r="C625" s="1" t="n">
        <v>46180</v>
      </c>
      <c r="D625" t="inlineStr">
        <is>
          <t>NORRBOTTENS LÄN</t>
        </is>
      </c>
      <c r="E625" t="inlineStr">
        <is>
          <t>GÄLLIVARE</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17547-2026</t>
        </is>
      </c>
      <c r="B626" s="1" t="n">
        <v>46120</v>
      </c>
      <c r="C626" s="1" t="n">
        <v>46180</v>
      </c>
      <c r="D626" t="inlineStr">
        <is>
          <t>NORRBOTTENS LÄN</t>
        </is>
      </c>
      <c r="E626" t="inlineStr">
        <is>
          <t>GÄLLIVARE</t>
        </is>
      </c>
      <c r="G626" t="n">
        <v>47.4</v>
      </c>
      <c r="H626" t="n">
        <v>0</v>
      </c>
      <c r="I626" t="n">
        <v>0</v>
      </c>
      <c r="J626" t="n">
        <v>0</v>
      </c>
      <c r="K626" t="n">
        <v>0</v>
      </c>
      <c r="L626" t="n">
        <v>0</v>
      </c>
      <c r="M626" t="n">
        <v>0</v>
      </c>
      <c r="N626" t="n">
        <v>0</v>
      </c>
      <c r="O626" t="n">
        <v>0</v>
      </c>
      <c r="P626" t="n">
        <v>0</v>
      </c>
      <c r="Q626" t="n">
        <v>0</v>
      </c>
      <c r="R626" s="2" t="inlineStr"/>
    </row>
    <row r="627" ht="15" customHeight="1">
      <c r="A627" t="inlineStr">
        <is>
          <t>A 25102-2026</t>
        </is>
      </c>
      <c r="B627" s="1" t="n">
        <v>46175.34549768519</v>
      </c>
      <c r="C627" s="1" t="n">
        <v>46180</v>
      </c>
      <c r="D627" t="inlineStr">
        <is>
          <t>NORRBOTTENS LÄN</t>
        </is>
      </c>
      <c r="E627" t="inlineStr">
        <is>
          <t>GÄLLIVARE</t>
        </is>
      </c>
      <c r="G627" t="n">
        <v>2.9</v>
      </c>
      <c r="H627" t="n">
        <v>0</v>
      </c>
      <c r="I627" t="n">
        <v>0</v>
      </c>
      <c r="J627" t="n">
        <v>0</v>
      </c>
      <c r="K627" t="n">
        <v>0</v>
      </c>
      <c r="L627" t="n">
        <v>0</v>
      </c>
      <c r="M627" t="n">
        <v>0</v>
      </c>
      <c r="N627" t="n">
        <v>0</v>
      </c>
      <c r="O627" t="n">
        <v>0</v>
      </c>
      <c r="P627" t="n">
        <v>0</v>
      </c>
      <c r="Q627" t="n">
        <v>0</v>
      </c>
      <c r="R627" s="2" t="inlineStr"/>
    </row>
    <row r="628" ht="15" customHeight="1">
      <c r="A628" t="inlineStr">
        <is>
          <t>A 25103-2026</t>
        </is>
      </c>
      <c r="B628" s="1" t="n">
        <v>46175.34555555556</v>
      </c>
      <c r="C628" s="1" t="n">
        <v>46180</v>
      </c>
      <c r="D628" t="inlineStr">
        <is>
          <t>NORRBOTTENS LÄN</t>
        </is>
      </c>
      <c r="E628" t="inlineStr">
        <is>
          <t>GÄLLIVARE</t>
        </is>
      </c>
      <c r="G628" t="n">
        <v>5</v>
      </c>
      <c r="H628" t="n">
        <v>0</v>
      </c>
      <c r="I628" t="n">
        <v>0</v>
      </c>
      <c r="J628" t="n">
        <v>0</v>
      </c>
      <c r="K628" t="n">
        <v>0</v>
      </c>
      <c r="L628" t="n">
        <v>0</v>
      </c>
      <c r="M628" t="n">
        <v>0</v>
      </c>
      <c r="N628" t="n">
        <v>0</v>
      </c>
      <c r="O628" t="n">
        <v>0</v>
      </c>
      <c r="P628" t="n">
        <v>0</v>
      </c>
      <c r="Q628" t="n">
        <v>0</v>
      </c>
      <c r="R628" s="2" t="inlineStr"/>
    </row>
    <row r="629" ht="15" customHeight="1">
      <c r="A629" t="inlineStr">
        <is>
          <t>A 19573-2026</t>
        </is>
      </c>
      <c r="B629" s="1" t="n">
        <v>46134</v>
      </c>
      <c r="C629" s="1" t="n">
        <v>46180</v>
      </c>
      <c r="D629" t="inlineStr">
        <is>
          <t>NORRBOTTENS LÄN</t>
        </is>
      </c>
      <c r="E629" t="inlineStr">
        <is>
          <t>GÄLLIVARE</t>
        </is>
      </c>
      <c r="F629" t="inlineStr">
        <is>
          <t>SCA</t>
        </is>
      </c>
      <c r="G629" t="n">
        <v>16.8</v>
      </c>
      <c r="H629" t="n">
        <v>0</v>
      </c>
      <c r="I629" t="n">
        <v>0</v>
      </c>
      <c r="J629" t="n">
        <v>0</v>
      </c>
      <c r="K629" t="n">
        <v>0</v>
      </c>
      <c r="L629" t="n">
        <v>0</v>
      </c>
      <c r="M629" t="n">
        <v>0</v>
      </c>
      <c r="N629" t="n">
        <v>0</v>
      </c>
      <c r="O629" t="n">
        <v>0</v>
      </c>
      <c r="P629" t="n">
        <v>0</v>
      </c>
      <c r="Q629" t="n">
        <v>0</v>
      </c>
      <c r="R629" s="2" t="inlineStr"/>
    </row>
    <row r="630" ht="15" customHeight="1">
      <c r="A630" t="inlineStr">
        <is>
          <t>A 11008-2025</t>
        </is>
      </c>
      <c r="B630" s="1" t="n">
        <v>45723</v>
      </c>
      <c r="C630" s="1" t="n">
        <v>46180</v>
      </c>
      <c r="D630" t="inlineStr">
        <is>
          <t>NORRBOTTENS LÄN</t>
        </is>
      </c>
      <c r="E630" t="inlineStr">
        <is>
          <t>GÄLLIVARE</t>
        </is>
      </c>
      <c r="G630" t="n">
        <v>20.6</v>
      </c>
      <c r="H630" t="n">
        <v>0</v>
      </c>
      <c r="I630" t="n">
        <v>0</v>
      </c>
      <c r="J630" t="n">
        <v>0</v>
      </c>
      <c r="K630" t="n">
        <v>0</v>
      </c>
      <c r="L630" t="n">
        <v>0</v>
      </c>
      <c r="M630" t="n">
        <v>0</v>
      </c>
      <c r="N630" t="n">
        <v>0</v>
      </c>
      <c r="O630" t="n">
        <v>0</v>
      </c>
      <c r="P630" t="n">
        <v>0</v>
      </c>
      <c r="Q630" t="n">
        <v>0</v>
      </c>
      <c r="R630" s="2" t="inlineStr"/>
    </row>
    <row r="631" ht="15" customHeight="1">
      <c r="A631" t="inlineStr">
        <is>
          <t>A 55466-2023</t>
        </is>
      </c>
      <c r="B631" s="1" t="n">
        <v>45238</v>
      </c>
      <c r="C631" s="1" t="n">
        <v>46180</v>
      </c>
      <c r="D631" t="inlineStr">
        <is>
          <t>NORRBOTTENS LÄN</t>
        </is>
      </c>
      <c r="E631" t="inlineStr">
        <is>
          <t>GÄLLIVARE</t>
        </is>
      </c>
      <c r="G631" t="n">
        <v>5.1</v>
      </c>
      <c r="H631" t="n">
        <v>0</v>
      </c>
      <c r="I631" t="n">
        <v>0</v>
      </c>
      <c r="J631" t="n">
        <v>0</v>
      </c>
      <c r="K631" t="n">
        <v>0</v>
      </c>
      <c r="L631" t="n">
        <v>0</v>
      </c>
      <c r="M631" t="n">
        <v>0</v>
      </c>
      <c r="N631" t="n">
        <v>0</v>
      </c>
      <c r="O631" t="n">
        <v>0</v>
      </c>
      <c r="P631" t="n">
        <v>0</v>
      </c>
      <c r="Q631" t="n">
        <v>0</v>
      </c>
      <c r="R631" s="2" t="inlineStr"/>
    </row>
    <row r="632" ht="15" customHeight="1">
      <c r="A632" t="inlineStr">
        <is>
          <t>A 62949-2023</t>
        </is>
      </c>
      <c r="B632" s="1" t="n">
        <v>45272.54651620371</v>
      </c>
      <c r="C632" s="1" t="n">
        <v>46180</v>
      </c>
      <c r="D632" t="inlineStr">
        <is>
          <t>NORRBOTTENS LÄN</t>
        </is>
      </c>
      <c r="E632" t="inlineStr">
        <is>
          <t>GÄLLIVARE</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19380-2026</t>
        </is>
      </c>
      <c r="B633" s="1" t="n">
        <v>46133.55822916667</v>
      </c>
      <c r="C633" s="1" t="n">
        <v>46180</v>
      </c>
      <c r="D633" t="inlineStr">
        <is>
          <t>NORRBOTTENS LÄN</t>
        </is>
      </c>
      <c r="E633" t="inlineStr">
        <is>
          <t>GÄLLIVARE</t>
        </is>
      </c>
      <c r="G633" t="n">
        <v>4.2</v>
      </c>
      <c r="H633" t="n">
        <v>0</v>
      </c>
      <c r="I633" t="n">
        <v>0</v>
      </c>
      <c r="J633" t="n">
        <v>0</v>
      </c>
      <c r="K633" t="n">
        <v>0</v>
      </c>
      <c r="L633" t="n">
        <v>0</v>
      </c>
      <c r="M633" t="n">
        <v>0</v>
      </c>
      <c r="N633" t="n">
        <v>0</v>
      </c>
      <c r="O633" t="n">
        <v>0</v>
      </c>
      <c r="P633" t="n">
        <v>0</v>
      </c>
      <c r="Q633" t="n">
        <v>0</v>
      </c>
      <c r="R633" s="2" t="inlineStr"/>
    </row>
    <row r="634" ht="15" customHeight="1">
      <c r="A634" t="inlineStr">
        <is>
          <t>A 19377-2026</t>
        </is>
      </c>
      <c r="B634" s="1" t="n">
        <v>46133.55045138889</v>
      </c>
      <c r="C634" s="1" t="n">
        <v>46180</v>
      </c>
      <c r="D634" t="inlineStr">
        <is>
          <t>NORRBOTTENS LÄN</t>
        </is>
      </c>
      <c r="E634" t="inlineStr">
        <is>
          <t>GÄLLIVARE</t>
        </is>
      </c>
      <c r="G634" t="n">
        <v>10.9</v>
      </c>
      <c r="H634" t="n">
        <v>0</v>
      </c>
      <c r="I634" t="n">
        <v>0</v>
      </c>
      <c r="J634" t="n">
        <v>0</v>
      </c>
      <c r="K634" t="n">
        <v>0</v>
      </c>
      <c r="L634" t="n">
        <v>0</v>
      </c>
      <c r="M634" t="n">
        <v>0</v>
      </c>
      <c r="N634" t="n">
        <v>0</v>
      </c>
      <c r="O634" t="n">
        <v>0</v>
      </c>
      <c r="P634" t="n">
        <v>0</v>
      </c>
      <c r="Q634" t="n">
        <v>0</v>
      </c>
      <c r="R634" s="2" t="inlineStr"/>
    </row>
    <row r="635" ht="15" customHeight="1">
      <c r="A635" t="inlineStr">
        <is>
          <t>A 19381-2026</t>
        </is>
      </c>
      <c r="B635" s="1" t="n">
        <v>46133</v>
      </c>
      <c r="C635" s="1" t="n">
        <v>46180</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51451-2023</t>
        </is>
      </c>
      <c r="B636" s="1" t="n">
        <v>45215</v>
      </c>
      <c r="C636" s="1" t="n">
        <v>46180</v>
      </c>
      <c r="D636" t="inlineStr">
        <is>
          <t>NORRBOTTENS LÄN</t>
        </is>
      </c>
      <c r="E636" t="inlineStr">
        <is>
          <t>GÄLLIVARE</t>
        </is>
      </c>
      <c r="G636" t="n">
        <v>4.1</v>
      </c>
      <c r="H636" t="n">
        <v>0</v>
      </c>
      <c r="I636" t="n">
        <v>0</v>
      </c>
      <c r="J636" t="n">
        <v>0</v>
      </c>
      <c r="K636" t="n">
        <v>0</v>
      </c>
      <c r="L636" t="n">
        <v>0</v>
      </c>
      <c r="M636" t="n">
        <v>0</v>
      </c>
      <c r="N636" t="n">
        <v>0</v>
      </c>
      <c r="O636" t="n">
        <v>0</v>
      </c>
      <c r="P636" t="n">
        <v>0</v>
      </c>
      <c r="Q636" t="n">
        <v>0</v>
      </c>
      <c r="R636" s="2" t="inlineStr"/>
    </row>
    <row r="637" ht="15" customHeight="1">
      <c r="A637" t="inlineStr">
        <is>
          <t>A 50553-2024</t>
        </is>
      </c>
      <c r="B637" s="1" t="n">
        <v>45601.59490740741</v>
      </c>
      <c r="C637" s="1" t="n">
        <v>46180</v>
      </c>
      <c r="D637" t="inlineStr">
        <is>
          <t>NORRBOTTENS LÄN</t>
        </is>
      </c>
      <c r="E637" t="inlineStr">
        <is>
          <t>GÄLLIVARE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7651-2025</t>
        </is>
      </c>
      <c r="B638" s="1" t="n">
        <v>45705</v>
      </c>
      <c r="C638" s="1" t="n">
        <v>46180</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23613-2024</t>
        </is>
      </c>
      <c r="B639" s="1" t="n">
        <v>45454</v>
      </c>
      <c r="C639" s="1" t="n">
        <v>46180</v>
      </c>
      <c r="D639" t="inlineStr">
        <is>
          <t>NORRBOTTENS LÄN</t>
        </is>
      </c>
      <c r="E639" t="inlineStr">
        <is>
          <t>GÄLLIVARE</t>
        </is>
      </c>
      <c r="G639" t="n">
        <v>2.9</v>
      </c>
      <c r="H639" t="n">
        <v>0</v>
      </c>
      <c r="I639" t="n">
        <v>0</v>
      </c>
      <c r="J639" t="n">
        <v>0</v>
      </c>
      <c r="K639" t="n">
        <v>0</v>
      </c>
      <c r="L639" t="n">
        <v>0</v>
      </c>
      <c r="M639" t="n">
        <v>0</v>
      </c>
      <c r="N639" t="n">
        <v>0</v>
      </c>
      <c r="O639" t="n">
        <v>0</v>
      </c>
      <c r="P639" t="n">
        <v>0</v>
      </c>
      <c r="Q639" t="n">
        <v>0</v>
      </c>
      <c r="R639" s="2" t="inlineStr"/>
    </row>
    <row r="640" ht="15" customHeight="1">
      <c r="A640" t="inlineStr">
        <is>
          <t>A 43109-2023</t>
        </is>
      </c>
      <c r="B640" s="1" t="n">
        <v>45182.94725694445</v>
      </c>
      <c r="C640" s="1" t="n">
        <v>46180</v>
      </c>
      <c r="D640" t="inlineStr">
        <is>
          <t>NORRBOTTENS LÄN</t>
        </is>
      </c>
      <c r="E640" t="inlineStr">
        <is>
          <t>GÄLLIVARE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20884-2025</t>
        </is>
      </c>
      <c r="B641" s="1" t="n">
        <v>45777</v>
      </c>
      <c r="C641" s="1" t="n">
        <v>46180</v>
      </c>
      <c r="D641" t="inlineStr">
        <is>
          <t>NORRBOTTENS LÄN</t>
        </is>
      </c>
      <c r="E641" t="inlineStr">
        <is>
          <t>GÄLLIVARE</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59680-2024</t>
        </is>
      </c>
      <c r="B642" s="1" t="n">
        <v>45639</v>
      </c>
      <c r="C642" s="1" t="n">
        <v>46180</v>
      </c>
      <c r="D642" t="inlineStr">
        <is>
          <t>NORRBOTTENS LÄN</t>
        </is>
      </c>
      <c r="E642" t="inlineStr">
        <is>
          <t>GÄLLIVARE</t>
        </is>
      </c>
      <c r="F642" t="inlineStr">
        <is>
          <t>Sveaskog</t>
        </is>
      </c>
      <c r="G642" t="n">
        <v>14.4</v>
      </c>
      <c r="H642" t="n">
        <v>0</v>
      </c>
      <c r="I642" t="n">
        <v>0</v>
      </c>
      <c r="J642" t="n">
        <v>0</v>
      </c>
      <c r="K642" t="n">
        <v>0</v>
      </c>
      <c r="L642" t="n">
        <v>0</v>
      </c>
      <c r="M642" t="n">
        <v>0</v>
      </c>
      <c r="N642" t="n">
        <v>0</v>
      </c>
      <c r="O642" t="n">
        <v>0</v>
      </c>
      <c r="P642" t="n">
        <v>0</v>
      </c>
      <c r="Q642" t="n">
        <v>0</v>
      </c>
      <c r="R642" s="2" t="inlineStr"/>
    </row>
    <row r="643" ht="15" customHeight="1">
      <c r="A643" t="inlineStr">
        <is>
          <t>A 21246-2025</t>
        </is>
      </c>
      <c r="B643" s="1" t="n">
        <v>45779</v>
      </c>
      <c r="C643" s="1" t="n">
        <v>46180</v>
      </c>
      <c r="D643" t="inlineStr">
        <is>
          <t>NORRBOTTENS LÄN</t>
        </is>
      </c>
      <c r="E643" t="inlineStr">
        <is>
          <t>GÄLLIVARE</t>
        </is>
      </c>
      <c r="F643" t="inlineStr">
        <is>
          <t>SCA</t>
        </is>
      </c>
      <c r="G643" t="n">
        <v>16.6</v>
      </c>
      <c r="H643" t="n">
        <v>0</v>
      </c>
      <c r="I643" t="n">
        <v>0</v>
      </c>
      <c r="J643" t="n">
        <v>0</v>
      </c>
      <c r="K643" t="n">
        <v>0</v>
      </c>
      <c r="L643" t="n">
        <v>0</v>
      </c>
      <c r="M643" t="n">
        <v>0</v>
      </c>
      <c r="N643" t="n">
        <v>0</v>
      </c>
      <c r="O643" t="n">
        <v>0</v>
      </c>
      <c r="P643" t="n">
        <v>0</v>
      </c>
      <c r="Q643" t="n">
        <v>0</v>
      </c>
      <c r="R643" s="2" t="inlineStr"/>
    </row>
    <row r="644" ht="15" customHeight="1">
      <c r="A644" t="inlineStr">
        <is>
          <t>A 23607-2025</t>
        </is>
      </c>
      <c r="B644" s="1" t="n">
        <v>45792.65668981482</v>
      </c>
      <c r="C644" s="1" t="n">
        <v>46180</v>
      </c>
      <c r="D644" t="inlineStr">
        <is>
          <t>NORRBOTTENS LÄN</t>
        </is>
      </c>
      <c r="E644" t="inlineStr">
        <is>
          <t>GÄLLIVARE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23638-2025</t>
        </is>
      </c>
      <c r="B645" s="1" t="n">
        <v>45792</v>
      </c>
      <c r="C645" s="1" t="n">
        <v>46180</v>
      </c>
      <c r="D645" t="inlineStr">
        <is>
          <t>NORRBOTTENS LÄN</t>
        </is>
      </c>
      <c r="E645" t="inlineStr">
        <is>
          <t>GÄLLIVARE</t>
        </is>
      </c>
      <c r="F645" t="inlineStr">
        <is>
          <t>Allmännings- och besparingsskogar</t>
        </is>
      </c>
      <c r="G645" t="n">
        <v>19.3</v>
      </c>
      <c r="H645" t="n">
        <v>0</v>
      </c>
      <c r="I645" t="n">
        <v>0</v>
      </c>
      <c r="J645" t="n">
        <v>0</v>
      </c>
      <c r="K645" t="n">
        <v>0</v>
      </c>
      <c r="L645" t="n">
        <v>0</v>
      </c>
      <c r="M645" t="n">
        <v>0</v>
      </c>
      <c r="N645" t="n">
        <v>0</v>
      </c>
      <c r="O645" t="n">
        <v>0</v>
      </c>
      <c r="P645" t="n">
        <v>0</v>
      </c>
      <c r="Q645" t="n">
        <v>0</v>
      </c>
      <c r="R645" s="2" t="inlineStr"/>
    </row>
    <row r="646" ht="15" customHeight="1">
      <c r="A646" t="inlineStr">
        <is>
          <t>A 24139-2025</t>
        </is>
      </c>
      <c r="B646" s="1" t="n">
        <v>45796</v>
      </c>
      <c r="C646" s="1" t="n">
        <v>46180</v>
      </c>
      <c r="D646" t="inlineStr">
        <is>
          <t>NORRBOTTENS LÄN</t>
        </is>
      </c>
      <c r="E646" t="inlineStr">
        <is>
          <t>GÄLLIVARE</t>
        </is>
      </c>
      <c r="G646" t="n">
        <v>1.6</v>
      </c>
      <c r="H646" t="n">
        <v>0</v>
      </c>
      <c r="I646" t="n">
        <v>0</v>
      </c>
      <c r="J646" t="n">
        <v>0</v>
      </c>
      <c r="K646" t="n">
        <v>0</v>
      </c>
      <c r="L646" t="n">
        <v>0</v>
      </c>
      <c r="M646" t="n">
        <v>0</v>
      </c>
      <c r="N646" t="n">
        <v>0</v>
      </c>
      <c r="O646" t="n">
        <v>0</v>
      </c>
      <c r="P646" t="n">
        <v>0</v>
      </c>
      <c r="Q646" t="n">
        <v>0</v>
      </c>
      <c r="R646" s="2" t="inlineStr"/>
    </row>
    <row r="647" ht="15" customHeight="1">
      <c r="A647" t="inlineStr">
        <is>
          <t>A 5166-2025</t>
        </is>
      </c>
      <c r="B647" s="1" t="n">
        <v>45691</v>
      </c>
      <c r="C647" s="1" t="n">
        <v>46180</v>
      </c>
      <c r="D647" t="inlineStr">
        <is>
          <t>NORRBOTTENS LÄN</t>
        </is>
      </c>
      <c r="E647" t="inlineStr">
        <is>
          <t>GÄLLIVARE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24125-2025</t>
        </is>
      </c>
      <c r="B648" s="1" t="n">
        <v>45796</v>
      </c>
      <c r="C648" s="1" t="n">
        <v>46180</v>
      </c>
      <c r="D648" t="inlineStr">
        <is>
          <t>NORRBOTTENS LÄN</t>
        </is>
      </c>
      <c r="E648" t="inlineStr">
        <is>
          <t>GÄLLIVARE</t>
        </is>
      </c>
      <c r="F648" t="inlineStr">
        <is>
          <t>Allmännings- och besparingsskogar</t>
        </is>
      </c>
      <c r="G648" t="n">
        <v>7.4</v>
      </c>
      <c r="H648" t="n">
        <v>0</v>
      </c>
      <c r="I648" t="n">
        <v>0</v>
      </c>
      <c r="J648" t="n">
        <v>0</v>
      </c>
      <c r="K648" t="n">
        <v>0</v>
      </c>
      <c r="L648" t="n">
        <v>0</v>
      </c>
      <c r="M648" t="n">
        <v>0</v>
      </c>
      <c r="N648" t="n">
        <v>0</v>
      </c>
      <c r="O648" t="n">
        <v>0</v>
      </c>
      <c r="P648" t="n">
        <v>0</v>
      </c>
      <c r="Q648" t="n">
        <v>0</v>
      </c>
      <c r="R648" s="2" t="inlineStr"/>
    </row>
    <row r="649">
      <c r="A649" t="inlineStr">
        <is>
          <t>A 16800-2026</t>
        </is>
      </c>
      <c r="B649" s="1" t="n">
        <v>46113</v>
      </c>
      <c r="C649" s="1" t="n">
        <v>46180</v>
      </c>
      <c r="D649" t="inlineStr">
        <is>
          <t>NORRBOTTENS LÄN</t>
        </is>
      </c>
      <c r="E649" t="inlineStr">
        <is>
          <t>GÄLLIVARE</t>
        </is>
      </c>
      <c r="F649" t="inlineStr">
        <is>
          <t>SCA</t>
        </is>
      </c>
      <c r="G649" t="n">
        <v>10.8</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2026-06-07T10:37:04Z</dcterms:created>
  <dcterms:modified xmlns:dcterms="http://purl.org/dc/terms/" xmlns:xsi="http://www.w3.org/2001/XMLSchema-instance" xsi:type="dcterms:W3CDTF">2026-06-07T10:37:05Z</dcterms:modified>
</cp:coreProperties>
</file>