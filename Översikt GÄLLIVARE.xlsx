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45364</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45364</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45364</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28452-2020</t>
        </is>
      </c>
      <c r="B5" s="1" t="n">
        <v>43998</v>
      </c>
      <c r="C5" s="1" t="n">
        <v>45364</v>
      </c>
      <c r="D5" t="inlineStr">
        <is>
          <t>NORRBOTTENS LÄN</t>
        </is>
      </c>
      <c r="E5" t="inlineStr">
        <is>
          <t>GÄLLIVARE</t>
        </is>
      </c>
      <c r="F5" t="inlineStr">
        <is>
          <t>Sveaskog</t>
        </is>
      </c>
      <c r="G5" t="n">
        <v>17.4</v>
      </c>
      <c r="H5" t="n">
        <v>5</v>
      </c>
      <c r="I5" t="n">
        <v>5</v>
      </c>
      <c r="J5" t="n">
        <v>5</v>
      </c>
      <c r="K5" t="n">
        <v>5</v>
      </c>
      <c r="L5" t="n">
        <v>0</v>
      </c>
      <c r="M5" t="n">
        <v>0</v>
      </c>
      <c r="N5" t="n">
        <v>0</v>
      </c>
      <c r="O5" t="n">
        <v>10</v>
      </c>
      <c r="P5" t="n">
        <v>5</v>
      </c>
      <c r="Q5" t="n">
        <v>18</v>
      </c>
      <c r="R5" s="2" t="inlineStr">
        <is>
          <t>Fläckporing
Smalfotad taggsvamp
Tajgataggsvamp
Tallgråticka
Tallmusseron
Blå taggsvamp
Knottrig blåslav
Rödvingetrast
Vaddporing
Vitplätt
Gullgröppa
Plattlummer
Stuplav
Vedticka
Ögonpyrola
Grönsiska
Kungsfågel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45364</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45364</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45364</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45364</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45364</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45364</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45364</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45364</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45364</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45364</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45364</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45364</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45364</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45364</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45364</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45364</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45364</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45364</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45364</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45364</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5288-2023</t>
        </is>
      </c>
      <c r="B26" s="1" t="n">
        <v>44959</v>
      </c>
      <c r="C26" s="1" t="n">
        <v>45364</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26723-2023</t>
        </is>
      </c>
      <c r="B27" s="1" t="n">
        <v>45093</v>
      </c>
      <c r="C27" s="1" t="n">
        <v>45364</v>
      </c>
      <c r="D27" t="inlineStr">
        <is>
          <t>NORRBOTTENS LÄN</t>
        </is>
      </c>
      <c r="E27" t="inlineStr">
        <is>
          <t>GÄLLIVARE</t>
        </is>
      </c>
      <c r="F27" t="inlineStr">
        <is>
          <t>Sveaskog</t>
        </is>
      </c>
      <c r="G27" t="n">
        <v>10.4</v>
      </c>
      <c r="H27" t="n">
        <v>1</v>
      </c>
      <c r="I27" t="n">
        <v>0</v>
      </c>
      <c r="J27" t="n">
        <v>3</v>
      </c>
      <c r="K27" t="n">
        <v>0</v>
      </c>
      <c r="L27" t="n">
        <v>0</v>
      </c>
      <c r="M27" t="n">
        <v>0</v>
      </c>
      <c r="N27" t="n">
        <v>0</v>
      </c>
      <c r="O27" t="n">
        <v>3</v>
      </c>
      <c r="P27" t="n">
        <v>0</v>
      </c>
      <c r="Q27" t="n">
        <v>4</v>
      </c>
      <c r="R27" s="2" t="inlineStr">
        <is>
          <t>Granticka
Ullticka
Violmussling
Kungsfågel</t>
        </is>
      </c>
      <c r="S27">
        <f>HYPERLINK("https://klasma.github.io/Logging_2523/artfynd/A 26723-2023 artfynd.xlsx", "A 26723-2023")</f>
        <v/>
      </c>
      <c r="T27">
        <f>HYPERLINK("https://klasma.github.io/Logging_2523/kartor/A 26723-2023 karta.png", "A 26723-2023")</f>
        <v/>
      </c>
      <c r="V27">
        <f>HYPERLINK("https://klasma.github.io/Logging_2523/klagomål/A 26723-2023 FSC-klagomål.docx", "A 26723-2023")</f>
        <v/>
      </c>
      <c r="W27">
        <f>HYPERLINK("https://klasma.github.io/Logging_2523/klagomålsmail/A 26723-2023 FSC-klagomål mail.docx", "A 26723-2023")</f>
        <v/>
      </c>
      <c r="X27">
        <f>HYPERLINK("https://klasma.github.io/Logging_2523/tillsyn/A 26723-2023 tillsynsbegäran.docx", "A 26723-2023")</f>
        <v/>
      </c>
      <c r="Y27">
        <f>HYPERLINK("https://klasma.github.io/Logging_2523/tillsynsmail/A 26723-2023 tillsynsbegäran mail.docx", "A 26723-2023")</f>
        <v/>
      </c>
      <c r="Z27">
        <f>HYPERLINK("https://klasma.github.io/Logging_2523/fåglar/A 26723-2023 prioriterade fågelarter.docx", "A 26723-2023")</f>
        <v/>
      </c>
    </row>
    <row r="28" ht="15" customHeight="1">
      <c r="A28" t="inlineStr">
        <is>
          <t>A 62895-2023</t>
        </is>
      </c>
      <c r="B28" s="1" t="n">
        <v>45272</v>
      </c>
      <c r="C28" s="1" t="n">
        <v>45364</v>
      </c>
      <c r="D28" t="inlineStr">
        <is>
          <t>NORRBOTTENS LÄN</t>
        </is>
      </c>
      <c r="E28" t="inlineStr">
        <is>
          <t>GÄLLIVARE</t>
        </is>
      </c>
      <c r="F28" t="inlineStr">
        <is>
          <t>Sveaskog</t>
        </is>
      </c>
      <c r="G28" t="n">
        <v>14.3</v>
      </c>
      <c r="H28" t="n">
        <v>0</v>
      </c>
      <c r="I28" t="n">
        <v>2</v>
      </c>
      <c r="J28" t="n">
        <v>2</v>
      </c>
      <c r="K28" t="n">
        <v>0</v>
      </c>
      <c r="L28" t="n">
        <v>0</v>
      </c>
      <c r="M28" t="n">
        <v>0</v>
      </c>
      <c r="N28" t="n">
        <v>0</v>
      </c>
      <c r="O28" t="n">
        <v>2</v>
      </c>
      <c r="P28" t="n">
        <v>0</v>
      </c>
      <c r="Q28" t="n">
        <v>4</v>
      </c>
      <c r="R28" s="2" t="inlineStr">
        <is>
          <t>Blå taggsvamp
Orange taggsvamp
Dropptaggsvamp
Skarp dropptaggsvamp</t>
        </is>
      </c>
      <c r="S28">
        <f>HYPERLINK("https://klasma.github.io/Logging_2523/artfynd/A 62895-2023 artfynd.xlsx", "A 62895-2023")</f>
        <v/>
      </c>
      <c r="T28">
        <f>HYPERLINK("https://klasma.github.io/Logging_2523/kartor/A 62895-2023 karta.png", "A 62895-2023")</f>
        <v/>
      </c>
      <c r="V28">
        <f>HYPERLINK("https://klasma.github.io/Logging_2523/klagomål/A 62895-2023 FSC-klagomål.docx", "A 62895-2023")</f>
        <v/>
      </c>
      <c r="W28">
        <f>HYPERLINK("https://klasma.github.io/Logging_2523/klagomålsmail/A 62895-2023 FSC-klagomål mail.docx", "A 62895-2023")</f>
        <v/>
      </c>
      <c r="X28">
        <f>HYPERLINK("https://klasma.github.io/Logging_2523/tillsyn/A 62895-2023 tillsynsbegäran.docx", "A 62895-2023")</f>
        <v/>
      </c>
      <c r="Y28">
        <f>HYPERLINK("https://klasma.github.io/Logging_2523/tillsynsmail/A 62895-2023 tillsynsbegäran mail.docx", "A 62895-2023")</f>
        <v/>
      </c>
    </row>
    <row r="29" ht="15" customHeight="1">
      <c r="A29" t="inlineStr">
        <is>
          <t>A 35090-2022</t>
        </is>
      </c>
      <c r="B29" s="1" t="n">
        <v>44797</v>
      </c>
      <c r="C29" s="1" t="n">
        <v>45364</v>
      </c>
      <c r="D29" t="inlineStr">
        <is>
          <t>NORRBOTTENS LÄN</t>
        </is>
      </c>
      <c r="E29" t="inlineStr">
        <is>
          <t>GÄLLIVARE</t>
        </is>
      </c>
      <c r="G29" t="n">
        <v>6.8</v>
      </c>
      <c r="H29" t="n">
        <v>0</v>
      </c>
      <c r="I29" t="n">
        <v>0</v>
      </c>
      <c r="J29" t="n">
        <v>2</v>
      </c>
      <c r="K29" t="n">
        <v>1</v>
      </c>
      <c r="L29" t="n">
        <v>0</v>
      </c>
      <c r="M29" t="n">
        <v>0</v>
      </c>
      <c r="N29" t="n">
        <v>0</v>
      </c>
      <c r="O29" t="n">
        <v>3</v>
      </c>
      <c r="P29" t="n">
        <v>1</v>
      </c>
      <c r="Q29" t="n">
        <v>3</v>
      </c>
      <c r="R29" s="2" t="inlineStr">
        <is>
          <t>Fläckporing
Garnlav
Violmussling</t>
        </is>
      </c>
      <c r="S29">
        <f>HYPERLINK("https://klasma.github.io/Logging_2523/artfynd/A 35090-2022 artfynd.xlsx", "A 35090-2022")</f>
        <v/>
      </c>
      <c r="T29">
        <f>HYPERLINK("https://klasma.github.io/Logging_2523/kartor/A 35090-2022 karta.png", "A 35090-2022")</f>
        <v/>
      </c>
      <c r="V29">
        <f>HYPERLINK("https://klasma.github.io/Logging_2523/klagomål/A 35090-2022 FSC-klagomål.docx", "A 35090-2022")</f>
        <v/>
      </c>
      <c r="W29">
        <f>HYPERLINK("https://klasma.github.io/Logging_2523/klagomålsmail/A 35090-2022 FSC-klagomål mail.docx", "A 35090-2022")</f>
        <v/>
      </c>
      <c r="X29">
        <f>HYPERLINK("https://klasma.github.io/Logging_2523/tillsyn/A 35090-2022 tillsynsbegäran.docx", "A 35090-2022")</f>
        <v/>
      </c>
      <c r="Y29">
        <f>HYPERLINK("https://klasma.github.io/Logging_2523/tillsynsmail/A 35090-2022 tillsynsbegäran mail.docx", "A 35090-2022")</f>
        <v/>
      </c>
    </row>
    <row r="30" ht="15" customHeight="1">
      <c r="A30" t="inlineStr">
        <is>
          <t>A 14482-2023</t>
        </is>
      </c>
      <c r="B30" s="1" t="n">
        <v>45012</v>
      </c>
      <c r="C30" s="1" t="n">
        <v>45364</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41654-2023</t>
        </is>
      </c>
      <c r="B31" s="1" t="n">
        <v>45175</v>
      </c>
      <c r="C31" s="1" t="n">
        <v>45364</v>
      </c>
      <c r="D31" t="inlineStr">
        <is>
          <t>NORRBOTTENS LÄN</t>
        </is>
      </c>
      <c r="E31" t="inlineStr">
        <is>
          <t>GÄLLIVARE</t>
        </is>
      </c>
      <c r="F31" t="inlineStr">
        <is>
          <t>SCA</t>
        </is>
      </c>
      <c r="G31" t="n">
        <v>7.3</v>
      </c>
      <c r="H31" t="n">
        <v>0</v>
      </c>
      <c r="I31" t="n">
        <v>1</v>
      </c>
      <c r="J31" t="n">
        <v>2</v>
      </c>
      <c r="K31" t="n">
        <v>0</v>
      </c>
      <c r="L31" t="n">
        <v>0</v>
      </c>
      <c r="M31" t="n">
        <v>0</v>
      </c>
      <c r="N31" t="n">
        <v>0</v>
      </c>
      <c r="O31" t="n">
        <v>2</v>
      </c>
      <c r="P31" t="n">
        <v>0</v>
      </c>
      <c r="Q31" t="n">
        <v>3</v>
      </c>
      <c r="R31" s="2" t="inlineStr">
        <is>
          <t>Blå taggsvamp
Skrovlig taggsvamp
Dropptaggsvamp</t>
        </is>
      </c>
      <c r="S31">
        <f>HYPERLINK("https://klasma.github.io/Logging_2523/artfynd/A 41654-2023 artfynd.xlsx", "A 41654-2023")</f>
        <v/>
      </c>
      <c r="T31">
        <f>HYPERLINK("https://klasma.github.io/Logging_2523/kartor/A 41654-2023 karta.png", "A 41654-2023")</f>
        <v/>
      </c>
      <c r="V31">
        <f>HYPERLINK("https://klasma.github.io/Logging_2523/klagomål/A 41654-2023 FSC-klagomål.docx", "A 41654-2023")</f>
        <v/>
      </c>
      <c r="W31">
        <f>HYPERLINK("https://klasma.github.io/Logging_2523/klagomålsmail/A 41654-2023 FSC-klagomål mail.docx", "A 41654-2023")</f>
        <v/>
      </c>
      <c r="X31">
        <f>HYPERLINK("https://klasma.github.io/Logging_2523/tillsyn/A 41654-2023 tillsynsbegäran.docx", "A 41654-2023")</f>
        <v/>
      </c>
      <c r="Y31">
        <f>HYPERLINK("https://klasma.github.io/Logging_2523/tillsynsmail/A 41654-2023 tillsynsbegäran mail.docx", "A 41654-2023")</f>
        <v/>
      </c>
    </row>
    <row r="32" ht="15" customHeight="1">
      <c r="A32" t="inlineStr">
        <is>
          <t>A 43414-2023</t>
        </is>
      </c>
      <c r="B32" s="1" t="n">
        <v>45183</v>
      </c>
      <c r="C32" s="1" t="n">
        <v>45364</v>
      </c>
      <c r="D32" t="inlineStr">
        <is>
          <t>NORRBOTTENS LÄN</t>
        </is>
      </c>
      <c r="E32" t="inlineStr">
        <is>
          <t>GÄLLIVARE</t>
        </is>
      </c>
      <c r="F32" t="inlineStr">
        <is>
          <t>SCA</t>
        </is>
      </c>
      <c r="G32" t="n">
        <v>18.5</v>
      </c>
      <c r="H32" t="n">
        <v>1</v>
      </c>
      <c r="I32" t="n">
        <v>0</v>
      </c>
      <c r="J32" t="n">
        <v>0</v>
      </c>
      <c r="K32" t="n">
        <v>1</v>
      </c>
      <c r="L32" t="n">
        <v>1</v>
      </c>
      <c r="M32" t="n">
        <v>0</v>
      </c>
      <c r="N32" t="n">
        <v>0</v>
      </c>
      <c r="O32" t="n">
        <v>2</v>
      </c>
      <c r="P32" t="n">
        <v>2</v>
      </c>
      <c r="Q32" t="n">
        <v>3</v>
      </c>
      <c r="R32" s="2" t="inlineStr">
        <is>
          <t>Urskogsticka
Gräddporing
Tjäder</t>
        </is>
      </c>
      <c r="S32">
        <f>HYPERLINK("https://klasma.github.io/Logging_2523/artfynd/A 43414-2023 artfynd.xlsx", "A 43414-2023")</f>
        <v/>
      </c>
      <c r="T32">
        <f>HYPERLINK("https://klasma.github.io/Logging_2523/kartor/A 43414-2023 karta.png", "A 43414-2023")</f>
        <v/>
      </c>
      <c r="V32">
        <f>HYPERLINK("https://klasma.github.io/Logging_2523/klagomål/A 43414-2023 FSC-klagomål.docx", "A 43414-2023")</f>
        <v/>
      </c>
      <c r="W32">
        <f>HYPERLINK("https://klasma.github.io/Logging_2523/klagomålsmail/A 43414-2023 FSC-klagomål mail.docx", "A 43414-2023")</f>
        <v/>
      </c>
      <c r="X32">
        <f>HYPERLINK("https://klasma.github.io/Logging_2523/tillsyn/A 43414-2023 tillsynsbegäran.docx", "A 43414-2023")</f>
        <v/>
      </c>
      <c r="Y32">
        <f>HYPERLINK("https://klasma.github.io/Logging_2523/tillsynsmail/A 43414-2023 tillsynsbegäran mail.docx", "A 43414-2023")</f>
        <v/>
      </c>
      <c r="Z32">
        <f>HYPERLINK("https://klasma.github.io/Logging_2523/fåglar/A 43414-2023 prioriterade fågelarter.docx", "A 43414-2023")</f>
        <v/>
      </c>
    </row>
    <row r="33" ht="15" customHeight="1">
      <c r="A33" t="inlineStr">
        <is>
          <t>A 51381-2023</t>
        </is>
      </c>
      <c r="B33" s="1" t="n">
        <v>45213</v>
      </c>
      <c r="C33" s="1" t="n">
        <v>45364</v>
      </c>
      <c r="D33" t="inlineStr">
        <is>
          <t>NORRBOTTENS LÄN</t>
        </is>
      </c>
      <c r="E33" t="inlineStr">
        <is>
          <t>GÄLLIVARE</t>
        </is>
      </c>
      <c r="G33" t="n">
        <v>9.1</v>
      </c>
      <c r="H33" t="n">
        <v>1</v>
      </c>
      <c r="I33" t="n">
        <v>0</v>
      </c>
      <c r="J33" t="n">
        <v>2</v>
      </c>
      <c r="K33" t="n">
        <v>0</v>
      </c>
      <c r="L33" t="n">
        <v>0</v>
      </c>
      <c r="M33" t="n">
        <v>0</v>
      </c>
      <c r="N33" t="n">
        <v>0</v>
      </c>
      <c r="O33" t="n">
        <v>2</v>
      </c>
      <c r="P33" t="n">
        <v>0</v>
      </c>
      <c r="Q33" t="n">
        <v>3</v>
      </c>
      <c r="R33" s="2" t="inlineStr">
        <is>
          <t>Kolflarnlav
Mörk kolflarnlav
Kungsfågel</t>
        </is>
      </c>
      <c r="S33">
        <f>HYPERLINK("https://klasma.github.io/Logging_2523/artfynd/A 51381-2023 artfynd.xlsx", "A 51381-2023")</f>
        <v/>
      </c>
      <c r="T33">
        <f>HYPERLINK("https://klasma.github.io/Logging_2523/kartor/A 51381-2023 karta.png", "A 51381-2023")</f>
        <v/>
      </c>
      <c r="V33">
        <f>HYPERLINK("https://klasma.github.io/Logging_2523/klagomål/A 51381-2023 FSC-klagomål.docx", "A 51381-2023")</f>
        <v/>
      </c>
      <c r="W33">
        <f>HYPERLINK("https://klasma.github.io/Logging_2523/klagomålsmail/A 51381-2023 FSC-klagomål mail.docx", "A 51381-2023")</f>
        <v/>
      </c>
      <c r="X33">
        <f>HYPERLINK("https://klasma.github.io/Logging_2523/tillsyn/A 51381-2023 tillsynsbegäran.docx", "A 51381-2023")</f>
        <v/>
      </c>
      <c r="Y33">
        <f>HYPERLINK("https://klasma.github.io/Logging_2523/tillsynsmail/A 51381-2023 tillsynsbegäran mail.docx", "A 51381-2023")</f>
        <v/>
      </c>
      <c r="Z33">
        <f>HYPERLINK("https://klasma.github.io/Logging_2523/fåglar/A 51381-2023 prioriterade fågelarter.docx", "A 51381-2023")</f>
        <v/>
      </c>
    </row>
    <row r="34" ht="15" customHeight="1">
      <c r="A34" t="inlineStr">
        <is>
          <t>A 50085-2018</t>
        </is>
      </c>
      <c r="B34" s="1" t="n">
        <v>43378</v>
      </c>
      <c r="C34" s="1" t="n">
        <v>45364</v>
      </c>
      <c r="D34" t="inlineStr">
        <is>
          <t>NORRBOTTENS LÄN</t>
        </is>
      </c>
      <c r="E34" t="inlineStr">
        <is>
          <t>GÄLLIVARE</t>
        </is>
      </c>
      <c r="F34" t="inlineStr">
        <is>
          <t>Sveaskog</t>
        </is>
      </c>
      <c r="G34" t="n">
        <v>15.7</v>
      </c>
      <c r="H34" t="n">
        <v>1</v>
      </c>
      <c r="I34" t="n">
        <v>0</v>
      </c>
      <c r="J34" t="n">
        <v>2</v>
      </c>
      <c r="K34" t="n">
        <v>0</v>
      </c>
      <c r="L34" t="n">
        <v>0</v>
      </c>
      <c r="M34" t="n">
        <v>0</v>
      </c>
      <c r="N34" t="n">
        <v>0</v>
      </c>
      <c r="O34" t="n">
        <v>2</v>
      </c>
      <c r="P34" t="n">
        <v>0</v>
      </c>
      <c r="Q34" t="n">
        <v>2</v>
      </c>
      <c r="R34" s="2" t="inlineStr">
        <is>
          <t>Reliktbock
Tretåig hackspett</t>
        </is>
      </c>
      <c r="S34">
        <f>HYPERLINK("https://klasma.github.io/Logging_2523/artfynd/A 50085-2018 artfynd.xlsx", "A 50085-2018")</f>
        <v/>
      </c>
      <c r="T34">
        <f>HYPERLINK("https://klasma.github.io/Logging_2523/kartor/A 50085-2018 karta.png", "A 50085-2018")</f>
        <v/>
      </c>
      <c r="V34">
        <f>HYPERLINK("https://klasma.github.io/Logging_2523/klagomål/A 50085-2018 FSC-klagomål.docx", "A 50085-2018")</f>
        <v/>
      </c>
      <c r="W34">
        <f>HYPERLINK("https://klasma.github.io/Logging_2523/klagomålsmail/A 50085-2018 FSC-klagomål mail.docx", "A 50085-2018")</f>
        <v/>
      </c>
      <c r="X34">
        <f>HYPERLINK("https://klasma.github.io/Logging_2523/tillsyn/A 50085-2018 tillsynsbegäran.docx", "A 50085-2018")</f>
        <v/>
      </c>
      <c r="Y34">
        <f>HYPERLINK("https://klasma.github.io/Logging_2523/tillsynsmail/A 50085-2018 tillsynsbegäran mail.docx", "A 50085-2018")</f>
        <v/>
      </c>
      <c r="Z34">
        <f>HYPERLINK("https://klasma.github.io/Logging_2523/fåglar/A 50085-2018 prioriterade fågelarter.docx", "A 50085-2018")</f>
        <v/>
      </c>
    </row>
    <row r="35" ht="15" customHeight="1">
      <c r="A35" t="inlineStr">
        <is>
          <t>A 65870-2018</t>
        </is>
      </c>
      <c r="B35" s="1" t="n">
        <v>43434</v>
      </c>
      <c r="C35" s="1" t="n">
        <v>45364</v>
      </c>
      <c r="D35" t="inlineStr">
        <is>
          <t>NORRBOTTENS LÄN</t>
        </is>
      </c>
      <c r="E35" t="inlineStr">
        <is>
          <t>GÄLLIVARE</t>
        </is>
      </c>
      <c r="F35" t="inlineStr">
        <is>
          <t>Sveaskog</t>
        </is>
      </c>
      <c r="G35" t="n">
        <v>4.8</v>
      </c>
      <c r="H35" t="n">
        <v>1</v>
      </c>
      <c r="I35" t="n">
        <v>0</v>
      </c>
      <c r="J35" t="n">
        <v>2</v>
      </c>
      <c r="K35" t="n">
        <v>0</v>
      </c>
      <c r="L35" t="n">
        <v>0</v>
      </c>
      <c r="M35" t="n">
        <v>0</v>
      </c>
      <c r="N35" t="n">
        <v>0</v>
      </c>
      <c r="O35" t="n">
        <v>2</v>
      </c>
      <c r="P35" t="n">
        <v>0</v>
      </c>
      <c r="Q35" t="n">
        <v>2</v>
      </c>
      <c r="R35" s="2" t="inlineStr">
        <is>
          <t>Garnlav
Lappmes</t>
        </is>
      </c>
      <c r="S35">
        <f>HYPERLINK("https://klasma.github.io/Logging_2523/artfynd/A 65870-2018 artfynd.xlsx", "A 65870-2018")</f>
        <v/>
      </c>
      <c r="T35">
        <f>HYPERLINK("https://klasma.github.io/Logging_2523/kartor/A 65870-2018 karta.png", "A 65870-2018")</f>
        <v/>
      </c>
      <c r="V35">
        <f>HYPERLINK("https://klasma.github.io/Logging_2523/klagomål/A 65870-2018 FSC-klagomål.docx", "A 65870-2018")</f>
        <v/>
      </c>
      <c r="W35">
        <f>HYPERLINK("https://klasma.github.io/Logging_2523/klagomålsmail/A 65870-2018 FSC-klagomål mail.docx", "A 65870-2018")</f>
        <v/>
      </c>
      <c r="X35">
        <f>HYPERLINK("https://klasma.github.io/Logging_2523/tillsyn/A 65870-2018 tillsynsbegäran.docx", "A 65870-2018")</f>
        <v/>
      </c>
      <c r="Y35">
        <f>HYPERLINK("https://klasma.github.io/Logging_2523/tillsynsmail/A 65870-2018 tillsynsbegäran mail.docx", "A 65870-2018")</f>
        <v/>
      </c>
      <c r="Z35">
        <f>HYPERLINK("https://klasma.github.io/Logging_2523/fåglar/A 65870-2018 prioriterade fågelarter.docx", "A 65870-2018")</f>
        <v/>
      </c>
    </row>
    <row r="36" ht="15" customHeight="1">
      <c r="A36" t="inlineStr">
        <is>
          <t>A 36554-2019</t>
        </is>
      </c>
      <c r="B36" s="1" t="n">
        <v>43671</v>
      </c>
      <c r="C36" s="1" t="n">
        <v>45364</v>
      </c>
      <c r="D36" t="inlineStr">
        <is>
          <t>NORRBOTTENS LÄN</t>
        </is>
      </c>
      <c r="E36" t="inlineStr">
        <is>
          <t>GÄLLIVARE</t>
        </is>
      </c>
      <c r="F36" t="inlineStr">
        <is>
          <t>Sveaskog</t>
        </is>
      </c>
      <c r="G36" t="n">
        <v>28.2</v>
      </c>
      <c r="H36" t="n">
        <v>0</v>
      </c>
      <c r="I36" t="n">
        <v>0</v>
      </c>
      <c r="J36" t="n">
        <v>1</v>
      </c>
      <c r="K36" t="n">
        <v>1</v>
      </c>
      <c r="L36" t="n">
        <v>0</v>
      </c>
      <c r="M36" t="n">
        <v>0</v>
      </c>
      <c r="N36" t="n">
        <v>0</v>
      </c>
      <c r="O36" t="n">
        <v>2</v>
      </c>
      <c r="P36" t="n">
        <v>1</v>
      </c>
      <c r="Q36" t="n">
        <v>2</v>
      </c>
      <c r="R36" s="2" t="inlineStr">
        <is>
          <t>Spadskinn
Tallticka</t>
        </is>
      </c>
      <c r="S36">
        <f>HYPERLINK("https://klasma.github.io/Logging_2523/artfynd/A 36554-2019 artfynd.xlsx", "A 36554-2019")</f>
        <v/>
      </c>
      <c r="T36">
        <f>HYPERLINK("https://klasma.github.io/Logging_2523/kartor/A 36554-2019 karta.png", "A 36554-2019")</f>
        <v/>
      </c>
      <c r="V36">
        <f>HYPERLINK("https://klasma.github.io/Logging_2523/klagomål/A 36554-2019 FSC-klagomål.docx", "A 36554-2019")</f>
        <v/>
      </c>
      <c r="W36">
        <f>HYPERLINK("https://klasma.github.io/Logging_2523/klagomålsmail/A 36554-2019 FSC-klagomål mail.docx", "A 36554-2019")</f>
        <v/>
      </c>
      <c r="X36">
        <f>HYPERLINK("https://klasma.github.io/Logging_2523/tillsyn/A 36554-2019 tillsynsbegäran.docx", "A 36554-2019")</f>
        <v/>
      </c>
      <c r="Y36">
        <f>HYPERLINK("https://klasma.github.io/Logging_2523/tillsynsmail/A 36554-2019 tillsynsbegäran mail.docx", "A 36554-2019")</f>
        <v/>
      </c>
    </row>
    <row r="37" ht="15" customHeight="1">
      <c r="A37" t="inlineStr">
        <is>
          <t>A 38649-2019</t>
        </is>
      </c>
      <c r="B37" s="1" t="n">
        <v>43686</v>
      </c>
      <c r="C37" s="1" t="n">
        <v>45364</v>
      </c>
      <c r="D37" t="inlineStr">
        <is>
          <t>NORRBOTTENS LÄN</t>
        </is>
      </c>
      <c r="E37" t="inlineStr">
        <is>
          <t>GÄLLIVARE</t>
        </is>
      </c>
      <c r="F37" t="inlineStr">
        <is>
          <t>Sveaskog</t>
        </is>
      </c>
      <c r="G37" t="n">
        <v>4.3</v>
      </c>
      <c r="H37" t="n">
        <v>1</v>
      </c>
      <c r="I37" t="n">
        <v>0</v>
      </c>
      <c r="J37" t="n">
        <v>1</v>
      </c>
      <c r="K37" t="n">
        <v>1</v>
      </c>
      <c r="L37" t="n">
        <v>0</v>
      </c>
      <c r="M37" t="n">
        <v>0</v>
      </c>
      <c r="N37" t="n">
        <v>0</v>
      </c>
      <c r="O37" t="n">
        <v>2</v>
      </c>
      <c r="P37" t="n">
        <v>1</v>
      </c>
      <c r="Q37" t="n">
        <v>2</v>
      </c>
      <c r="R37" s="2" t="inlineStr">
        <is>
          <t>Norna
Äggvaxskivling</t>
        </is>
      </c>
      <c r="S37">
        <f>HYPERLINK("https://klasma.github.io/Logging_2523/artfynd/A 38649-2019 artfynd.xlsx", "A 38649-2019")</f>
        <v/>
      </c>
      <c r="T37">
        <f>HYPERLINK("https://klasma.github.io/Logging_2523/kartor/A 38649-2019 karta.png", "A 38649-2019")</f>
        <v/>
      </c>
      <c r="V37">
        <f>HYPERLINK("https://klasma.github.io/Logging_2523/klagomål/A 38649-2019 FSC-klagomål.docx", "A 38649-2019")</f>
        <v/>
      </c>
      <c r="W37">
        <f>HYPERLINK("https://klasma.github.io/Logging_2523/klagomålsmail/A 38649-2019 FSC-klagomål mail.docx", "A 38649-2019")</f>
        <v/>
      </c>
      <c r="X37">
        <f>HYPERLINK("https://klasma.github.io/Logging_2523/tillsyn/A 38649-2019 tillsynsbegäran.docx", "A 38649-2019")</f>
        <v/>
      </c>
      <c r="Y37">
        <f>HYPERLINK("https://klasma.github.io/Logging_2523/tillsynsmail/A 38649-2019 tillsynsbegäran mail.docx", "A 38649-2019")</f>
        <v/>
      </c>
    </row>
    <row r="38" ht="15" customHeight="1">
      <c r="A38" t="inlineStr">
        <is>
          <t>A 55138-2019</t>
        </is>
      </c>
      <c r="B38" s="1" t="n">
        <v>43756</v>
      </c>
      <c r="C38" s="1" t="n">
        <v>45364</v>
      </c>
      <c r="D38" t="inlineStr">
        <is>
          <t>NORRBOTTENS LÄN</t>
        </is>
      </c>
      <c r="E38" t="inlineStr">
        <is>
          <t>GÄLLIVARE</t>
        </is>
      </c>
      <c r="F38" t="inlineStr">
        <is>
          <t>Sveaskog</t>
        </is>
      </c>
      <c r="G38" t="n">
        <v>14</v>
      </c>
      <c r="H38" t="n">
        <v>0</v>
      </c>
      <c r="I38" t="n">
        <v>0</v>
      </c>
      <c r="J38" t="n">
        <v>1</v>
      </c>
      <c r="K38" t="n">
        <v>1</v>
      </c>
      <c r="L38" t="n">
        <v>0</v>
      </c>
      <c r="M38" t="n">
        <v>0</v>
      </c>
      <c r="N38" t="n">
        <v>0</v>
      </c>
      <c r="O38" t="n">
        <v>2</v>
      </c>
      <c r="P38" t="n">
        <v>1</v>
      </c>
      <c r="Q38" t="n">
        <v>2</v>
      </c>
      <c r="R38" s="2" t="inlineStr">
        <is>
          <t>Fläckporing
Talltaggsvamp</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59350-2019</t>
        </is>
      </c>
      <c r="B39" s="1" t="n">
        <v>43773</v>
      </c>
      <c r="C39" s="1" t="n">
        <v>45364</v>
      </c>
      <c r="D39" t="inlineStr">
        <is>
          <t>NORRBOTTENS LÄN</t>
        </is>
      </c>
      <c r="E39" t="inlineStr">
        <is>
          <t>GÄLLIVARE</t>
        </is>
      </c>
      <c r="G39" t="n">
        <v>7.7</v>
      </c>
      <c r="H39" t="n">
        <v>0</v>
      </c>
      <c r="I39" t="n">
        <v>1</v>
      </c>
      <c r="J39" t="n">
        <v>1</v>
      </c>
      <c r="K39" t="n">
        <v>0</v>
      </c>
      <c r="L39" t="n">
        <v>0</v>
      </c>
      <c r="M39" t="n">
        <v>0</v>
      </c>
      <c r="N39" t="n">
        <v>0</v>
      </c>
      <c r="O39" t="n">
        <v>1</v>
      </c>
      <c r="P39" t="n">
        <v>0</v>
      </c>
      <c r="Q39" t="n">
        <v>2</v>
      </c>
      <c r="R39" s="2" t="inlineStr">
        <is>
          <t>Garnlav
Bårdlav</t>
        </is>
      </c>
      <c r="S39">
        <f>HYPERLINK("https://klasma.github.io/Logging_2523/artfynd/A 59350-2019 artfynd.xlsx", "A 59350-2019")</f>
        <v/>
      </c>
      <c r="T39">
        <f>HYPERLINK("https://klasma.github.io/Logging_2523/kartor/A 59350-2019 karta.png", "A 59350-2019")</f>
        <v/>
      </c>
      <c r="V39">
        <f>HYPERLINK("https://klasma.github.io/Logging_2523/klagomål/A 59350-2019 FSC-klagomål.docx", "A 59350-2019")</f>
        <v/>
      </c>
      <c r="W39">
        <f>HYPERLINK("https://klasma.github.io/Logging_2523/klagomålsmail/A 59350-2019 FSC-klagomål mail.docx", "A 59350-2019")</f>
        <v/>
      </c>
      <c r="X39">
        <f>HYPERLINK("https://klasma.github.io/Logging_2523/tillsyn/A 59350-2019 tillsynsbegäran.docx", "A 59350-2019")</f>
        <v/>
      </c>
      <c r="Y39">
        <f>HYPERLINK("https://klasma.github.io/Logging_2523/tillsynsmail/A 59350-2019 tillsynsbegäran mail.docx", "A 59350-2019")</f>
        <v/>
      </c>
    </row>
    <row r="40" ht="15" customHeight="1">
      <c r="A40" t="inlineStr">
        <is>
          <t>A 48274-2020</t>
        </is>
      </c>
      <c r="B40" s="1" t="n">
        <v>44102</v>
      </c>
      <c r="C40" s="1" t="n">
        <v>45364</v>
      </c>
      <c r="D40" t="inlineStr">
        <is>
          <t>NORRBOTTENS LÄN</t>
        </is>
      </c>
      <c r="E40" t="inlineStr">
        <is>
          <t>GÄLLIVARE</t>
        </is>
      </c>
      <c r="F40" t="inlineStr">
        <is>
          <t>Sveaskog</t>
        </is>
      </c>
      <c r="G40" t="n">
        <v>14.2</v>
      </c>
      <c r="H40" t="n">
        <v>2</v>
      </c>
      <c r="I40" t="n">
        <v>0</v>
      </c>
      <c r="J40" t="n">
        <v>1</v>
      </c>
      <c r="K40" t="n">
        <v>1</v>
      </c>
      <c r="L40" t="n">
        <v>0</v>
      </c>
      <c r="M40" t="n">
        <v>0</v>
      </c>
      <c r="N40" t="n">
        <v>0</v>
      </c>
      <c r="O40" t="n">
        <v>2</v>
      </c>
      <c r="P40" t="n">
        <v>1</v>
      </c>
      <c r="Q40" t="n">
        <v>2</v>
      </c>
      <c r="R40" s="2" t="inlineStr">
        <is>
          <t>Kricka
Svartvit flugsnappare</t>
        </is>
      </c>
      <c r="S40">
        <f>HYPERLINK("https://klasma.github.io/Logging_2523/artfynd/A 48274-2020 artfynd.xlsx", "A 48274-2020")</f>
        <v/>
      </c>
      <c r="T40">
        <f>HYPERLINK("https://klasma.github.io/Logging_2523/kartor/A 48274-2020 karta.png", "A 48274-2020")</f>
        <v/>
      </c>
      <c r="V40">
        <f>HYPERLINK("https://klasma.github.io/Logging_2523/klagomål/A 48274-2020 FSC-klagomål.docx", "A 48274-2020")</f>
        <v/>
      </c>
      <c r="W40">
        <f>HYPERLINK("https://klasma.github.io/Logging_2523/klagomålsmail/A 48274-2020 FSC-klagomål mail.docx", "A 48274-2020")</f>
        <v/>
      </c>
      <c r="X40">
        <f>HYPERLINK("https://klasma.github.io/Logging_2523/tillsyn/A 48274-2020 tillsynsbegäran.docx", "A 48274-2020")</f>
        <v/>
      </c>
      <c r="Y40">
        <f>HYPERLINK("https://klasma.github.io/Logging_2523/tillsynsmail/A 48274-2020 tillsynsbegäran mail.docx", "A 48274-2020")</f>
        <v/>
      </c>
      <c r="Z40">
        <f>HYPERLINK("https://klasma.github.io/Logging_2523/fåglar/A 48274-2020 prioriterade fågelarter.docx", "A 48274-2020")</f>
        <v/>
      </c>
    </row>
    <row r="41" ht="15" customHeight="1">
      <c r="A41" t="inlineStr">
        <is>
          <t>A 8351-2021</t>
        </is>
      </c>
      <c r="B41" s="1" t="n">
        <v>44244</v>
      </c>
      <c r="C41" s="1" t="n">
        <v>45364</v>
      </c>
      <c r="D41" t="inlineStr">
        <is>
          <t>NORRBOTTENS LÄN</t>
        </is>
      </c>
      <c r="E41" t="inlineStr">
        <is>
          <t>GÄLLIVARE</t>
        </is>
      </c>
      <c r="F41" t="inlineStr">
        <is>
          <t>SCA</t>
        </is>
      </c>
      <c r="G41" t="n">
        <v>57.3</v>
      </c>
      <c r="H41" t="n">
        <v>0</v>
      </c>
      <c r="I41" t="n">
        <v>0</v>
      </c>
      <c r="J41" t="n">
        <v>0</v>
      </c>
      <c r="K41" t="n">
        <v>2</v>
      </c>
      <c r="L41" t="n">
        <v>0</v>
      </c>
      <c r="M41" t="n">
        <v>0</v>
      </c>
      <c r="N41" t="n">
        <v>0</v>
      </c>
      <c r="O41" t="n">
        <v>2</v>
      </c>
      <c r="P41" t="n">
        <v>2</v>
      </c>
      <c r="Q41" t="n">
        <v>2</v>
      </c>
      <c r="R41" s="2" t="inlineStr">
        <is>
          <t>Fläckporing
Tallstocksticka</t>
        </is>
      </c>
      <c r="S41">
        <f>HYPERLINK("https://klasma.github.io/Logging_2523/artfynd/A 8351-2021 artfynd.xlsx", "A 8351-2021")</f>
        <v/>
      </c>
      <c r="T41">
        <f>HYPERLINK("https://klasma.github.io/Logging_2523/kartor/A 8351-2021 karta.png", "A 8351-2021")</f>
        <v/>
      </c>
      <c r="V41">
        <f>HYPERLINK("https://klasma.github.io/Logging_2523/klagomål/A 8351-2021 FSC-klagomål.docx", "A 8351-2021")</f>
        <v/>
      </c>
      <c r="W41">
        <f>HYPERLINK("https://klasma.github.io/Logging_2523/klagomålsmail/A 8351-2021 FSC-klagomål mail.docx", "A 8351-2021")</f>
        <v/>
      </c>
      <c r="X41">
        <f>HYPERLINK("https://klasma.github.io/Logging_2523/tillsyn/A 8351-2021 tillsynsbegäran.docx", "A 8351-2021")</f>
        <v/>
      </c>
      <c r="Y41">
        <f>HYPERLINK("https://klasma.github.io/Logging_2523/tillsynsmail/A 8351-2021 tillsynsbegäran mail.docx", "A 8351-2021")</f>
        <v/>
      </c>
    </row>
    <row r="42" ht="15" customHeight="1">
      <c r="A42" t="inlineStr">
        <is>
          <t>A 42548-2021</t>
        </is>
      </c>
      <c r="B42" s="1" t="n">
        <v>44427</v>
      </c>
      <c r="C42" s="1" t="n">
        <v>45364</v>
      </c>
      <c r="D42" t="inlineStr">
        <is>
          <t>NORRBOTTENS LÄN</t>
        </is>
      </c>
      <c r="E42" t="inlineStr">
        <is>
          <t>GÄLLIVARE</t>
        </is>
      </c>
      <c r="F42" t="inlineStr">
        <is>
          <t>SCA</t>
        </is>
      </c>
      <c r="G42" t="n">
        <v>3.2</v>
      </c>
      <c r="H42" t="n">
        <v>0</v>
      </c>
      <c r="I42" t="n">
        <v>0</v>
      </c>
      <c r="J42" t="n">
        <v>2</v>
      </c>
      <c r="K42" t="n">
        <v>0</v>
      </c>
      <c r="L42" t="n">
        <v>0</v>
      </c>
      <c r="M42" t="n">
        <v>0</v>
      </c>
      <c r="N42" t="n">
        <v>0</v>
      </c>
      <c r="O42" t="n">
        <v>2</v>
      </c>
      <c r="P42" t="n">
        <v>0</v>
      </c>
      <c r="Q42" t="n">
        <v>2</v>
      </c>
      <c r="R42" s="2" t="inlineStr">
        <is>
          <t>Orange taggsvamp
Svart taggsvamp</t>
        </is>
      </c>
      <c r="S42">
        <f>HYPERLINK("https://klasma.github.io/Logging_2523/artfynd/A 42548-2021 artfynd.xlsx", "A 42548-2021")</f>
        <v/>
      </c>
      <c r="T42">
        <f>HYPERLINK("https://klasma.github.io/Logging_2523/kartor/A 42548-2021 karta.png", "A 42548-2021")</f>
        <v/>
      </c>
      <c r="V42">
        <f>HYPERLINK("https://klasma.github.io/Logging_2523/klagomål/A 42548-2021 FSC-klagomål.docx", "A 42548-2021")</f>
        <v/>
      </c>
      <c r="W42">
        <f>HYPERLINK("https://klasma.github.io/Logging_2523/klagomålsmail/A 42548-2021 FSC-klagomål mail.docx", "A 42548-2021")</f>
        <v/>
      </c>
      <c r="X42">
        <f>HYPERLINK("https://klasma.github.io/Logging_2523/tillsyn/A 42548-2021 tillsynsbegäran.docx", "A 42548-2021")</f>
        <v/>
      </c>
      <c r="Y42">
        <f>HYPERLINK("https://klasma.github.io/Logging_2523/tillsynsmail/A 42548-2021 tillsynsbegäran mail.docx", "A 42548-2021")</f>
        <v/>
      </c>
    </row>
    <row r="43" ht="15" customHeight="1">
      <c r="A43" t="inlineStr">
        <is>
          <t>A 36248-2023</t>
        </is>
      </c>
      <c r="B43" s="1" t="n">
        <v>45150</v>
      </c>
      <c r="C43" s="1" t="n">
        <v>45364</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36252-2023</t>
        </is>
      </c>
      <c r="B44" s="1" t="n">
        <v>45150</v>
      </c>
      <c r="C44" s="1" t="n">
        <v>45364</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45364</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41651-2023</t>
        </is>
      </c>
      <c r="B46" s="1" t="n">
        <v>45175</v>
      </c>
      <c r="C46" s="1" t="n">
        <v>45364</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46856-2023</t>
        </is>
      </c>
      <c r="B47" s="1" t="n">
        <v>45200</v>
      </c>
      <c r="C47" s="1" t="n">
        <v>45364</v>
      </c>
      <c r="D47" t="inlineStr">
        <is>
          <t>NORRBOTTENS LÄN</t>
        </is>
      </c>
      <c r="E47" t="inlineStr">
        <is>
          <t>GÄLLIVARE</t>
        </is>
      </c>
      <c r="F47" t="inlineStr">
        <is>
          <t>SCA</t>
        </is>
      </c>
      <c r="G47" t="n">
        <v>15.2</v>
      </c>
      <c r="H47" t="n">
        <v>1</v>
      </c>
      <c r="I47" t="n">
        <v>0</v>
      </c>
      <c r="J47" t="n">
        <v>2</v>
      </c>
      <c r="K47" t="n">
        <v>0</v>
      </c>
      <c r="L47" t="n">
        <v>0</v>
      </c>
      <c r="M47" t="n">
        <v>0</v>
      </c>
      <c r="N47" t="n">
        <v>0</v>
      </c>
      <c r="O47" t="n">
        <v>2</v>
      </c>
      <c r="P47" t="n">
        <v>0</v>
      </c>
      <c r="Q47" t="n">
        <v>2</v>
      </c>
      <c r="R47" s="2" t="inlineStr">
        <is>
          <t>Garnlav
Tretåig hackspett</t>
        </is>
      </c>
      <c r="S47">
        <f>HYPERLINK("https://klasma.github.io/Logging_2523/artfynd/A 46856-2023 artfynd.xlsx", "A 46856-2023")</f>
        <v/>
      </c>
      <c r="T47">
        <f>HYPERLINK("https://klasma.github.io/Logging_2523/kartor/A 46856-2023 karta.png", "A 46856-2023")</f>
        <v/>
      </c>
      <c r="V47">
        <f>HYPERLINK("https://klasma.github.io/Logging_2523/klagomål/A 46856-2023 FSC-klagomål.docx", "A 46856-2023")</f>
        <v/>
      </c>
      <c r="W47">
        <f>HYPERLINK("https://klasma.github.io/Logging_2523/klagomålsmail/A 46856-2023 FSC-klagomål mail.docx", "A 46856-2023")</f>
        <v/>
      </c>
      <c r="X47">
        <f>HYPERLINK("https://klasma.github.io/Logging_2523/tillsyn/A 46856-2023 tillsynsbegäran.docx", "A 46856-2023")</f>
        <v/>
      </c>
      <c r="Y47">
        <f>HYPERLINK("https://klasma.github.io/Logging_2523/tillsynsmail/A 46856-2023 tillsynsbegäran mail.docx", "A 46856-2023")</f>
        <v/>
      </c>
      <c r="Z47">
        <f>HYPERLINK("https://klasma.github.io/Logging_2523/fåglar/A 46856-2023 prioriterade fågelarter.docx", "A 46856-2023")</f>
        <v/>
      </c>
    </row>
    <row r="48" ht="15" customHeight="1">
      <c r="A48" t="inlineStr">
        <is>
          <t>A 54371-2023</t>
        </is>
      </c>
      <c r="B48" s="1" t="n">
        <v>45233</v>
      </c>
      <c r="C48" s="1" t="n">
        <v>45364</v>
      </c>
      <c r="D48" t="inlineStr">
        <is>
          <t>NORRBOTTENS LÄN</t>
        </is>
      </c>
      <c r="E48" t="inlineStr">
        <is>
          <t>GÄLLIVARE</t>
        </is>
      </c>
      <c r="F48" t="inlineStr">
        <is>
          <t>Sveaskog</t>
        </is>
      </c>
      <c r="G48" t="n">
        <v>15</v>
      </c>
      <c r="H48" t="n">
        <v>0</v>
      </c>
      <c r="I48" t="n">
        <v>0</v>
      </c>
      <c r="J48" t="n">
        <v>2</v>
      </c>
      <c r="K48" t="n">
        <v>0</v>
      </c>
      <c r="L48" t="n">
        <v>0</v>
      </c>
      <c r="M48" t="n">
        <v>0</v>
      </c>
      <c r="N48" t="n">
        <v>0</v>
      </c>
      <c r="O48" t="n">
        <v>2</v>
      </c>
      <c r="P48" t="n">
        <v>0</v>
      </c>
      <c r="Q48" t="n">
        <v>2</v>
      </c>
      <c r="R48" s="2" t="inlineStr">
        <is>
          <t>Gammelgransskål
Vitgrynig nållav</t>
        </is>
      </c>
      <c r="S48">
        <f>HYPERLINK("https://klasma.github.io/Logging_2523/artfynd/A 54371-2023 artfynd.xlsx", "A 54371-2023")</f>
        <v/>
      </c>
      <c r="T48">
        <f>HYPERLINK("https://klasma.github.io/Logging_2523/kartor/A 54371-2023 karta.png", "A 54371-2023")</f>
        <v/>
      </c>
      <c r="V48">
        <f>HYPERLINK("https://klasma.github.io/Logging_2523/klagomål/A 54371-2023 FSC-klagomål.docx", "A 54371-2023")</f>
        <v/>
      </c>
      <c r="W48">
        <f>HYPERLINK("https://klasma.github.io/Logging_2523/klagomålsmail/A 54371-2023 FSC-klagomål mail.docx", "A 54371-2023")</f>
        <v/>
      </c>
      <c r="X48">
        <f>HYPERLINK("https://klasma.github.io/Logging_2523/tillsyn/A 54371-2023 tillsynsbegäran.docx", "A 54371-2023")</f>
        <v/>
      </c>
      <c r="Y48">
        <f>HYPERLINK("https://klasma.github.io/Logging_2523/tillsynsmail/A 54371-2023 tillsynsbegäran mail.docx", "A 54371-2023")</f>
        <v/>
      </c>
    </row>
    <row r="49" ht="15" customHeight="1">
      <c r="A49" t="inlineStr">
        <is>
          <t>A 58642-2023</t>
        </is>
      </c>
      <c r="B49" s="1" t="n">
        <v>45251</v>
      </c>
      <c r="C49" s="1" t="n">
        <v>45364</v>
      </c>
      <c r="D49" t="inlineStr">
        <is>
          <t>NORRBOTTENS LÄN</t>
        </is>
      </c>
      <c r="E49" t="inlineStr">
        <is>
          <t>GÄLLIVARE</t>
        </is>
      </c>
      <c r="F49" t="inlineStr">
        <is>
          <t>Sveaskog</t>
        </is>
      </c>
      <c r="G49" t="n">
        <v>20.3</v>
      </c>
      <c r="H49" t="n">
        <v>0</v>
      </c>
      <c r="I49" t="n">
        <v>0</v>
      </c>
      <c r="J49" t="n">
        <v>2</v>
      </c>
      <c r="K49" t="n">
        <v>0</v>
      </c>
      <c r="L49" t="n">
        <v>0</v>
      </c>
      <c r="M49" t="n">
        <v>0</v>
      </c>
      <c r="N49" t="n">
        <v>0</v>
      </c>
      <c r="O49" t="n">
        <v>2</v>
      </c>
      <c r="P49" t="n">
        <v>0</v>
      </c>
      <c r="Q49" t="n">
        <v>2</v>
      </c>
      <c r="R49" s="2" t="inlineStr">
        <is>
          <t>Blå taggsvamp
Vaddporing</t>
        </is>
      </c>
      <c r="S49">
        <f>HYPERLINK("https://klasma.github.io/Logging_2523/artfynd/A 58642-2023 artfynd.xlsx", "A 58642-2023")</f>
        <v/>
      </c>
      <c r="T49">
        <f>HYPERLINK("https://klasma.github.io/Logging_2523/kartor/A 58642-2023 karta.png", "A 58642-2023")</f>
        <v/>
      </c>
      <c r="V49">
        <f>HYPERLINK("https://klasma.github.io/Logging_2523/klagomål/A 58642-2023 FSC-klagomål.docx", "A 58642-2023")</f>
        <v/>
      </c>
      <c r="W49">
        <f>HYPERLINK("https://klasma.github.io/Logging_2523/klagomålsmail/A 58642-2023 FSC-klagomål mail.docx", "A 58642-2023")</f>
        <v/>
      </c>
      <c r="X49">
        <f>HYPERLINK("https://klasma.github.io/Logging_2523/tillsyn/A 58642-2023 tillsynsbegäran.docx", "A 58642-2023")</f>
        <v/>
      </c>
      <c r="Y49">
        <f>HYPERLINK("https://klasma.github.io/Logging_2523/tillsynsmail/A 58642-2023 tillsynsbegäran mail.docx", "A 58642-2023")</f>
        <v/>
      </c>
    </row>
    <row r="50" ht="15" customHeight="1">
      <c r="A50" t="inlineStr">
        <is>
          <t>A 52392-2018</t>
        </is>
      </c>
      <c r="B50" s="1" t="n">
        <v>43388</v>
      </c>
      <c r="C50" s="1" t="n">
        <v>45364</v>
      </c>
      <c r="D50" t="inlineStr">
        <is>
          <t>NORRBOTTENS LÄN</t>
        </is>
      </c>
      <c r="E50" t="inlineStr">
        <is>
          <t>GÄLLIVARE</t>
        </is>
      </c>
      <c r="F50" t="inlineStr">
        <is>
          <t>Sveaskog</t>
        </is>
      </c>
      <c r="G50" t="n">
        <v>2</v>
      </c>
      <c r="H50" t="n">
        <v>0</v>
      </c>
      <c r="I50" t="n">
        <v>0</v>
      </c>
      <c r="J50" t="n">
        <v>1</v>
      </c>
      <c r="K50" t="n">
        <v>0</v>
      </c>
      <c r="L50" t="n">
        <v>0</v>
      </c>
      <c r="M50" t="n">
        <v>0</v>
      </c>
      <c r="N50" t="n">
        <v>0</v>
      </c>
      <c r="O50" t="n">
        <v>1</v>
      </c>
      <c r="P50" t="n">
        <v>0</v>
      </c>
      <c r="Q50" t="n">
        <v>1</v>
      </c>
      <c r="R50" s="2" t="inlineStr">
        <is>
          <t>Gammelgransskål</t>
        </is>
      </c>
      <c r="S50">
        <f>HYPERLINK("https://klasma.github.io/Logging_2523/artfynd/A 52392-2018 artfynd.xlsx", "A 52392-2018")</f>
        <v/>
      </c>
      <c r="T50">
        <f>HYPERLINK("https://klasma.github.io/Logging_2523/kartor/A 52392-2018 karta.png", "A 52392-2018")</f>
        <v/>
      </c>
      <c r="V50">
        <f>HYPERLINK("https://klasma.github.io/Logging_2523/klagomål/A 52392-2018 FSC-klagomål.docx", "A 52392-2018")</f>
        <v/>
      </c>
      <c r="W50">
        <f>HYPERLINK("https://klasma.github.io/Logging_2523/klagomålsmail/A 52392-2018 FSC-klagomål mail.docx", "A 52392-2018")</f>
        <v/>
      </c>
      <c r="X50">
        <f>HYPERLINK("https://klasma.github.io/Logging_2523/tillsyn/A 52392-2018 tillsynsbegäran.docx", "A 52392-2018")</f>
        <v/>
      </c>
      <c r="Y50">
        <f>HYPERLINK("https://klasma.github.io/Logging_2523/tillsynsmail/A 52392-2018 tillsynsbegäran mail.docx", "A 52392-2018")</f>
        <v/>
      </c>
    </row>
    <row r="51" ht="15" customHeight="1">
      <c r="A51" t="inlineStr">
        <is>
          <t>A 69408-2018</t>
        </is>
      </c>
      <c r="B51" s="1" t="n">
        <v>43446</v>
      </c>
      <c r="C51" s="1" t="n">
        <v>45364</v>
      </c>
      <c r="D51" t="inlineStr">
        <is>
          <t>NORRBOTTENS LÄN</t>
        </is>
      </c>
      <c r="E51" t="inlineStr">
        <is>
          <t>GÄLLIVARE</t>
        </is>
      </c>
      <c r="F51" t="inlineStr">
        <is>
          <t>Sveaskog</t>
        </is>
      </c>
      <c r="G51" t="n">
        <v>5.5</v>
      </c>
      <c r="H51" t="n">
        <v>0</v>
      </c>
      <c r="I51" t="n">
        <v>0</v>
      </c>
      <c r="J51" t="n">
        <v>1</v>
      </c>
      <c r="K51" t="n">
        <v>0</v>
      </c>
      <c r="L51" t="n">
        <v>0</v>
      </c>
      <c r="M51" t="n">
        <v>0</v>
      </c>
      <c r="N51" t="n">
        <v>0</v>
      </c>
      <c r="O51" t="n">
        <v>1</v>
      </c>
      <c r="P51" t="n">
        <v>0</v>
      </c>
      <c r="Q51" t="n">
        <v>1</v>
      </c>
      <c r="R51" s="2" t="inlineStr">
        <is>
          <t>Garnlav</t>
        </is>
      </c>
      <c r="S51">
        <f>HYPERLINK("https://klasma.github.io/Logging_2523/artfynd/A 69408-2018 artfynd.xlsx", "A 69408-2018")</f>
        <v/>
      </c>
      <c r="T51">
        <f>HYPERLINK("https://klasma.github.io/Logging_2523/kartor/A 69408-2018 karta.png", "A 69408-2018")</f>
        <v/>
      </c>
      <c r="V51">
        <f>HYPERLINK("https://klasma.github.io/Logging_2523/klagomål/A 69408-2018 FSC-klagomål.docx", "A 69408-2018")</f>
        <v/>
      </c>
      <c r="W51">
        <f>HYPERLINK("https://klasma.github.io/Logging_2523/klagomålsmail/A 69408-2018 FSC-klagomål mail.docx", "A 69408-2018")</f>
        <v/>
      </c>
      <c r="X51">
        <f>HYPERLINK("https://klasma.github.io/Logging_2523/tillsyn/A 69408-2018 tillsynsbegäran.docx", "A 69408-2018")</f>
        <v/>
      </c>
      <c r="Y51">
        <f>HYPERLINK("https://klasma.github.io/Logging_2523/tillsynsmail/A 69408-2018 tillsynsbegäran mail.docx", "A 69408-2018")</f>
        <v/>
      </c>
    </row>
    <row r="52" ht="15" customHeight="1">
      <c r="A52" t="inlineStr">
        <is>
          <t>A 70079-2018</t>
        </is>
      </c>
      <c r="B52" s="1" t="n">
        <v>43448</v>
      </c>
      <c r="C52" s="1" t="n">
        <v>45364</v>
      </c>
      <c r="D52" t="inlineStr">
        <is>
          <t>NORRBOTTENS LÄN</t>
        </is>
      </c>
      <c r="E52" t="inlineStr">
        <is>
          <t>GÄLLIVARE</t>
        </is>
      </c>
      <c r="F52" t="inlineStr">
        <is>
          <t>Sveaskog</t>
        </is>
      </c>
      <c r="G52" t="n">
        <v>4.7</v>
      </c>
      <c r="H52" t="n">
        <v>0</v>
      </c>
      <c r="I52" t="n">
        <v>0</v>
      </c>
      <c r="J52" t="n">
        <v>1</v>
      </c>
      <c r="K52" t="n">
        <v>0</v>
      </c>
      <c r="L52" t="n">
        <v>0</v>
      </c>
      <c r="M52" t="n">
        <v>0</v>
      </c>
      <c r="N52" t="n">
        <v>0</v>
      </c>
      <c r="O52" t="n">
        <v>1</v>
      </c>
      <c r="P52" t="n">
        <v>0</v>
      </c>
      <c r="Q52" t="n">
        <v>1</v>
      </c>
      <c r="R52" s="2" t="inlineStr">
        <is>
          <t>Garnlav</t>
        </is>
      </c>
      <c r="S52">
        <f>HYPERLINK("https://klasma.github.io/Logging_2523/artfynd/A 70079-2018 artfynd.xlsx", "A 70079-2018")</f>
        <v/>
      </c>
      <c r="T52">
        <f>HYPERLINK("https://klasma.github.io/Logging_2523/kartor/A 70079-2018 karta.png", "A 70079-2018")</f>
        <v/>
      </c>
      <c r="V52">
        <f>HYPERLINK("https://klasma.github.io/Logging_2523/klagomål/A 70079-2018 FSC-klagomål.docx", "A 70079-2018")</f>
        <v/>
      </c>
      <c r="W52">
        <f>HYPERLINK("https://klasma.github.io/Logging_2523/klagomålsmail/A 70079-2018 FSC-klagomål mail.docx", "A 70079-2018")</f>
        <v/>
      </c>
      <c r="X52">
        <f>HYPERLINK("https://klasma.github.io/Logging_2523/tillsyn/A 70079-2018 tillsynsbegäran.docx", "A 70079-2018")</f>
        <v/>
      </c>
      <c r="Y52">
        <f>HYPERLINK("https://klasma.github.io/Logging_2523/tillsynsmail/A 70079-2018 tillsynsbegäran mail.docx", "A 70079-2018")</f>
        <v/>
      </c>
    </row>
    <row r="53" ht="15" customHeight="1">
      <c r="A53" t="inlineStr">
        <is>
          <t>A 7822-2019</t>
        </is>
      </c>
      <c r="B53" s="1" t="n">
        <v>43500</v>
      </c>
      <c r="C53" s="1" t="n">
        <v>45364</v>
      </c>
      <c r="D53" t="inlineStr">
        <is>
          <t>NORRBOTTENS LÄN</t>
        </is>
      </c>
      <c r="E53" t="inlineStr">
        <is>
          <t>GÄLLIVARE</t>
        </is>
      </c>
      <c r="G53" t="n">
        <v>1.1</v>
      </c>
      <c r="H53" t="n">
        <v>0</v>
      </c>
      <c r="I53" t="n">
        <v>0</v>
      </c>
      <c r="J53" t="n">
        <v>1</v>
      </c>
      <c r="K53" t="n">
        <v>0</v>
      </c>
      <c r="L53" t="n">
        <v>0</v>
      </c>
      <c r="M53" t="n">
        <v>0</v>
      </c>
      <c r="N53" t="n">
        <v>0</v>
      </c>
      <c r="O53" t="n">
        <v>1</v>
      </c>
      <c r="P53" t="n">
        <v>0</v>
      </c>
      <c r="Q53" t="n">
        <v>1</v>
      </c>
      <c r="R53" s="2" t="inlineStr">
        <is>
          <t>Reliktbock</t>
        </is>
      </c>
      <c r="S53">
        <f>HYPERLINK("https://klasma.github.io/Logging_2523/artfynd/A 7822-2019 artfynd.xlsx", "A 7822-2019")</f>
        <v/>
      </c>
      <c r="T53">
        <f>HYPERLINK("https://klasma.github.io/Logging_2523/kartor/A 7822-2019 karta.png", "A 7822-2019")</f>
        <v/>
      </c>
      <c r="V53">
        <f>HYPERLINK("https://klasma.github.io/Logging_2523/klagomål/A 7822-2019 FSC-klagomål.docx", "A 7822-2019")</f>
        <v/>
      </c>
      <c r="W53">
        <f>HYPERLINK("https://klasma.github.io/Logging_2523/klagomålsmail/A 7822-2019 FSC-klagomål mail.docx", "A 7822-2019")</f>
        <v/>
      </c>
      <c r="X53">
        <f>HYPERLINK("https://klasma.github.io/Logging_2523/tillsyn/A 7822-2019 tillsynsbegäran.docx", "A 7822-2019")</f>
        <v/>
      </c>
      <c r="Y53">
        <f>HYPERLINK("https://klasma.github.io/Logging_2523/tillsynsmail/A 7822-2019 tillsynsbegäran mail.docx", "A 7822-2019")</f>
        <v/>
      </c>
    </row>
    <row r="54" ht="15" customHeight="1">
      <c r="A54" t="inlineStr">
        <is>
          <t>A 9144-2019</t>
        </is>
      </c>
      <c r="B54" s="1" t="n">
        <v>43504</v>
      </c>
      <c r="C54" s="1" t="n">
        <v>45364</v>
      </c>
      <c r="D54" t="inlineStr">
        <is>
          <t>NORRBOTTENS LÄN</t>
        </is>
      </c>
      <c r="E54" t="inlineStr">
        <is>
          <t>GÄLLIVARE</t>
        </is>
      </c>
      <c r="G54" t="n">
        <v>44.5</v>
      </c>
      <c r="H54" t="n">
        <v>0</v>
      </c>
      <c r="I54" t="n">
        <v>0</v>
      </c>
      <c r="J54" t="n">
        <v>1</v>
      </c>
      <c r="K54" t="n">
        <v>0</v>
      </c>
      <c r="L54" t="n">
        <v>0</v>
      </c>
      <c r="M54" t="n">
        <v>0</v>
      </c>
      <c r="N54" t="n">
        <v>0</v>
      </c>
      <c r="O54" t="n">
        <v>1</v>
      </c>
      <c r="P54" t="n">
        <v>0</v>
      </c>
      <c r="Q54" t="n">
        <v>1</v>
      </c>
      <c r="R54" s="2" t="inlineStr">
        <is>
          <t>Knottrig blåslav</t>
        </is>
      </c>
      <c r="S54">
        <f>HYPERLINK("https://klasma.github.io/Logging_2523/artfynd/A 9144-2019 artfynd.xlsx", "A 9144-2019")</f>
        <v/>
      </c>
      <c r="T54">
        <f>HYPERLINK("https://klasma.github.io/Logging_2523/kartor/A 9144-2019 karta.png", "A 9144-2019")</f>
        <v/>
      </c>
      <c r="V54">
        <f>HYPERLINK("https://klasma.github.io/Logging_2523/klagomål/A 9144-2019 FSC-klagomål.docx", "A 9144-2019")</f>
        <v/>
      </c>
      <c r="W54">
        <f>HYPERLINK("https://klasma.github.io/Logging_2523/klagomålsmail/A 9144-2019 FSC-klagomål mail.docx", "A 9144-2019")</f>
        <v/>
      </c>
      <c r="X54">
        <f>HYPERLINK("https://klasma.github.io/Logging_2523/tillsyn/A 9144-2019 tillsynsbegäran.docx", "A 9144-2019")</f>
        <v/>
      </c>
      <c r="Y54">
        <f>HYPERLINK("https://klasma.github.io/Logging_2523/tillsynsmail/A 9144-2019 tillsynsbegäran mail.docx", "A 9144-2019")</f>
        <v/>
      </c>
    </row>
    <row r="55" ht="15" customHeight="1">
      <c r="A55" t="inlineStr">
        <is>
          <t>A 28204-2019</t>
        </is>
      </c>
      <c r="B55" s="1" t="n">
        <v>43621</v>
      </c>
      <c r="C55" s="1" t="n">
        <v>45364</v>
      </c>
      <c r="D55" t="inlineStr">
        <is>
          <t>NORRBOTTENS LÄN</t>
        </is>
      </c>
      <c r="E55" t="inlineStr">
        <is>
          <t>GÄLLIVARE</t>
        </is>
      </c>
      <c r="F55" t="inlineStr">
        <is>
          <t>SCA</t>
        </is>
      </c>
      <c r="G55" t="n">
        <v>2.6</v>
      </c>
      <c r="H55" t="n">
        <v>0</v>
      </c>
      <c r="I55" t="n">
        <v>1</v>
      </c>
      <c r="J55" t="n">
        <v>0</v>
      </c>
      <c r="K55" t="n">
        <v>0</v>
      </c>
      <c r="L55" t="n">
        <v>0</v>
      </c>
      <c r="M55" t="n">
        <v>0</v>
      </c>
      <c r="N55" t="n">
        <v>0</v>
      </c>
      <c r="O55" t="n">
        <v>0</v>
      </c>
      <c r="P55" t="n">
        <v>0</v>
      </c>
      <c r="Q55" t="n">
        <v>1</v>
      </c>
      <c r="R55" s="2" t="inlineStr">
        <is>
          <t>Bollvitmossa</t>
        </is>
      </c>
      <c r="S55">
        <f>HYPERLINK("https://klasma.github.io/Logging_2523/artfynd/A 28204-2019 artfynd.xlsx", "A 28204-2019")</f>
        <v/>
      </c>
      <c r="T55">
        <f>HYPERLINK("https://klasma.github.io/Logging_2523/kartor/A 28204-2019 karta.png", "A 28204-2019")</f>
        <v/>
      </c>
      <c r="V55">
        <f>HYPERLINK("https://klasma.github.io/Logging_2523/klagomål/A 28204-2019 FSC-klagomål.docx", "A 28204-2019")</f>
        <v/>
      </c>
      <c r="W55">
        <f>HYPERLINK("https://klasma.github.io/Logging_2523/klagomålsmail/A 28204-2019 FSC-klagomål mail.docx", "A 28204-2019")</f>
        <v/>
      </c>
      <c r="X55">
        <f>HYPERLINK("https://klasma.github.io/Logging_2523/tillsyn/A 28204-2019 tillsynsbegäran.docx", "A 28204-2019")</f>
        <v/>
      </c>
      <c r="Y55">
        <f>HYPERLINK("https://klasma.github.io/Logging_2523/tillsynsmail/A 28204-2019 tillsynsbegäran mail.docx", "A 28204-2019")</f>
        <v/>
      </c>
    </row>
    <row r="56" ht="15" customHeight="1">
      <c r="A56" t="inlineStr">
        <is>
          <t>A 41384-2019</t>
        </is>
      </c>
      <c r="B56" s="1" t="n">
        <v>43698</v>
      </c>
      <c r="C56" s="1" t="n">
        <v>45364</v>
      </c>
      <c r="D56" t="inlineStr">
        <is>
          <t>NORRBOTTENS LÄN</t>
        </is>
      </c>
      <c r="E56" t="inlineStr">
        <is>
          <t>GÄLLIVARE</t>
        </is>
      </c>
      <c r="F56" t="inlineStr">
        <is>
          <t>Sveaskog</t>
        </is>
      </c>
      <c r="G56" t="n">
        <v>3</v>
      </c>
      <c r="H56" t="n">
        <v>0</v>
      </c>
      <c r="I56" t="n">
        <v>0</v>
      </c>
      <c r="J56" t="n">
        <v>1</v>
      </c>
      <c r="K56" t="n">
        <v>0</v>
      </c>
      <c r="L56" t="n">
        <v>0</v>
      </c>
      <c r="M56" t="n">
        <v>0</v>
      </c>
      <c r="N56" t="n">
        <v>0</v>
      </c>
      <c r="O56" t="n">
        <v>1</v>
      </c>
      <c r="P56" t="n">
        <v>0</v>
      </c>
      <c r="Q56" t="n">
        <v>1</v>
      </c>
      <c r="R56" s="2" t="inlineStr">
        <is>
          <t>Kolflarnlav</t>
        </is>
      </c>
      <c r="S56">
        <f>HYPERLINK("https://klasma.github.io/Logging_2523/artfynd/A 41384-2019 artfynd.xlsx", "A 41384-2019")</f>
        <v/>
      </c>
      <c r="T56">
        <f>HYPERLINK("https://klasma.github.io/Logging_2523/kartor/A 41384-2019 karta.png", "A 41384-2019")</f>
        <v/>
      </c>
      <c r="V56">
        <f>HYPERLINK("https://klasma.github.io/Logging_2523/klagomål/A 41384-2019 FSC-klagomål.docx", "A 41384-2019")</f>
        <v/>
      </c>
      <c r="W56">
        <f>HYPERLINK("https://klasma.github.io/Logging_2523/klagomålsmail/A 41384-2019 FSC-klagomål mail.docx", "A 41384-2019")</f>
        <v/>
      </c>
      <c r="X56">
        <f>HYPERLINK("https://klasma.github.io/Logging_2523/tillsyn/A 41384-2019 tillsynsbegäran.docx", "A 41384-2019")</f>
        <v/>
      </c>
      <c r="Y56">
        <f>HYPERLINK("https://klasma.github.io/Logging_2523/tillsynsmail/A 41384-2019 tillsynsbegäran mail.docx", "A 41384-2019")</f>
        <v/>
      </c>
    </row>
    <row r="57" ht="15" customHeight="1">
      <c r="A57" t="inlineStr">
        <is>
          <t>A 52060-2020</t>
        </is>
      </c>
      <c r="B57" s="1" t="n">
        <v>44116</v>
      </c>
      <c r="C57" s="1" t="n">
        <v>45364</v>
      </c>
      <c r="D57" t="inlineStr">
        <is>
          <t>NORRBOTTENS LÄN</t>
        </is>
      </c>
      <c r="E57" t="inlineStr">
        <is>
          <t>GÄLLIVARE</t>
        </is>
      </c>
      <c r="F57" t="inlineStr">
        <is>
          <t>SCA</t>
        </is>
      </c>
      <c r="G57" t="n">
        <v>8.5</v>
      </c>
      <c r="H57" t="n">
        <v>0</v>
      </c>
      <c r="I57" t="n">
        <v>0</v>
      </c>
      <c r="J57" t="n">
        <v>0</v>
      </c>
      <c r="K57" t="n">
        <v>1</v>
      </c>
      <c r="L57" t="n">
        <v>0</v>
      </c>
      <c r="M57" t="n">
        <v>0</v>
      </c>
      <c r="N57" t="n">
        <v>0</v>
      </c>
      <c r="O57" t="n">
        <v>1</v>
      </c>
      <c r="P57" t="n">
        <v>1</v>
      </c>
      <c r="Q57" t="n">
        <v>1</v>
      </c>
      <c r="R57" s="2" t="inlineStr">
        <is>
          <t>Gräddporing</t>
        </is>
      </c>
      <c r="S57">
        <f>HYPERLINK("https://klasma.github.io/Logging_2523/artfynd/A 52060-2020 artfynd.xlsx", "A 52060-2020")</f>
        <v/>
      </c>
      <c r="T57">
        <f>HYPERLINK("https://klasma.github.io/Logging_2523/kartor/A 52060-2020 karta.png", "A 52060-2020")</f>
        <v/>
      </c>
      <c r="V57">
        <f>HYPERLINK("https://klasma.github.io/Logging_2523/klagomål/A 52060-2020 FSC-klagomål.docx", "A 52060-2020")</f>
        <v/>
      </c>
      <c r="W57">
        <f>HYPERLINK("https://klasma.github.io/Logging_2523/klagomålsmail/A 52060-2020 FSC-klagomål mail.docx", "A 52060-2020")</f>
        <v/>
      </c>
      <c r="X57">
        <f>HYPERLINK("https://klasma.github.io/Logging_2523/tillsyn/A 52060-2020 tillsynsbegäran.docx", "A 52060-2020")</f>
        <v/>
      </c>
      <c r="Y57">
        <f>HYPERLINK("https://klasma.github.io/Logging_2523/tillsynsmail/A 52060-2020 tillsynsbegäran mail.docx", "A 52060-2020")</f>
        <v/>
      </c>
    </row>
    <row r="58" ht="15" customHeight="1">
      <c r="A58" t="inlineStr">
        <is>
          <t>A 45017-2021</t>
        </is>
      </c>
      <c r="B58" s="1" t="n">
        <v>44438</v>
      </c>
      <c r="C58" s="1" t="n">
        <v>45364</v>
      </c>
      <c r="D58" t="inlineStr">
        <is>
          <t>NORRBOTTENS LÄN</t>
        </is>
      </c>
      <c r="E58" t="inlineStr">
        <is>
          <t>GÄLLIVARE</t>
        </is>
      </c>
      <c r="F58" t="inlineStr">
        <is>
          <t>SCA</t>
        </is>
      </c>
      <c r="G58" t="n">
        <v>4.8</v>
      </c>
      <c r="H58" t="n">
        <v>0</v>
      </c>
      <c r="I58" t="n">
        <v>0</v>
      </c>
      <c r="J58" t="n">
        <v>1</v>
      </c>
      <c r="K58" t="n">
        <v>0</v>
      </c>
      <c r="L58" t="n">
        <v>0</v>
      </c>
      <c r="M58" t="n">
        <v>0</v>
      </c>
      <c r="N58" t="n">
        <v>0</v>
      </c>
      <c r="O58" t="n">
        <v>1</v>
      </c>
      <c r="P58" t="n">
        <v>0</v>
      </c>
      <c r="Q58" t="n">
        <v>1</v>
      </c>
      <c r="R58" s="2" t="inlineStr">
        <is>
          <t>Garnlav</t>
        </is>
      </c>
      <c r="S58">
        <f>HYPERLINK("https://klasma.github.io/Logging_2523/artfynd/A 45017-2021 artfynd.xlsx", "A 45017-2021")</f>
        <v/>
      </c>
      <c r="T58">
        <f>HYPERLINK("https://klasma.github.io/Logging_2523/kartor/A 45017-2021 karta.png", "A 45017-2021")</f>
        <v/>
      </c>
      <c r="V58">
        <f>HYPERLINK("https://klasma.github.io/Logging_2523/klagomål/A 45017-2021 FSC-klagomål.docx", "A 45017-2021")</f>
        <v/>
      </c>
      <c r="W58">
        <f>HYPERLINK("https://klasma.github.io/Logging_2523/klagomålsmail/A 45017-2021 FSC-klagomål mail.docx", "A 45017-2021")</f>
        <v/>
      </c>
      <c r="X58">
        <f>HYPERLINK("https://klasma.github.io/Logging_2523/tillsyn/A 45017-2021 tillsynsbegäran.docx", "A 45017-2021")</f>
        <v/>
      </c>
      <c r="Y58">
        <f>HYPERLINK("https://klasma.github.io/Logging_2523/tillsynsmail/A 45017-2021 tillsynsbegäran mail.docx", "A 45017-2021")</f>
        <v/>
      </c>
    </row>
    <row r="59" ht="15" customHeight="1">
      <c r="A59" t="inlineStr">
        <is>
          <t>A 57535-2021</t>
        </is>
      </c>
      <c r="B59" s="1" t="n">
        <v>44483</v>
      </c>
      <c r="C59" s="1" t="n">
        <v>45364</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49188-2022</t>
        </is>
      </c>
      <c r="B60" s="1" t="n">
        <v>44860</v>
      </c>
      <c r="C60" s="1" t="n">
        <v>45364</v>
      </c>
      <c r="D60" t="inlineStr">
        <is>
          <t>NORRBOTTENS LÄN</t>
        </is>
      </c>
      <c r="E60" t="inlineStr">
        <is>
          <t>GÄLLIVARE</t>
        </is>
      </c>
      <c r="F60" t="inlineStr">
        <is>
          <t>SCA</t>
        </is>
      </c>
      <c r="G60" t="n">
        <v>5.4</v>
      </c>
      <c r="H60" t="n">
        <v>0</v>
      </c>
      <c r="I60" t="n">
        <v>1</v>
      </c>
      <c r="J60" t="n">
        <v>0</v>
      </c>
      <c r="K60" t="n">
        <v>0</v>
      </c>
      <c r="L60" t="n">
        <v>0</v>
      </c>
      <c r="M60" t="n">
        <v>0</v>
      </c>
      <c r="N60" t="n">
        <v>0</v>
      </c>
      <c r="O60" t="n">
        <v>0</v>
      </c>
      <c r="P60" t="n">
        <v>0</v>
      </c>
      <c r="Q60" t="n">
        <v>1</v>
      </c>
      <c r="R60" s="2" t="inlineStr">
        <is>
          <t>Dropptaggsvamp</t>
        </is>
      </c>
      <c r="S60">
        <f>HYPERLINK("https://klasma.github.io/Logging_2523/artfynd/A 49188-2022 artfynd.xlsx", "A 49188-2022")</f>
        <v/>
      </c>
      <c r="T60">
        <f>HYPERLINK("https://klasma.github.io/Logging_2523/kartor/A 49188-2022 karta.png", "A 49188-2022")</f>
        <v/>
      </c>
      <c r="V60">
        <f>HYPERLINK("https://klasma.github.io/Logging_2523/klagomål/A 49188-2022 FSC-klagomål.docx", "A 49188-2022")</f>
        <v/>
      </c>
      <c r="W60">
        <f>HYPERLINK("https://klasma.github.io/Logging_2523/klagomålsmail/A 49188-2022 FSC-klagomål mail.docx", "A 49188-2022")</f>
        <v/>
      </c>
      <c r="X60">
        <f>HYPERLINK("https://klasma.github.io/Logging_2523/tillsyn/A 49188-2022 tillsynsbegäran.docx", "A 49188-2022")</f>
        <v/>
      </c>
      <c r="Y60">
        <f>HYPERLINK("https://klasma.github.io/Logging_2523/tillsynsmail/A 49188-2022 tillsynsbegäran mail.docx", "A 49188-2022")</f>
        <v/>
      </c>
    </row>
    <row r="61" ht="15" customHeight="1">
      <c r="A61" t="inlineStr">
        <is>
          <t>A 27336-2023</t>
        </is>
      </c>
      <c r="B61" s="1" t="n">
        <v>45096</v>
      </c>
      <c r="C61" s="1" t="n">
        <v>45364</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30746-2023</t>
        </is>
      </c>
      <c r="B62" s="1" t="n">
        <v>45103</v>
      </c>
      <c r="C62" s="1" t="n">
        <v>45364</v>
      </c>
      <c r="D62" t="inlineStr">
        <is>
          <t>NORRBOTTENS LÄN</t>
        </is>
      </c>
      <c r="E62" t="inlineStr">
        <is>
          <t>GÄLLIVARE</t>
        </is>
      </c>
      <c r="F62" t="inlineStr">
        <is>
          <t>Allmännings- och besparingsskogar</t>
        </is>
      </c>
      <c r="G62" t="n">
        <v>13.9</v>
      </c>
      <c r="H62" t="n">
        <v>0</v>
      </c>
      <c r="I62" t="n">
        <v>0</v>
      </c>
      <c r="J62" t="n">
        <v>1</v>
      </c>
      <c r="K62" t="n">
        <v>0</v>
      </c>
      <c r="L62" t="n">
        <v>0</v>
      </c>
      <c r="M62" t="n">
        <v>0</v>
      </c>
      <c r="N62" t="n">
        <v>0</v>
      </c>
      <c r="O62" t="n">
        <v>1</v>
      </c>
      <c r="P62" t="n">
        <v>0</v>
      </c>
      <c r="Q62" t="n">
        <v>1</v>
      </c>
      <c r="R62" s="2" t="inlineStr">
        <is>
          <t>Mörk kolflarnlav</t>
        </is>
      </c>
      <c r="S62">
        <f>HYPERLINK("https://klasma.github.io/Logging_2523/artfynd/A 30746-2023 artfynd.xlsx", "A 30746-2023")</f>
        <v/>
      </c>
      <c r="T62">
        <f>HYPERLINK("https://klasma.github.io/Logging_2523/kartor/A 30746-2023 karta.png", "A 30746-2023")</f>
        <v/>
      </c>
      <c r="V62">
        <f>HYPERLINK("https://klasma.github.io/Logging_2523/klagomål/A 30746-2023 FSC-klagomål.docx", "A 30746-2023")</f>
        <v/>
      </c>
      <c r="W62">
        <f>HYPERLINK("https://klasma.github.io/Logging_2523/klagomålsmail/A 30746-2023 FSC-klagomål mail.docx", "A 30746-2023")</f>
        <v/>
      </c>
      <c r="X62">
        <f>HYPERLINK("https://klasma.github.io/Logging_2523/tillsyn/A 30746-2023 tillsynsbegäran.docx", "A 30746-2023")</f>
        <v/>
      </c>
      <c r="Y62">
        <f>HYPERLINK("https://klasma.github.io/Logging_2523/tillsynsmail/A 30746-2023 tillsynsbegäran mail.docx", "A 30746-2023")</f>
        <v/>
      </c>
    </row>
    <row r="63" ht="15" customHeight="1">
      <c r="A63" t="inlineStr">
        <is>
          <t>A 33388-2023</t>
        </is>
      </c>
      <c r="B63" s="1" t="n">
        <v>45117</v>
      </c>
      <c r="C63" s="1" t="n">
        <v>45364</v>
      </c>
      <c r="D63" t="inlineStr">
        <is>
          <t>NORRBOTTENS LÄN</t>
        </is>
      </c>
      <c r="E63" t="inlineStr">
        <is>
          <t>GÄLLIVARE</t>
        </is>
      </c>
      <c r="F63" t="inlineStr">
        <is>
          <t>Allmännings- och besparingsskogar</t>
        </is>
      </c>
      <c r="G63" t="n">
        <v>3.8</v>
      </c>
      <c r="H63" t="n">
        <v>0</v>
      </c>
      <c r="I63" t="n">
        <v>0</v>
      </c>
      <c r="J63" t="n">
        <v>1</v>
      </c>
      <c r="K63" t="n">
        <v>0</v>
      </c>
      <c r="L63" t="n">
        <v>0</v>
      </c>
      <c r="M63" t="n">
        <v>0</v>
      </c>
      <c r="N63" t="n">
        <v>0</v>
      </c>
      <c r="O63" t="n">
        <v>1</v>
      </c>
      <c r="P63" t="n">
        <v>0</v>
      </c>
      <c r="Q63" t="n">
        <v>1</v>
      </c>
      <c r="R63" s="2" t="inlineStr">
        <is>
          <t>Kolflarnlav</t>
        </is>
      </c>
      <c r="S63">
        <f>HYPERLINK("https://klasma.github.io/Logging_2523/artfynd/A 33388-2023 artfynd.xlsx", "A 33388-2023")</f>
        <v/>
      </c>
      <c r="T63">
        <f>HYPERLINK("https://klasma.github.io/Logging_2523/kartor/A 33388-2023 karta.png", "A 33388-2023")</f>
        <v/>
      </c>
      <c r="V63">
        <f>HYPERLINK("https://klasma.github.io/Logging_2523/klagomål/A 33388-2023 FSC-klagomål.docx", "A 33388-2023")</f>
        <v/>
      </c>
      <c r="W63">
        <f>HYPERLINK("https://klasma.github.io/Logging_2523/klagomålsmail/A 33388-2023 FSC-klagomål mail.docx", "A 33388-2023")</f>
        <v/>
      </c>
      <c r="X63">
        <f>HYPERLINK("https://klasma.github.io/Logging_2523/tillsyn/A 33388-2023 tillsynsbegäran.docx", "A 33388-2023")</f>
        <v/>
      </c>
      <c r="Y63">
        <f>HYPERLINK("https://klasma.github.io/Logging_2523/tillsynsmail/A 33388-2023 tillsynsbegäran mail.docx", "A 33388-2023")</f>
        <v/>
      </c>
    </row>
    <row r="64" ht="15" customHeight="1">
      <c r="A64" t="inlineStr">
        <is>
          <t>A 40815-2023</t>
        </is>
      </c>
      <c r="B64" s="1" t="n">
        <v>45171</v>
      </c>
      <c r="C64" s="1" t="n">
        <v>45364</v>
      </c>
      <c r="D64" t="inlineStr">
        <is>
          <t>NORRBOTTENS LÄN</t>
        </is>
      </c>
      <c r="E64" t="inlineStr">
        <is>
          <t>GÄLLIVARE</t>
        </is>
      </c>
      <c r="F64" t="inlineStr">
        <is>
          <t>Sveaskog</t>
        </is>
      </c>
      <c r="G64" t="n">
        <v>31.4</v>
      </c>
      <c r="H64" t="n">
        <v>0</v>
      </c>
      <c r="I64" t="n">
        <v>0</v>
      </c>
      <c r="J64" t="n">
        <v>1</v>
      </c>
      <c r="K64" t="n">
        <v>0</v>
      </c>
      <c r="L64" t="n">
        <v>0</v>
      </c>
      <c r="M64" t="n">
        <v>0</v>
      </c>
      <c r="N64" t="n">
        <v>0</v>
      </c>
      <c r="O64" t="n">
        <v>1</v>
      </c>
      <c r="P64" t="n">
        <v>0</v>
      </c>
      <c r="Q64" t="n">
        <v>1</v>
      </c>
      <c r="R64" s="2" t="inlineStr">
        <is>
          <t>Talltaggsvamp</t>
        </is>
      </c>
      <c r="S64">
        <f>HYPERLINK("https://klasma.github.io/Logging_2523/artfynd/A 40815-2023 artfynd.xlsx", "A 40815-2023")</f>
        <v/>
      </c>
      <c r="T64">
        <f>HYPERLINK("https://klasma.github.io/Logging_2523/kartor/A 40815-2023 karta.png", "A 40815-2023")</f>
        <v/>
      </c>
      <c r="V64">
        <f>HYPERLINK("https://klasma.github.io/Logging_2523/klagomål/A 40815-2023 FSC-klagomål.docx", "A 40815-2023")</f>
        <v/>
      </c>
      <c r="W64">
        <f>HYPERLINK("https://klasma.github.io/Logging_2523/klagomålsmail/A 40815-2023 FSC-klagomål mail.docx", "A 40815-2023")</f>
        <v/>
      </c>
      <c r="X64">
        <f>HYPERLINK("https://klasma.github.io/Logging_2523/tillsyn/A 40815-2023 tillsynsbegäran.docx", "A 40815-2023")</f>
        <v/>
      </c>
      <c r="Y64">
        <f>HYPERLINK("https://klasma.github.io/Logging_2523/tillsynsmail/A 40815-2023 tillsynsbegäran mail.docx", "A 40815-2023")</f>
        <v/>
      </c>
    </row>
    <row r="65" ht="15" customHeight="1">
      <c r="A65" t="inlineStr">
        <is>
          <t>A 41652-2023</t>
        </is>
      </c>
      <c r="B65" s="1" t="n">
        <v>45175</v>
      </c>
      <c r="C65" s="1" t="n">
        <v>45364</v>
      </c>
      <c r="D65" t="inlineStr">
        <is>
          <t>NORRBOTTENS LÄN</t>
        </is>
      </c>
      <c r="E65" t="inlineStr">
        <is>
          <t>GÄLLIVARE</t>
        </is>
      </c>
      <c r="F65" t="inlineStr">
        <is>
          <t>SCA</t>
        </is>
      </c>
      <c r="G65" t="n">
        <v>16.1</v>
      </c>
      <c r="H65" t="n">
        <v>0</v>
      </c>
      <c r="I65" t="n">
        <v>0</v>
      </c>
      <c r="J65" t="n">
        <v>0</v>
      </c>
      <c r="K65" t="n">
        <v>1</v>
      </c>
      <c r="L65" t="n">
        <v>0</v>
      </c>
      <c r="M65" t="n">
        <v>0</v>
      </c>
      <c r="N65" t="n">
        <v>0</v>
      </c>
      <c r="O65" t="n">
        <v>1</v>
      </c>
      <c r="P65" t="n">
        <v>1</v>
      </c>
      <c r="Q65" t="n">
        <v>1</v>
      </c>
      <c r="R65" s="2" t="inlineStr">
        <is>
          <t>Fläckporing</t>
        </is>
      </c>
      <c r="S65">
        <f>HYPERLINK("https://klasma.github.io/Logging_2523/artfynd/A 41652-2023 artfynd.xlsx", "A 41652-2023")</f>
        <v/>
      </c>
      <c r="T65">
        <f>HYPERLINK("https://klasma.github.io/Logging_2523/kartor/A 41652-2023 karta.png", "A 41652-2023")</f>
        <v/>
      </c>
      <c r="V65">
        <f>HYPERLINK("https://klasma.github.io/Logging_2523/klagomål/A 41652-2023 FSC-klagomål.docx", "A 41652-2023")</f>
        <v/>
      </c>
      <c r="W65">
        <f>HYPERLINK("https://klasma.github.io/Logging_2523/klagomålsmail/A 41652-2023 FSC-klagomål mail.docx", "A 41652-2023")</f>
        <v/>
      </c>
      <c r="X65">
        <f>HYPERLINK("https://klasma.github.io/Logging_2523/tillsyn/A 41652-2023 tillsynsbegäran.docx", "A 41652-2023")</f>
        <v/>
      </c>
      <c r="Y65">
        <f>HYPERLINK("https://klasma.github.io/Logging_2523/tillsynsmail/A 41652-2023 tillsynsbegäran mail.docx", "A 41652-2023")</f>
        <v/>
      </c>
    </row>
    <row r="66" ht="15" customHeight="1">
      <c r="A66" t="inlineStr">
        <is>
          <t>A 43323-2023</t>
        </is>
      </c>
      <c r="B66" s="1" t="n">
        <v>45183</v>
      </c>
      <c r="C66" s="1" t="n">
        <v>45364</v>
      </c>
      <c r="D66" t="inlineStr">
        <is>
          <t>NORRBOTTENS LÄN</t>
        </is>
      </c>
      <c r="E66" t="inlineStr">
        <is>
          <t>GÄLLIVARE</t>
        </is>
      </c>
      <c r="F66" t="inlineStr">
        <is>
          <t>Sveaskog</t>
        </is>
      </c>
      <c r="G66" t="n">
        <v>30.4</v>
      </c>
      <c r="H66" t="n">
        <v>1</v>
      </c>
      <c r="I66" t="n">
        <v>1</v>
      </c>
      <c r="J66" t="n">
        <v>0</v>
      </c>
      <c r="K66" t="n">
        <v>0</v>
      </c>
      <c r="L66" t="n">
        <v>0</v>
      </c>
      <c r="M66" t="n">
        <v>0</v>
      </c>
      <c r="N66" t="n">
        <v>0</v>
      </c>
      <c r="O66" t="n">
        <v>0</v>
      </c>
      <c r="P66" t="n">
        <v>0</v>
      </c>
      <c r="Q66" t="n">
        <v>1</v>
      </c>
      <c r="R66" s="2" t="inlineStr">
        <is>
          <t>Plattlummer</t>
        </is>
      </c>
      <c r="S66">
        <f>HYPERLINK("https://klasma.github.io/Logging_2523/artfynd/A 43323-2023 artfynd.xlsx", "A 43323-2023")</f>
        <v/>
      </c>
      <c r="T66">
        <f>HYPERLINK("https://klasma.github.io/Logging_2523/kartor/A 43323-2023 karta.png", "A 43323-2023")</f>
        <v/>
      </c>
      <c r="V66">
        <f>HYPERLINK("https://klasma.github.io/Logging_2523/klagomål/A 43323-2023 FSC-klagomål.docx", "A 43323-2023")</f>
        <v/>
      </c>
      <c r="W66">
        <f>HYPERLINK("https://klasma.github.io/Logging_2523/klagomålsmail/A 43323-2023 FSC-klagomål mail.docx", "A 43323-2023")</f>
        <v/>
      </c>
      <c r="X66">
        <f>HYPERLINK("https://klasma.github.io/Logging_2523/tillsyn/A 43323-2023 tillsynsbegäran.docx", "A 43323-2023")</f>
        <v/>
      </c>
      <c r="Y66">
        <f>HYPERLINK("https://klasma.github.io/Logging_2523/tillsynsmail/A 43323-2023 tillsynsbegäran mail.docx", "A 43323-2023")</f>
        <v/>
      </c>
    </row>
    <row r="67" ht="15" customHeight="1">
      <c r="A67" t="inlineStr">
        <is>
          <t>A 36099-2018</t>
        </is>
      </c>
      <c r="B67" s="1" t="n">
        <v>43327</v>
      </c>
      <c r="C67" s="1" t="n">
        <v>45364</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42511-2018</t>
        </is>
      </c>
      <c r="B68" s="1" t="n">
        <v>43349</v>
      </c>
      <c r="C68" s="1" t="n">
        <v>45364</v>
      </c>
      <c r="D68" t="inlineStr">
        <is>
          <t>NORRBOTTENS LÄN</t>
        </is>
      </c>
      <c r="E68" t="inlineStr">
        <is>
          <t>GÄLLIVARE</t>
        </is>
      </c>
      <c r="G68" t="n">
        <v>4.1</v>
      </c>
      <c r="H68" t="n">
        <v>0</v>
      </c>
      <c r="I68" t="n">
        <v>0</v>
      </c>
      <c r="J68" t="n">
        <v>0</v>
      </c>
      <c r="K68" t="n">
        <v>0</v>
      </c>
      <c r="L68" t="n">
        <v>0</v>
      </c>
      <c r="M68" t="n">
        <v>0</v>
      </c>
      <c r="N68" t="n">
        <v>0</v>
      </c>
      <c r="O68" t="n">
        <v>0</v>
      </c>
      <c r="P68" t="n">
        <v>0</v>
      </c>
      <c r="Q68" t="n">
        <v>0</v>
      </c>
      <c r="R68" s="2" t="inlineStr"/>
    </row>
    <row r="69" ht="15" customHeight="1">
      <c r="A69" t="inlineStr">
        <is>
          <t>A 42698-2018</t>
        </is>
      </c>
      <c r="B69" s="1" t="n">
        <v>43350</v>
      </c>
      <c r="C69" s="1" t="n">
        <v>45364</v>
      </c>
      <c r="D69" t="inlineStr">
        <is>
          <t>NORRBOTTENS LÄN</t>
        </is>
      </c>
      <c r="E69" t="inlineStr">
        <is>
          <t>GÄLLIVARE</t>
        </is>
      </c>
      <c r="G69" t="n">
        <v>1.8</v>
      </c>
      <c r="H69" t="n">
        <v>0</v>
      </c>
      <c r="I69" t="n">
        <v>0</v>
      </c>
      <c r="J69" t="n">
        <v>0</v>
      </c>
      <c r="K69" t="n">
        <v>0</v>
      </c>
      <c r="L69" t="n">
        <v>0</v>
      </c>
      <c r="M69" t="n">
        <v>0</v>
      </c>
      <c r="N69" t="n">
        <v>0</v>
      </c>
      <c r="O69" t="n">
        <v>0</v>
      </c>
      <c r="P69" t="n">
        <v>0</v>
      </c>
      <c r="Q69" t="n">
        <v>0</v>
      </c>
      <c r="R69" s="2" t="inlineStr"/>
    </row>
    <row r="70" ht="15" customHeight="1">
      <c r="A70" t="inlineStr">
        <is>
          <t>A 43588-2018</t>
        </is>
      </c>
      <c r="B70" s="1" t="n">
        <v>43354</v>
      </c>
      <c r="C70" s="1" t="n">
        <v>45364</v>
      </c>
      <c r="D70" t="inlineStr">
        <is>
          <t>NORRBOTTENS LÄN</t>
        </is>
      </c>
      <c r="E70" t="inlineStr">
        <is>
          <t>GÄLLIVARE</t>
        </is>
      </c>
      <c r="G70" t="n">
        <v>3.2</v>
      </c>
      <c r="H70" t="n">
        <v>0</v>
      </c>
      <c r="I70" t="n">
        <v>0</v>
      </c>
      <c r="J70" t="n">
        <v>0</v>
      </c>
      <c r="K70" t="n">
        <v>0</v>
      </c>
      <c r="L70" t="n">
        <v>0</v>
      </c>
      <c r="M70" t="n">
        <v>0</v>
      </c>
      <c r="N70" t="n">
        <v>0</v>
      </c>
      <c r="O70" t="n">
        <v>0</v>
      </c>
      <c r="P70" t="n">
        <v>0</v>
      </c>
      <c r="Q70" t="n">
        <v>0</v>
      </c>
      <c r="R70" s="2" t="inlineStr"/>
    </row>
    <row r="71" ht="15" customHeight="1">
      <c r="A71" t="inlineStr">
        <is>
          <t>A 44034-2018</t>
        </is>
      </c>
      <c r="B71" s="1" t="n">
        <v>43355</v>
      </c>
      <c r="C71" s="1" t="n">
        <v>45364</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44936-2018</t>
        </is>
      </c>
      <c r="B72" s="1" t="n">
        <v>43360</v>
      </c>
      <c r="C72" s="1" t="n">
        <v>45364</v>
      </c>
      <c r="D72" t="inlineStr">
        <is>
          <t>NORRBOTTENS LÄN</t>
        </is>
      </c>
      <c r="E72" t="inlineStr">
        <is>
          <t>GÄLLIVARE</t>
        </is>
      </c>
      <c r="G72" t="n">
        <v>1.7</v>
      </c>
      <c r="H72" t="n">
        <v>0</v>
      </c>
      <c r="I72" t="n">
        <v>0</v>
      </c>
      <c r="J72" t="n">
        <v>0</v>
      </c>
      <c r="K72" t="n">
        <v>0</v>
      </c>
      <c r="L72" t="n">
        <v>0</v>
      </c>
      <c r="M72" t="n">
        <v>0</v>
      </c>
      <c r="N72" t="n">
        <v>0</v>
      </c>
      <c r="O72" t="n">
        <v>0</v>
      </c>
      <c r="P72" t="n">
        <v>0</v>
      </c>
      <c r="Q72" t="n">
        <v>0</v>
      </c>
      <c r="R72" s="2" t="inlineStr"/>
    </row>
    <row r="73" ht="15" customHeight="1">
      <c r="A73" t="inlineStr">
        <is>
          <t>A 50374-2018</t>
        </is>
      </c>
      <c r="B73" s="1" t="n">
        <v>43378</v>
      </c>
      <c r="C73" s="1" t="n">
        <v>45364</v>
      </c>
      <c r="D73" t="inlineStr">
        <is>
          <t>NORRBOTTENS LÄN</t>
        </is>
      </c>
      <c r="E73" t="inlineStr">
        <is>
          <t>GÄLLIVARE</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52429-2018</t>
        </is>
      </c>
      <c r="B74" s="1" t="n">
        <v>43388</v>
      </c>
      <c r="C74" s="1" t="n">
        <v>45364</v>
      </c>
      <c r="D74" t="inlineStr">
        <is>
          <t>NORRBOTTENS LÄN</t>
        </is>
      </c>
      <c r="E74" t="inlineStr">
        <is>
          <t>GÄLLIVARE</t>
        </is>
      </c>
      <c r="F74" t="inlineStr">
        <is>
          <t>Sveaskog</t>
        </is>
      </c>
      <c r="G74" t="n">
        <v>5.4</v>
      </c>
      <c r="H74" t="n">
        <v>0</v>
      </c>
      <c r="I74" t="n">
        <v>0</v>
      </c>
      <c r="J74" t="n">
        <v>0</v>
      </c>
      <c r="K74" t="n">
        <v>0</v>
      </c>
      <c r="L74" t="n">
        <v>0</v>
      </c>
      <c r="M74" t="n">
        <v>0</v>
      </c>
      <c r="N74" t="n">
        <v>0</v>
      </c>
      <c r="O74" t="n">
        <v>0</v>
      </c>
      <c r="P74" t="n">
        <v>0</v>
      </c>
      <c r="Q74" t="n">
        <v>0</v>
      </c>
      <c r="R74" s="2" t="inlineStr"/>
    </row>
    <row r="75" ht="15" customHeight="1">
      <c r="A75" t="inlineStr">
        <is>
          <t>A 52432-2018</t>
        </is>
      </c>
      <c r="B75" s="1" t="n">
        <v>43388</v>
      </c>
      <c r="C75" s="1" t="n">
        <v>45364</v>
      </c>
      <c r="D75" t="inlineStr">
        <is>
          <t>NORRBOTTENS LÄN</t>
        </is>
      </c>
      <c r="E75" t="inlineStr">
        <is>
          <t>GÄLLIVARE</t>
        </is>
      </c>
      <c r="F75" t="inlineStr">
        <is>
          <t>Sveaskog</t>
        </is>
      </c>
      <c r="G75" t="n">
        <v>5.1</v>
      </c>
      <c r="H75" t="n">
        <v>0</v>
      </c>
      <c r="I75" t="n">
        <v>0</v>
      </c>
      <c r="J75" t="n">
        <v>0</v>
      </c>
      <c r="K75" t="n">
        <v>0</v>
      </c>
      <c r="L75" t="n">
        <v>0</v>
      </c>
      <c r="M75" t="n">
        <v>0</v>
      </c>
      <c r="N75" t="n">
        <v>0</v>
      </c>
      <c r="O75" t="n">
        <v>0</v>
      </c>
      <c r="P75" t="n">
        <v>0</v>
      </c>
      <c r="Q75" t="n">
        <v>0</v>
      </c>
      <c r="R75" s="2" t="inlineStr"/>
    </row>
    <row r="76" ht="15" customHeight="1">
      <c r="A76" t="inlineStr">
        <is>
          <t>A 53965-2018</t>
        </is>
      </c>
      <c r="B76" s="1" t="n">
        <v>43388</v>
      </c>
      <c r="C76" s="1" t="n">
        <v>45364</v>
      </c>
      <c r="D76" t="inlineStr">
        <is>
          <t>NORRBOTTENS LÄN</t>
        </is>
      </c>
      <c r="E76" t="inlineStr">
        <is>
          <t>GÄLLIVARE</t>
        </is>
      </c>
      <c r="G76" t="n">
        <v>0.5</v>
      </c>
      <c r="H76" t="n">
        <v>0</v>
      </c>
      <c r="I76" t="n">
        <v>0</v>
      </c>
      <c r="J76" t="n">
        <v>0</v>
      </c>
      <c r="K76" t="n">
        <v>0</v>
      </c>
      <c r="L76" t="n">
        <v>0</v>
      </c>
      <c r="M76" t="n">
        <v>0</v>
      </c>
      <c r="N76" t="n">
        <v>0</v>
      </c>
      <c r="O76" t="n">
        <v>0</v>
      </c>
      <c r="P76" t="n">
        <v>0</v>
      </c>
      <c r="Q76" t="n">
        <v>0</v>
      </c>
      <c r="R76" s="2" t="inlineStr"/>
    </row>
    <row r="77" ht="15" customHeight="1">
      <c r="A77" t="inlineStr">
        <is>
          <t>A 52428-2018</t>
        </is>
      </c>
      <c r="B77" s="1" t="n">
        <v>43388</v>
      </c>
      <c r="C77" s="1" t="n">
        <v>45364</v>
      </c>
      <c r="D77" t="inlineStr">
        <is>
          <t>NORRBOTTENS LÄN</t>
        </is>
      </c>
      <c r="E77" t="inlineStr">
        <is>
          <t>GÄLLIVARE</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53077-2018</t>
        </is>
      </c>
      <c r="B78" s="1" t="n">
        <v>43390</v>
      </c>
      <c r="C78" s="1" t="n">
        <v>45364</v>
      </c>
      <c r="D78" t="inlineStr">
        <is>
          <t>NORRBOTTENS LÄN</t>
        </is>
      </c>
      <c r="E78" t="inlineStr">
        <is>
          <t>GÄLLIVARE</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53401-2018</t>
        </is>
      </c>
      <c r="B79" s="1" t="n">
        <v>43390</v>
      </c>
      <c r="C79" s="1" t="n">
        <v>45364</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53171-2018</t>
        </is>
      </c>
      <c r="B80" s="1" t="n">
        <v>43390</v>
      </c>
      <c r="C80" s="1" t="n">
        <v>45364</v>
      </c>
      <c r="D80" t="inlineStr">
        <is>
          <t>NORRBOTTENS LÄN</t>
        </is>
      </c>
      <c r="E80" t="inlineStr">
        <is>
          <t>GÄLLIVARE</t>
        </is>
      </c>
      <c r="F80" t="inlineStr">
        <is>
          <t>Sveaskog</t>
        </is>
      </c>
      <c r="G80" t="n">
        <v>4.3</v>
      </c>
      <c r="H80" t="n">
        <v>0</v>
      </c>
      <c r="I80" t="n">
        <v>0</v>
      </c>
      <c r="J80" t="n">
        <v>0</v>
      </c>
      <c r="K80" t="n">
        <v>0</v>
      </c>
      <c r="L80" t="n">
        <v>0</v>
      </c>
      <c r="M80" t="n">
        <v>0</v>
      </c>
      <c r="N80" t="n">
        <v>0</v>
      </c>
      <c r="O80" t="n">
        <v>0</v>
      </c>
      <c r="P80" t="n">
        <v>0</v>
      </c>
      <c r="Q80" t="n">
        <v>0</v>
      </c>
      <c r="R80" s="2" t="inlineStr"/>
    </row>
    <row r="81" ht="15" customHeight="1">
      <c r="A81" t="inlineStr">
        <is>
          <t>A 55790-2018</t>
        </is>
      </c>
      <c r="B81" s="1" t="n">
        <v>43392</v>
      </c>
      <c r="C81" s="1" t="n">
        <v>45364</v>
      </c>
      <c r="D81" t="inlineStr">
        <is>
          <t>NORRBOTTENS LÄN</t>
        </is>
      </c>
      <c r="E81" t="inlineStr">
        <is>
          <t>GÄLLIVARE</t>
        </is>
      </c>
      <c r="G81" t="n">
        <v>32.8</v>
      </c>
      <c r="H81" t="n">
        <v>0</v>
      </c>
      <c r="I81" t="n">
        <v>0</v>
      </c>
      <c r="J81" t="n">
        <v>0</v>
      </c>
      <c r="K81" t="n">
        <v>0</v>
      </c>
      <c r="L81" t="n">
        <v>0</v>
      </c>
      <c r="M81" t="n">
        <v>0</v>
      </c>
      <c r="N81" t="n">
        <v>0</v>
      </c>
      <c r="O81" t="n">
        <v>0</v>
      </c>
      <c r="P81" t="n">
        <v>0</v>
      </c>
      <c r="Q81" t="n">
        <v>0</v>
      </c>
      <c r="R81" s="2" t="inlineStr"/>
    </row>
    <row r="82" ht="15" customHeight="1">
      <c r="A82" t="inlineStr">
        <is>
          <t>A 56387-2018</t>
        </is>
      </c>
      <c r="B82" s="1" t="n">
        <v>43395</v>
      </c>
      <c r="C82" s="1" t="n">
        <v>45364</v>
      </c>
      <c r="D82" t="inlineStr">
        <is>
          <t>NORRBOTTENS LÄN</t>
        </is>
      </c>
      <c r="E82" t="inlineStr">
        <is>
          <t>GÄLLIVARE</t>
        </is>
      </c>
      <c r="G82" t="n">
        <v>3.7</v>
      </c>
      <c r="H82" t="n">
        <v>0</v>
      </c>
      <c r="I82" t="n">
        <v>0</v>
      </c>
      <c r="J82" t="n">
        <v>0</v>
      </c>
      <c r="K82" t="n">
        <v>0</v>
      </c>
      <c r="L82" t="n">
        <v>0</v>
      </c>
      <c r="M82" t="n">
        <v>0</v>
      </c>
      <c r="N82" t="n">
        <v>0</v>
      </c>
      <c r="O82" t="n">
        <v>0</v>
      </c>
      <c r="P82" t="n">
        <v>0</v>
      </c>
      <c r="Q82" t="n">
        <v>0</v>
      </c>
      <c r="R82" s="2" t="inlineStr"/>
    </row>
    <row r="83" ht="15" customHeight="1">
      <c r="A83" t="inlineStr">
        <is>
          <t>A 60435-2018</t>
        </is>
      </c>
      <c r="B83" s="1" t="n">
        <v>43406</v>
      </c>
      <c r="C83" s="1" t="n">
        <v>45364</v>
      </c>
      <c r="D83" t="inlineStr">
        <is>
          <t>NORRBOTTENS LÄN</t>
        </is>
      </c>
      <c r="E83" t="inlineStr">
        <is>
          <t>GÄLLIVARE</t>
        </is>
      </c>
      <c r="G83" t="n">
        <v>2.3</v>
      </c>
      <c r="H83" t="n">
        <v>0</v>
      </c>
      <c r="I83" t="n">
        <v>0</v>
      </c>
      <c r="J83" t="n">
        <v>0</v>
      </c>
      <c r="K83" t="n">
        <v>0</v>
      </c>
      <c r="L83" t="n">
        <v>0</v>
      </c>
      <c r="M83" t="n">
        <v>0</v>
      </c>
      <c r="N83" t="n">
        <v>0</v>
      </c>
      <c r="O83" t="n">
        <v>0</v>
      </c>
      <c r="P83" t="n">
        <v>0</v>
      </c>
      <c r="Q83" t="n">
        <v>0</v>
      </c>
      <c r="R83" s="2" t="inlineStr"/>
    </row>
    <row r="84" ht="15" customHeight="1">
      <c r="A84" t="inlineStr">
        <is>
          <t>A 60008-2018</t>
        </is>
      </c>
      <c r="B84" s="1" t="n">
        <v>43411</v>
      </c>
      <c r="C84" s="1" t="n">
        <v>45364</v>
      </c>
      <c r="D84" t="inlineStr">
        <is>
          <t>NORRBOTTENS LÄN</t>
        </is>
      </c>
      <c r="E84" t="inlineStr">
        <is>
          <t>GÄLLIVARE</t>
        </is>
      </c>
      <c r="G84" t="n">
        <v>3.4</v>
      </c>
      <c r="H84" t="n">
        <v>0</v>
      </c>
      <c r="I84" t="n">
        <v>0</v>
      </c>
      <c r="J84" t="n">
        <v>0</v>
      </c>
      <c r="K84" t="n">
        <v>0</v>
      </c>
      <c r="L84" t="n">
        <v>0</v>
      </c>
      <c r="M84" t="n">
        <v>0</v>
      </c>
      <c r="N84" t="n">
        <v>0</v>
      </c>
      <c r="O84" t="n">
        <v>0</v>
      </c>
      <c r="P84" t="n">
        <v>0</v>
      </c>
      <c r="Q84" t="n">
        <v>0</v>
      </c>
      <c r="R84" s="2" t="inlineStr"/>
    </row>
    <row r="85" ht="15" customHeight="1">
      <c r="A85" t="inlineStr">
        <is>
          <t>A 61389-2018</t>
        </is>
      </c>
      <c r="B85" s="1" t="n">
        <v>43413</v>
      </c>
      <c r="C85" s="1" t="n">
        <v>45364</v>
      </c>
      <c r="D85" t="inlineStr">
        <is>
          <t>NORRBOTTENS LÄN</t>
        </is>
      </c>
      <c r="E85" t="inlineStr">
        <is>
          <t>GÄLLIVARE</t>
        </is>
      </c>
      <c r="G85" t="n">
        <v>4</v>
      </c>
      <c r="H85" t="n">
        <v>0</v>
      </c>
      <c r="I85" t="n">
        <v>0</v>
      </c>
      <c r="J85" t="n">
        <v>0</v>
      </c>
      <c r="K85" t="n">
        <v>0</v>
      </c>
      <c r="L85" t="n">
        <v>0</v>
      </c>
      <c r="M85" t="n">
        <v>0</v>
      </c>
      <c r="N85" t="n">
        <v>0</v>
      </c>
      <c r="O85" t="n">
        <v>0</v>
      </c>
      <c r="P85" t="n">
        <v>0</v>
      </c>
      <c r="Q85" t="n">
        <v>0</v>
      </c>
      <c r="R85" s="2" t="inlineStr"/>
    </row>
    <row r="86" ht="15" customHeight="1">
      <c r="A86" t="inlineStr">
        <is>
          <t>A 61403-2018</t>
        </is>
      </c>
      <c r="B86" s="1" t="n">
        <v>43413</v>
      </c>
      <c r="C86" s="1" t="n">
        <v>45364</v>
      </c>
      <c r="D86" t="inlineStr">
        <is>
          <t>NORRBOTTENS LÄN</t>
        </is>
      </c>
      <c r="E86" t="inlineStr">
        <is>
          <t>GÄLLIVARE</t>
        </is>
      </c>
      <c r="G86" t="n">
        <v>7.9</v>
      </c>
      <c r="H86" t="n">
        <v>0</v>
      </c>
      <c r="I86" t="n">
        <v>0</v>
      </c>
      <c r="J86" t="n">
        <v>0</v>
      </c>
      <c r="K86" t="n">
        <v>0</v>
      </c>
      <c r="L86" t="n">
        <v>0</v>
      </c>
      <c r="M86" t="n">
        <v>0</v>
      </c>
      <c r="N86" t="n">
        <v>0</v>
      </c>
      <c r="O86" t="n">
        <v>0</v>
      </c>
      <c r="P86" t="n">
        <v>0</v>
      </c>
      <c r="Q86" t="n">
        <v>0</v>
      </c>
      <c r="R86" s="2" t="inlineStr"/>
    </row>
    <row r="87" ht="15" customHeight="1">
      <c r="A87" t="inlineStr">
        <is>
          <t>A 61399-2018</t>
        </is>
      </c>
      <c r="B87" s="1" t="n">
        <v>43413</v>
      </c>
      <c r="C87" s="1" t="n">
        <v>45364</v>
      </c>
      <c r="D87" t="inlineStr">
        <is>
          <t>NORRBOTTENS LÄN</t>
        </is>
      </c>
      <c r="E87" t="inlineStr">
        <is>
          <t>GÄLLIVARE</t>
        </is>
      </c>
      <c r="G87" t="n">
        <v>4.1</v>
      </c>
      <c r="H87" t="n">
        <v>0</v>
      </c>
      <c r="I87" t="n">
        <v>0</v>
      </c>
      <c r="J87" t="n">
        <v>0</v>
      </c>
      <c r="K87" t="n">
        <v>0</v>
      </c>
      <c r="L87" t="n">
        <v>0</v>
      </c>
      <c r="M87" t="n">
        <v>0</v>
      </c>
      <c r="N87" t="n">
        <v>0</v>
      </c>
      <c r="O87" t="n">
        <v>0</v>
      </c>
      <c r="P87" t="n">
        <v>0</v>
      </c>
      <c r="Q87" t="n">
        <v>0</v>
      </c>
      <c r="R87" s="2" t="inlineStr"/>
    </row>
    <row r="88" ht="15" customHeight="1">
      <c r="A88" t="inlineStr">
        <is>
          <t>A 62502-2018</t>
        </is>
      </c>
      <c r="B88" s="1" t="n">
        <v>43414</v>
      </c>
      <c r="C88" s="1" t="n">
        <v>45364</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63231-2018</t>
        </is>
      </c>
      <c r="B89" s="1" t="n">
        <v>43416</v>
      </c>
      <c r="C89" s="1" t="n">
        <v>45364</v>
      </c>
      <c r="D89" t="inlineStr">
        <is>
          <t>NORRBOTTENS LÄN</t>
        </is>
      </c>
      <c r="E89" t="inlineStr">
        <is>
          <t>GÄLLIVARE</t>
        </is>
      </c>
      <c r="G89" t="n">
        <v>1.3</v>
      </c>
      <c r="H89" t="n">
        <v>0</v>
      </c>
      <c r="I89" t="n">
        <v>0</v>
      </c>
      <c r="J89" t="n">
        <v>0</v>
      </c>
      <c r="K89" t="n">
        <v>0</v>
      </c>
      <c r="L89" t="n">
        <v>0</v>
      </c>
      <c r="M89" t="n">
        <v>0</v>
      </c>
      <c r="N89" t="n">
        <v>0</v>
      </c>
      <c r="O89" t="n">
        <v>0</v>
      </c>
      <c r="P89" t="n">
        <v>0</v>
      </c>
      <c r="Q89" t="n">
        <v>0</v>
      </c>
      <c r="R89" s="2" t="inlineStr"/>
    </row>
    <row r="90" ht="15" customHeight="1">
      <c r="A90" t="inlineStr">
        <is>
          <t>A 59433-2018</t>
        </is>
      </c>
      <c r="B90" s="1" t="n">
        <v>43418</v>
      </c>
      <c r="C90" s="1" t="n">
        <v>45364</v>
      </c>
      <c r="D90" t="inlineStr">
        <is>
          <t>NORRBOTTENS LÄN</t>
        </is>
      </c>
      <c r="E90" t="inlineStr">
        <is>
          <t>GÄLLIVARE</t>
        </is>
      </c>
      <c r="F90" t="inlineStr">
        <is>
          <t>SCA</t>
        </is>
      </c>
      <c r="G90" t="n">
        <v>3</v>
      </c>
      <c r="H90" t="n">
        <v>0</v>
      </c>
      <c r="I90" t="n">
        <v>0</v>
      </c>
      <c r="J90" t="n">
        <v>0</v>
      </c>
      <c r="K90" t="n">
        <v>0</v>
      </c>
      <c r="L90" t="n">
        <v>0</v>
      </c>
      <c r="M90" t="n">
        <v>0</v>
      </c>
      <c r="N90" t="n">
        <v>0</v>
      </c>
      <c r="O90" t="n">
        <v>0</v>
      </c>
      <c r="P90" t="n">
        <v>0</v>
      </c>
      <c r="Q90" t="n">
        <v>0</v>
      </c>
      <c r="R90" s="2" t="inlineStr"/>
    </row>
    <row r="91" ht="15" customHeight="1">
      <c r="A91" t="inlineStr">
        <is>
          <t>A 65161-2018</t>
        </is>
      </c>
      <c r="B91" s="1" t="n">
        <v>43423</v>
      </c>
      <c r="C91" s="1" t="n">
        <v>45364</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60985-2018</t>
        </is>
      </c>
      <c r="B92" s="1" t="n">
        <v>43423</v>
      </c>
      <c r="C92" s="1" t="n">
        <v>45364</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62931-2018</t>
        </is>
      </c>
      <c r="B93" s="1" t="n">
        <v>43426</v>
      </c>
      <c r="C93" s="1" t="n">
        <v>45364</v>
      </c>
      <c r="D93" t="inlineStr">
        <is>
          <t>NORRBOTTENS LÄN</t>
        </is>
      </c>
      <c r="E93" t="inlineStr">
        <is>
          <t>GÄLLIVARE</t>
        </is>
      </c>
      <c r="G93" t="n">
        <v>14.7</v>
      </c>
      <c r="H93" t="n">
        <v>0</v>
      </c>
      <c r="I93" t="n">
        <v>0</v>
      </c>
      <c r="J93" t="n">
        <v>0</v>
      </c>
      <c r="K93" t="n">
        <v>0</v>
      </c>
      <c r="L93" t="n">
        <v>0</v>
      </c>
      <c r="M93" t="n">
        <v>0</v>
      </c>
      <c r="N93" t="n">
        <v>0</v>
      </c>
      <c r="O93" t="n">
        <v>0</v>
      </c>
      <c r="P93" t="n">
        <v>0</v>
      </c>
      <c r="Q93" t="n">
        <v>0</v>
      </c>
      <c r="R93" s="2" t="inlineStr"/>
    </row>
    <row r="94" ht="15" customHeight="1">
      <c r="A94" t="inlineStr">
        <is>
          <t>A 63450-2018</t>
        </is>
      </c>
      <c r="B94" s="1" t="n">
        <v>43427</v>
      </c>
      <c r="C94" s="1" t="n">
        <v>45364</v>
      </c>
      <c r="D94" t="inlineStr">
        <is>
          <t>NORRBOTTENS LÄN</t>
        </is>
      </c>
      <c r="E94" t="inlineStr">
        <is>
          <t>GÄLLIVARE</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63478-2018</t>
        </is>
      </c>
      <c r="B95" s="1" t="n">
        <v>43427</v>
      </c>
      <c r="C95" s="1" t="n">
        <v>45364</v>
      </c>
      <c r="D95" t="inlineStr">
        <is>
          <t>NORRBOTTENS LÄN</t>
        </is>
      </c>
      <c r="E95" t="inlineStr">
        <is>
          <t>GÄLLIVARE</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63480-2018</t>
        </is>
      </c>
      <c r="B96" s="1" t="n">
        <v>43427</v>
      </c>
      <c r="C96" s="1" t="n">
        <v>45364</v>
      </c>
      <c r="D96" t="inlineStr">
        <is>
          <t>NORRBOTTENS LÄN</t>
        </is>
      </c>
      <c r="E96" t="inlineStr">
        <is>
          <t>GÄLLIVARE</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63463-2018</t>
        </is>
      </c>
      <c r="B97" s="1" t="n">
        <v>43427</v>
      </c>
      <c r="C97" s="1" t="n">
        <v>45364</v>
      </c>
      <c r="D97" t="inlineStr">
        <is>
          <t>NORRBOTTENS LÄN</t>
        </is>
      </c>
      <c r="E97" t="inlineStr">
        <is>
          <t>GÄLLIVARE</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63903-2018</t>
        </is>
      </c>
      <c r="B98" s="1" t="n">
        <v>43430</v>
      </c>
      <c r="C98" s="1" t="n">
        <v>45364</v>
      </c>
      <c r="D98" t="inlineStr">
        <is>
          <t>NORRBOTTENS LÄN</t>
        </is>
      </c>
      <c r="E98" t="inlineStr">
        <is>
          <t>GÄLLIVARE</t>
        </is>
      </c>
      <c r="F98" t="inlineStr">
        <is>
          <t>Sveaskog</t>
        </is>
      </c>
      <c r="G98" t="n">
        <v>5.1</v>
      </c>
      <c r="H98" t="n">
        <v>0</v>
      </c>
      <c r="I98" t="n">
        <v>0</v>
      </c>
      <c r="J98" t="n">
        <v>0</v>
      </c>
      <c r="K98" t="n">
        <v>0</v>
      </c>
      <c r="L98" t="n">
        <v>0</v>
      </c>
      <c r="M98" t="n">
        <v>0</v>
      </c>
      <c r="N98" t="n">
        <v>0</v>
      </c>
      <c r="O98" t="n">
        <v>0</v>
      </c>
      <c r="P98" t="n">
        <v>0</v>
      </c>
      <c r="Q98" t="n">
        <v>0</v>
      </c>
      <c r="R98" s="2" t="inlineStr"/>
    </row>
    <row r="99" ht="15" customHeight="1">
      <c r="A99" t="inlineStr">
        <is>
          <t>A 63889-2018</t>
        </is>
      </c>
      <c r="B99" s="1" t="n">
        <v>43430</v>
      </c>
      <c r="C99" s="1" t="n">
        <v>45364</v>
      </c>
      <c r="D99" t="inlineStr">
        <is>
          <t>NORRBOTTENS LÄN</t>
        </is>
      </c>
      <c r="E99" t="inlineStr">
        <is>
          <t>GÄLLIVARE</t>
        </is>
      </c>
      <c r="F99" t="inlineStr">
        <is>
          <t>Sveaskog</t>
        </is>
      </c>
      <c r="G99" t="n">
        <v>11.5</v>
      </c>
      <c r="H99" t="n">
        <v>0</v>
      </c>
      <c r="I99" t="n">
        <v>0</v>
      </c>
      <c r="J99" t="n">
        <v>0</v>
      </c>
      <c r="K99" t="n">
        <v>0</v>
      </c>
      <c r="L99" t="n">
        <v>0</v>
      </c>
      <c r="M99" t="n">
        <v>0</v>
      </c>
      <c r="N99" t="n">
        <v>0</v>
      </c>
      <c r="O99" t="n">
        <v>0</v>
      </c>
      <c r="P99" t="n">
        <v>0</v>
      </c>
      <c r="Q99" t="n">
        <v>0</v>
      </c>
      <c r="R99" s="2" t="inlineStr"/>
    </row>
    <row r="100" ht="15" customHeight="1">
      <c r="A100" t="inlineStr">
        <is>
          <t>A 64297-2018</t>
        </is>
      </c>
      <c r="B100" s="1" t="n">
        <v>43430</v>
      </c>
      <c r="C100" s="1" t="n">
        <v>45364</v>
      </c>
      <c r="D100" t="inlineStr">
        <is>
          <t>NORRBOTTENS LÄN</t>
        </is>
      </c>
      <c r="E100" t="inlineStr">
        <is>
          <t>GÄLLIVARE</t>
        </is>
      </c>
      <c r="F100" t="inlineStr">
        <is>
          <t>Sveaskog</t>
        </is>
      </c>
      <c r="G100" t="n">
        <v>4.1</v>
      </c>
      <c r="H100" t="n">
        <v>0</v>
      </c>
      <c r="I100" t="n">
        <v>0</v>
      </c>
      <c r="J100" t="n">
        <v>0</v>
      </c>
      <c r="K100" t="n">
        <v>0</v>
      </c>
      <c r="L100" t="n">
        <v>0</v>
      </c>
      <c r="M100" t="n">
        <v>0</v>
      </c>
      <c r="N100" t="n">
        <v>0</v>
      </c>
      <c r="O100" t="n">
        <v>0</v>
      </c>
      <c r="P100" t="n">
        <v>0</v>
      </c>
      <c r="Q100" t="n">
        <v>0</v>
      </c>
      <c r="R100" s="2" t="inlineStr"/>
    </row>
    <row r="101" ht="15" customHeight="1">
      <c r="A101" t="inlineStr">
        <is>
          <t>A 63907-2018</t>
        </is>
      </c>
      <c r="B101" s="1" t="n">
        <v>43430</v>
      </c>
      <c r="C101" s="1" t="n">
        <v>45364</v>
      </c>
      <c r="D101" t="inlineStr">
        <is>
          <t>NORRBOTTENS LÄN</t>
        </is>
      </c>
      <c r="E101" t="inlineStr">
        <is>
          <t>GÄLLIVARE</t>
        </is>
      </c>
      <c r="F101" t="inlineStr">
        <is>
          <t>Sveaskog</t>
        </is>
      </c>
      <c r="G101" t="n">
        <v>12.4</v>
      </c>
      <c r="H101" t="n">
        <v>0</v>
      </c>
      <c r="I101" t="n">
        <v>0</v>
      </c>
      <c r="J101" t="n">
        <v>0</v>
      </c>
      <c r="K101" t="n">
        <v>0</v>
      </c>
      <c r="L101" t="n">
        <v>0</v>
      </c>
      <c r="M101" t="n">
        <v>0</v>
      </c>
      <c r="N101" t="n">
        <v>0</v>
      </c>
      <c r="O101" t="n">
        <v>0</v>
      </c>
      <c r="P101" t="n">
        <v>0</v>
      </c>
      <c r="Q101" t="n">
        <v>0</v>
      </c>
      <c r="R101" s="2" t="inlineStr"/>
    </row>
    <row r="102" ht="15" customHeight="1">
      <c r="A102" t="inlineStr">
        <is>
          <t>A 64040-2018</t>
        </is>
      </c>
      <c r="B102" s="1" t="n">
        <v>43430</v>
      </c>
      <c r="C102" s="1" t="n">
        <v>45364</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63906-2018</t>
        </is>
      </c>
      <c r="B103" s="1" t="n">
        <v>43430</v>
      </c>
      <c r="C103" s="1" t="n">
        <v>45364</v>
      </c>
      <c r="D103" t="inlineStr">
        <is>
          <t>NORRBOTTENS LÄN</t>
        </is>
      </c>
      <c r="E103" t="inlineStr">
        <is>
          <t>GÄLLIVARE</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63894-2018</t>
        </is>
      </c>
      <c r="B104" s="1" t="n">
        <v>43430</v>
      </c>
      <c r="C104" s="1" t="n">
        <v>45364</v>
      </c>
      <c r="D104" t="inlineStr">
        <is>
          <t>NORRBOTTENS LÄN</t>
        </is>
      </c>
      <c r="E104" t="inlineStr">
        <is>
          <t>GÄLLIVARE</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64672-2018</t>
        </is>
      </c>
      <c r="B105" s="1" t="n">
        <v>43431</v>
      </c>
      <c r="C105" s="1" t="n">
        <v>45364</v>
      </c>
      <c r="D105" t="inlineStr">
        <is>
          <t>NORRBOTTENS LÄN</t>
        </is>
      </c>
      <c r="E105" t="inlineStr">
        <is>
          <t>GÄLLIVARE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65429-2018</t>
        </is>
      </c>
      <c r="B106" s="1" t="n">
        <v>43433</v>
      </c>
      <c r="C106" s="1" t="n">
        <v>45364</v>
      </c>
      <c r="D106" t="inlineStr">
        <is>
          <t>NORRBOTTENS LÄN</t>
        </is>
      </c>
      <c r="E106" t="inlineStr">
        <is>
          <t>GÄLLIVARE</t>
        </is>
      </c>
      <c r="F106" t="inlineStr">
        <is>
          <t>Sveaskog</t>
        </is>
      </c>
      <c r="G106" t="n">
        <v>5.4</v>
      </c>
      <c r="H106" t="n">
        <v>0</v>
      </c>
      <c r="I106" t="n">
        <v>0</v>
      </c>
      <c r="J106" t="n">
        <v>0</v>
      </c>
      <c r="K106" t="n">
        <v>0</v>
      </c>
      <c r="L106" t="n">
        <v>0</v>
      </c>
      <c r="M106" t="n">
        <v>0</v>
      </c>
      <c r="N106" t="n">
        <v>0</v>
      </c>
      <c r="O106" t="n">
        <v>0</v>
      </c>
      <c r="P106" t="n">
        <v>0</v>
      </c>
      <c r="Q106" t="n">
        <v>0</v>
      </c>
      <c r="R106" s="2" t="inlineStr"/>
    </row>
    <row r="107" ht="15" customHeight="1">
      <c r="A107" t="inlineStr">
        <is>
          <t>A 68673-2018</t>
        </is>
      </c>
      <c r="B107" s="1" t="n">
        <v>43444</v>
      </c>
      <c r="C107" s="1" t="n">
        <v>45364</v>
      </c>
      <c r="D107" t="inlineStr">
        <is>
          <t>NORRBOTTENS LÄN</t>
        </is>
      </c>
      <c r="E107" t="inlineStr">
        <is>
          <t>GÄLLIVARE</t>
        </is>
      </c>
      <c r="G107" t="n">
        <v>0.8</v>
      </c>
      <c r="H107" t="n">
        <v>0</v>
      </c>
      <c r="I107" t="n">
        <v>0</v>
      </c>
      <c r="J107" t="n">
        <v>0</v>
      </c>
      <c r="K107" t="n">
        <v>0</v>
      </c>
      <c r="L107" t="n">
        <v>0</v>
      </c>
      <c r="M107" t="n">
        <v>0</v>
      </c>
      <c r="N107" t="n">
        <v>0</v>
      </c>
      <c r="O107" t="n">
        <v>0</v>
      </c>
      <c r="P107" t="n">
        <v>0</v>
      </c>
      <c r="Q107" t="n">
        <v>0</v>
      </c>
      <c r="R107" s="2" t="inlineStr"/>
    </row>
    <row r="108" ht="15" customHeight="1">
      <c r="A108" t="inlineStr">
        <is>
          <t>A 68759-2018</t>
        </is>
      </c>
      <c r="B108" s="1" t="n">
        <v>43444</v>
      </c>
      <c r="C108" s="1" t="n">
        <v>45364</v>
      </c>
      <c r="D108" t="inlineStr">
        <is>
          <t>NORRBOTTENS LÄN</t>
        </is>
      </c>
      <c r="E108" t="inlineStr">
        <is>
          <t>GÄLLIVARE</t>
        </is>
      </c>
      <c r="F108" t="inlineStr">
        <is>
          <t>Sveaskog</t>
        </is>
      </c>
      <c r="G108" t="n">
        <v>18.8</v>
      </c>
      <c r="H108" t="n">
        <v>0</v>
      </c>
      <c r="I108" t="n">
        <v>0</v>
      </c>
      <c r="J108" t="n">
        <v>0</v>
      </c>
      <c r="K108" t="n">
        <v>0</v>
      </c>
      <c r="L108" t="n">
        <v>0</v>
      </c>
      <c r="M108" t="n">
        <v>0</v>
      </c>
      <c r="N108" t="n">
        <v>0</v>
      </c>
      <c r="O108" t="n">
        <v>0</v>
      </c>
      <c r="P108" t="n">
        <v>0</v>
      </c>
      <c r="Q108" t="n">
        <v>0</v>
      </c>
      <c r="R108" s="2" t="inlineStr"/>
    </row>
    <row r="109" ht="15" customHeight="1">
      <c r="A109" t="inlineStr">
        <is>
          <t>A 68741-2018</t>
        </is>
      </c>
      <c r="B109" s="1" t="n">
        <v>43444</v>
      </c>
      <c r="C109" s="1" t="n">
        <v>45364</v>
      </c>
      <c r="D109" t="inlineStr">
        <is>
          <t>NORRBOTTENS LÄN</t>
        </is>
      </c>
      <c r="E109" t="inlineStr">
        <is>
          <t>GÄLLIVARE</t>
        </is>
      </c>
      <c r="F109" t="inlineStr">
        <is>
          <t>Sveaskog</t>
        </is>
      </c>
      <c r="G109" t="n">
        <v>3.8</v>
      </c>
      <c r="H109" t="n">
        <v>0</v>
      </c>
      <c r="I109" t="n">
        <v>0</v>
      </c>
      <c r="J109" t="n">
        <v>0</v>
      </c>
      <c r="K109" t="n">
        <v>0</v>
      </c>
      <c r="L109" t="n">
        <v>0</v>
      </c>
      <c r="M109" t="n">
        <v>0</v>
      </c>
      <c r="N109" t="n">
        <v>0</v>
      </c>
      <c r="O109" t="n">
        <v>0</v>
      </c>
      <c r="P109" t="n">
        <v>0</v>
      </c>
      <c r="Q109" t="n">
        <v>0</v>
      </c>
      <c r="R109" s="2" t="inlineStr"/>
    </row>
    <row r="110" ht="15" customHeight="1">
      <c r="A110" t="inlineStr">
        <is>
          <t>A 68735-2018</t>
        </is>
      </c>
      <c r="B110" s="1" t="n">
        <v>43444</v>
      </c>
      <c r="C110" s="1" t="n">
        <v>45364</v>
      </c>
      <c r="D110" t="inlineStr">
        <is>
          <t>NORRBOTTENS LÄN</t>
        </is>
      </c>
      <c r="E110" t="inlineStr">
        <is>
          <t>GÄLLIVARE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69776-2018</t>
        </is>
      </c>
      <c r="B111" s="1" t="n">
        <v>43447</v>
      </c>
      <c r="C111" s="1" t="n">
        <v>45364</v>
      </c>
      <c r="D111" t="inlineStr">
        <is>
          <t>NORRBOTTENS LÄN</t>
        </is>
      </c>
      <c r="E111" t="inlineStr">
        <is>
          <t>GÄLLIVARE</t>
        </is>
      </c>
      <c r="F111" t="inlineStr">
        <is>
          <t>Sveaskog</t>
        </is>
      </c>
      <c r="G111" t="n">
        <v>4.1</v>
      </c>
      <c r="H111" t="n">
        <v>0</v>
      </c>
      <c r="I111" t="n">
        <v>0</v>
      </c>
      <c r="J111" t="n">
        <v>0</v>
      </c>
      <c r="K111" t="n">
        <v>0</v>
      </c>
      <c r="L111" t="n">
        <v>0</v>
      </c>
      <c r="M111" t="n">
        <v>0</v>
      </c>
      <c r="N111" t="n">
        <v>0</v>
      </c>
      <c r="O111" t="n">
        <v>0</v>
      </c>
      <c r="P111" t="n">
        <v>0</v>
      </c>
      <c r="Q111" t="n">
        <v>0</v>
      </c>
      <c r="R111" s="2" t="inlineStr"/>
    </row>
    <row r="112" ht="15" customHeight="1">
      <c r="A112" t="inlineStr">
        <is>
          <t>A 70809-2018</t>
        </is>
      </c>
      <c r="B112" s="1" t="n">
        <v>43451</v>
      </c>
      <c r="C112" s="1" t="n">
        <v>45364</v>
      </c>
      <c r="D112" t="inlineStr">
        <is>
          <t>NORRBOTTENS LÄN</t>
        </is>
      </c>
      <c r="E112" t="inlineStr">
        <is>
          <t>GÄLLIVARE</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70807-2018</t>
        </is>
      </c>
      <c r="B113" s="1" t="n">
        <v>43451</v>
      </c>
      <c r="C113" s="1" t="n">
        <v>45364</v>
      </c>
      <c r="D113" t="inlineStr">
        <is>
          <t>NORRBOTTENS LÄN</t>
        </is>
      </c>
      <c r="E113" t="inlineStr">
        <is>
          <t>GÄLLIVARE</t>
        </is>
      </c>
      <c r="F113" t="inlineStr">
        <is>
          <t>SCA</t>
        </is>
      </c>
      <c r="G113" t="n">
        <v>5.3</v>
      </c>
      <c r="H113" t="n">
        <v>0</v>
      </c>
      <c r="I113" t="n">
        <v>0</v>
      </c>
      <c r="J113" t="n">
        <v>0</v>
      </c>
      <c r="K113" t="n">
        <v>0</v>
      </c>
      <c r="L113" t="n">
        <v>0</v>
      </c>
      <c r="M113" t="n">
        <v>0</v>
      </c>
      <c r="N113" t="n">
        <v>0</v>
      </c>
      <c r="O113" t="n">
        <v>0</v>
      </c>
      <c r="P113" t="n">
        <v>0</v>
      </c>
      <c r="Q113" t="n">
        <v>0</v>
      </c>
      <c r="R113" s="2" t="inlineStr"/>
    </row>
    <row r="114" ht="15" customHeight="1">
      <c r="A114" t="inlineStr">
        <is>
          <t>A 71920-2018</t>
        </is>
      </c>
      <c r="B114" s="1" t="n">
        <v>43452</v>
      </c>
      <c r="C114" s="1" t="n">
        <v>45364</v>
      </c>
      <c r="D114" t="inlineStr">
        <is>
          <t>NORRBOTTENS LÄN</t>
        </is>
      </c>
      <c r="E114" t="inlineStr">
        <is>
          <t>GÄLLIVARE</t>
        </is>
      </c>
      <c r="G114" t="n">
        <v>4.7</v>
      </c>
      <c r="H114" t="n">
        <v>0</v>
      </c>
      <c r="I114" t="n">
        <v>0</v>
      </c>
      <c r="J114" t="n">
        <v>0</v>
      </c>
      <c r="K114" t="n">
        <v>0</v>
      </c>
      <c r="L114" t="n">
        <v>0</v>
      </c>
      <c r="M114" t="n">
        <v>0</v>
      </c>
      <c r="N114" t="n">
        <v>0</v>
      </c>
      <c r="O114" t="n">
        <v>0</v>
      </c>
      <c r="P114" t="n">
        <v>0</v>
      </c>
      <c r="Q114" t="n">
        <v>0</v>
      </c>
      <c r="R114" s="2" t="inlineStr"/>
    </row>
    <row r="115" ht="15" customHeight="1">
      <c r="A115" t="inlineStr">
        <is>
          <t>A 102-2019</t>
        </is>
      </c>
      <c r="B115" s="1" t="n">
        <v>43467</v>
      </c>
      <c r="C115" s="1" t="n">
        <v>45364</v>
      </c>
      <c r="D115" t="inlineStr">
        <is>
          <t>NORRBOTTENS LÄN</t>
        </is>
      </c>
      <c r="E115" t="inlineStr">
        <is>
          <t>GÄLLIVARE</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2005-2019</t>
        </is>
      </c>
      <c r="B116" s="1" t="n">
        <v>43467</v>
      </c>
      <c r="C116" s="1" t="n">
        <v>45364</v>
      </c>
      <c r="D116" t="inlineStr">
        <is>
          <t>NORRBOTTENS LÄN</t>
        </is>
      </c>
      <c r="E116" t="inlineStr">
        <is>
          <t>GÄLLIVARE</t>
        </is>
      </c>
      <c r="G116" t="n">
        <v>1.5</v>
      </c>
      <c r="H116" t="n">
        <v>0</v>
      </c>
      <c r="I116" t="n">
        <v>0</v>
      </c>
      <c r="J116" t="n">
        <v>0</v>
      </c>
      <c r="K116" t="n">
        <v>0</v>
      </c>
      <c r="L116" t="n">
        <v>0</v>
      </c>
      <c r="M116" t="n">
        <v>0</v>
      </c>
      <c r="N116" t="n">
        <v>0</v>
      </c>
      <c r="O116" t="n">
        <v>0</v>
      </c>
      <c r="P116" t="n">
        <v>0</v>
      </c>
      <c r="Q116" t="n">
        <v>0</v>
      </c>
      <c r="R116" s="2" t="inlineStr"/>
    </row>
    <row r="117" ht="15" customHeight="1">
      <c r="A117" t="inlineStr">
        <is>
          <t>A 105-2019</t>
        </is>
      </c>
      <c r="B117" s="1" t="n">
        <v>43467</v>
      </c>
      <c r="C117" s="1" t="n">
        <v>45364</v>
      </c>
      <c r="D117" t="inlineStr">
        <is>
          <t>NORRBOTTENS LÄN</t>
        </is>
      </c>
      <c r="E117" t="inlineStr">
        <is>
          <t>GÄLLIVARE</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99-2019</t>
        </is>
      </c>
      <c r="B118" s="1" t="n">
        <v>43467</v>
      </c>
      <c r="C118" s="1" t="n">
        <v>45364</v>
      </c>
      <c r="D118" t="inlineStr">
        <is>
          <t>NORRBOTTENS LÄN</t>
        </is>
      </c>
      <c r="E118" t="inlineStr">
        <is>
          <t>GÄLLIVARE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485-2019</t>
        </is>
      </c>
      <c r="B119" s="1" t="n">
        <v>43468</v>
      </c>
      <c r="C119" s="1" t="n">
        <v>45364</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489-2019</t>
        </is>
      </c>
      <c r="B120" s="1" t="n">
        <v>43468</v>
      </c>
      <c r="C120" s="1" t="n">
        <v>45364</v>
      </c>
      <c r="D120" t="inlineStr">
        <is>
          <t>NORRBOTTENS LÄN</t>
        </is>
      </c>
      <c r="E120" t="inlineStr">
        <is>
          <t>GÄLLIVARE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484-2019</t>
        </is>
      </c>
      <c r="B121" s="1" t="n">
        <v>43468</v>
      </c>
      <c r="C121" s="1" t="n">
        <v>45364</v>
      </c>
      <c r="D121" t="inlineStr">
        <is>
          <t>NORRBOTTENS LÄN</t>
        </is>
      </c>
      <c r="E121" t="inlineStr">
        <is>
          <t>GÄLLIVARE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703-2019</t>
        </is>
      </c>
      <c r="B122" s="1" t="n">
        <v>43469</v>
      </c>
      <c r="C122" s="1" t="n">
        <v>45364</v>
      </c>
      <c r="D122" t="inlineStr">
        <is>
          <t>NORRBOTTENS LÄN</t>
        </is>
      </c>
      <c r="E122" t="inlineStr">
        <is>
          <t>GÄLLIVARE</t>
        </is>
      </c>
      <c r="F122" t="inlineStr">
        <is>
          <t>SCA</t>
        </is>
      </c>
      <c r="G122" t="n">
        <v>5.3</v>
      </c>
      <c r="H122" t="n">
        <v>0</v>
      </c>
      <c r="I122" t="n">
        <v>0</v>
      </c>
      <c r="J122" t="n">
        <v>0</v>
      </c>
      <c r="K122" t="n">
        <v>0</v>
      </c>
      <c r="L122" t="n">
        <v>0</v>
      </c>
      <c r="M122" t="n">
        <v>0</v>
      </c>
      <c r="N122" t="n">
        <v>0</v>
      </c>
      <c r="O122" t="n">
        <v>0</v>
      </c>
      <c r="P122" t="n">
        <v>0</v>
      </c>
      <c r="Q122" t="n">
        <v>0</v>
      </c>
      <c r="R122" s="2" t="inlineStr"/>
    </row>
    <row r="123" ht="15" customHeight="1">
      <c r="A123" t="inlineStr">
        <is>
          <t>A 1421-2019</t>
        </is>
      </c>
      <c r="B123" s="1" t="n">
        <v>43473</v>
      </c>
      <c r="C123" s="1" t="n">
        <v>45364</v>
      </c>
      <c r="D123" t="inlineStr">
        <is>
          <t>NORRBOTTENS LÄN</t>
        </is>
      </c>
      <c r="E123" t="inlineStr">
        <is>
          <t>GÄLLIVARE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1212-2019</t>
        </is>
      </c>
      <c r="B124" s="1" t="n">
        <v>43473</v>
      </c>
      <c r="C124" s="1" t="n">
        <v>45364</v>
      </c>
      <c r="D124" t="inlineStr">
        <is>
          <t>NORRBOTTENS LÄN</t>
        </is>
      </c>
      <c r="E124" t="inlineStr">
        <is>
          <t>GÄLLIVARE</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3696-2019</t>
        </is>
      </c>
      <c r="B125" s="1" t="n">
        <v>43474</v>
      </c>
      <c r="C125" s="1" t="n">
        <v>45364</v>
      </c>
      <c r="D125" t="inlineStr">
        <is>
          <t>NORRBOTTENS LÄN</t>
        </is>
      </c>
      <c r="E125" t="inlineStr">
        <is>
          <t>GÄLLIVARE</t>
        </is>
      </c>
      <c r="G125" t="n">
        <v>12.6</v>
      </c>
      <c r="H125" t="n">
        <v>0</v>
      </c>
      <c r="I125" t="n">
        <v>0</v>
      </c>
      <c r="J125" t="n">
        <v>0</v>
      </c>
      <c r="K125" t="n">
        <v>0</v>
      </c>
      <c r="L125" t="n">
        <v>0</v>
      </c>
      <c r="M125" t="n">
        <v>0</v>
      </c>
      <c r="N125" t="n">
        <v>0</v>
      </c>
      <c r="O125" t="n">
        <v>0</v>
      </c>
      <c r="P125" t="n">
        <v>0</v>
      </c>
      <c r="Q125" t="n">
        <v>0</v>
      </c>
      <c r="R125" s="2" t="inlineStr"/>
    </row>
    <row r="126" ht="15" customHeight="1">
      <c r="A126" t="inlineStr">
        <is>
          <t>A 5125-2019</t>
        </is>
      </c>
      <c r="B126" s="1" t="n">
        <v>43487</v>
      </c>
      <c r="C126" s="1" t="n">
        <v>45364</v>
      </c>
      <c r="D126" t="inlineStr">
        <is>
          <t>NORRBOTTENS LÄN</t>
        </is>
      </c>
      <c r="E126" t="inlineStr">
        <is>
          <t>GÄLLIVARE</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5123-2019</t>
        </is>
      </c>
      <c r="B127" s="1" t="n">
        <v>43487</v>
      </c>
      <c r="C127" s="1" t="n">
        <v>45364</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5116-2019</t>
        </is>
      </c>
      <c r="B128" s="1" t="n">
        <v>43487</v>
      </c>
      <c r="C128" s="1" t="n">
        <v>45364</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5122-2019</t>
        </is>
      </c>
      <c r="B129" s="1" t="n">
        <v>43487</v>
      </c>
      <c r="C129" s="1" t="n">
        <v>45364</v>
      </c>
      <c r="D129" t="inlineStr">
        <is>
          <t>NORRBOTTENS LÄN</t>
        </is>
      </c>
      <c r="E129" t="inlineStr">
        <is>
          <t>GÄLLIVARE</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5126-2019</t>
        </is>
      </c>
      <c r="B130" s="1" t="n">
        <v>43487</v>
      </c>
      <c r="C130" s="1" t="n">
        <v>45364</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6703-2019</t>
        </is>
      </c>
      <c r="B131" s="1" t="n">
        <v>43488</v>
      </c>
      <c r="C131" s="1" t="n">
        <v>45364</v>
      </c>
      <c r="D131" t="inlineStr">
        <is>
          <t>NORRBOTTENS LÄN</t>
        </is>
      </c>
      <c r="E131" t="inlineStr">
        <is>
          <t>GÄLLIVARE</t>
        </is>
      </c>
      <c r="F131" t="inlineStr">
        <is>
          <t>Sveaskog</t>
        </is>
      </c>
      <c r="G131" t="n">
        <v>67.8</v>
      </c>
      <c r="H131" t="n">
        <v>0</v>
      </c>
      <c r="I131" t="n">
        <v>0</v>
      </c>
      <c r="J131" t="n">
        <v>0</v>
      </c>
      <c r="K131" t="n">
        <v>0</v>
      </c>
      <c r="L131" t="n">
        <v>0</v>
      </c>
      <c r="M131" t="n">
        <v>0</v>
      </c>
      <c r="N131" t="n">
        <v>0</v>
      </c>
      <c r="O131" t="n">
        <v>0</v>
      </c>
      <c r="P131" t="n">
        <v>0</v>
      </c>
      <c r="Q131" t="n">
        <v>0</v>
      </c>
      <c r="R131" s="2" t="inlineStr"/>
    </row>
    <row r="132" ht="15" customHeight="1">
      <c r="A132" t="inlineStr">
        <is>
          <t>A 6673-2019</t>
        </is>
      </c>
      <c r="B132" s="1" t="n">
        <v>43488</v>
      </c>
      <c r="C132" s="1" t="n">
        <v>45364</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6248-2019</t>
        </is>
      </c>
      <c r="B133" s="1" t="n">
        <v>43493</v>
      </c>
      <c r="C133" s="1" t="n">
        <v>45364</v>
      </c>
      <c r="D133" t="inlineStr">
        <is>
          <t>NORRBOTTENS LÄN</t>
        </is>
      </c>
      <c r="E133" t="inlineStr">
        <is>
          <t>GÄLLIVARE</t>
        </is>
      </c>
      <c r="G133" t="n">
        <v>22.1</v>
      </c>
      <c r="H133" t="n">
        <v>0</v>
      </c>
      <c r="I133" t="n">
        <v>0</v>
      </c>
      <c r="J133" t="n">
        <v>0</v>
      </c>
      <c r="K133" t="n">
        <v>0</v>
      </c>
      <c r="L133" t="n">
        <v>0</v>
      </c>
      <c r="M133" t="n">
        <v>0</v>
      </c>
      <c r="N133" t="n">
        <v>0</v>
      </c>
      <c r="O133" t="n">
        <v>0</v>
      </c>
      <c r="P133" t="n">
        <v>0</v>
      </c>
      <c r="Q133" t="n">
        <v>0</v>
      </c>
      <c r="R133" s="2" t="inlineStr"/>
    </row>
    <row r="134" ht="15" customHeight="1">
      <c r="A134" t="inlineStr">
        <is>
          <t>A 7825-2019</t>
        </is>
      </c>
      <c r="B134" s="1" t="n">
        <v>43500</v>
      </c>
      <c r="C134" s="1" t="n">
        <v>45364</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8483-2019</t>
        </is>
      </c>
      <c r="B135" s="1" t="n">
        <v>43502</v>
      </c>
      <c r="C135" s="1" t="n">
        <v>45364</v>
      </c>
      <c r="D135" t="inlineStr">
        <is>
          <t>NORRBOTTENS LÄN</t>
        </is>
      </c>
      <c r="E135" t="inlineStr">
        <is>
          <t>GÄLLIVARE</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10340-2019</t>
        </is>
      </c>
      <c r="B136" s="1" t="n">
        <v>43511</v>
      </c>
      <c r="C136" s="1" t="n">
        <v>45364</v>
      </c>
      <c r="D136" t="inlineStr">
        <is>
          <t>NORRBOTTENS LÄN</t>
        </is>
      </c>
      <c r="E136" t="inlineStr">
        <is>
          <t>GÄLLIVARE</t>
        </is>
      </c>
      <c r="G136" t="n">
        <v>1.3</v>
      </c>
      <c r="H136" t="n">
        <v>0</v>
      </c>
      <c r="I136" t="n">
        <v>0</v>
      </c>
      <c r="J136" t="n">
        <v>0</v>
      </c>
      <c r="K136" t="n">
        <v>0</v>
      </c>
      <c r="L136" t="n">
        <v>0</v>
      </c>
      <c r="M136" t="n">
        <v>0</v>
      </c>
      <c r="N136" t="n">
        <v>0</v>
      </c>
      <c r="O136" t="n">
        <v>0</v>
      </c>
      <c r="P136" t="n">
        <v>0</v>
      </c>
      <c r="Q136" t="n">
        <v>0</v>
      </c>
      <c r="R136" s="2" t="inlineStr"/>
    </row>
    <row r="137" ht="15" customHeight="1">
      <c r="A137" t="inlineStr">
        <is>
          <t>A 10493-2019</t>
        </is>
      </c>
      <c r="B137" s="1" t="n">
        <v>43511</v>
      </c>
      <c r="C137" s="1" t="n">
        <v>45364</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10492-2019</t>
        </is>
      </c>
      <c r="B138" s="1" t="n">
        <v>43511</v>
      </c>
      <c r="C138" s="1" t="n">
        <v>45364</v>
      </c>
      <c r="D138" t="inlineStr">
        <is>
          <t>NORRBOTTENS LÄN</t>
        </is>
      </c>
      <c r="E138" t="inlineStr">
        <is>
          <t>GÄLLIVARE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10498-2019</t>
        </is>
      </c>
      <c r="B139" s="1" t="n">
        <v>43511</v>
      </c>
      <c r="C139" s="1" t="n">
        <v>45364</v>
      </c>
      <c r="D139" t="inlineStr">
        <is>
          <t>NORRBOTTENS LÄN</t>
        </is>
      </c>
      <c r="E139" t="inlineStr">
        <is>
          <t>GÄLLIVARE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10490-2019</t>
        </is>
      </c>
      <c r="B140" s="1" t="n">
        <v>43511</v>
      </c>
      <c r="C140" s="1" t="n">
        <v>45364</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13607-2019</t>
        </is>
      </c>
      <c r="B141" s="1" t="n">
        <v>43530</v>
      </c>
      <c r="C141" s="1" t="n">
        <v>45364</v>
      </c>
      <c r="D141" t="inlineStr">
        <is>
          <t>NORRBOTTENS LÄN</t>
        </is>
      </c>
      <c r="E141" t="inlineStr">
        <is>
          <t>GÄLLIVARE</t>
        </is>
      </c>
      <c r="G141" t="n">
        <v>9.1</v>
      </c>
      <c r="H141" t="n">
        <v>0</v>
      </c>
      <c r="I141" t="n">
        <v>0</v>
      </c>
      <c r="J141" t="n">
        <v>0</v>
      </c>
      <c r="K141" t="n">
        <v>0</v>
      </c>
      <c r="L141" t="n">
        <v>0</v>
      </c>
      <c r="M141" t="n">
        <v>0</v>
      </c>
      <c r="N141" t="n">
        <v>0</v>
      </c>
      <c r="O141" t="n">
        <v>0</v>
      </c>
      <c r="P141" t="n">
        <v>0</v>
      </c>
      <c r="Q141" t="n">
        <v>0</v>
      </c>
      <c r="R141" s="2" t="inlineStr"/>
    </row>
    <row r="142" ht="15" customHeight="1">
      <c r="A142" t="inlineStr">
        <is>
          <t>A 13937-2019</t>
        </is>
      </c>
      <c r="B142" s="1" t="n">
        <v>43531</v>
      </c>
      <c r="C142" s="1" t="n">
        <v>45364</v>
      </c>
      <c r="D142" t="inlineStr">
        <is>
          <t>NORRBOTTENS LÄN</t>
        </is>
      </c>
      <c r="E142" t="inlineStr">
        <is>
          <t>GÄLLIVARE</t>
        </is>
      </c>
      <c r="G142" t="n">
        <v>6.4</v>
      </c>
      <c r="H142" t="n">
        <v>0</v>
      </c>
      <c r="I142" t="n">
        <v>0</v>
      </c>
      <c r="J142" t="n">
        <v>0</v>
      </c>
      <c r="K142" t="n">
        <v>0</v>
      </c>
      <c r="L142" t="n">
        <v>0</v>
      </c>
      <c r="M142" t="n">
        <v>0</v>
      </c>
      <c r="N142" t="n">
        <v>0</v>
      </c>
      <c r="O142" t="n">
        <v>0</v>
      </c>
      <c r="P142" t="n">
        <v>0</v>
      </c>
      <c r="Q142" t="n">
        <v>0</v>
      </c>
      <c r="R142" s="2" t="inlineStr"/>
    </row>
    <row r="143" ht="15" customHeight="1">
      <c r="A143" t="inlineStr">
        <is>
          <t>A 14829-2019</t>
        </is>
      </c>
      <c r="B143" s="1" t="n">
        <v>43538</v>
      </c>
      <c r="C143" s="1" t="n">
        <v>45364</v>
      </c>
      <c r="D143" t="inlineStr">
        <is>
          <t>NORRBOTTENS LÄN</t>
        </is>
      </c>
      <c r="E143" t="inlineStr">
        <is>
          <t>GÄLLIVARE</t>
        </is>
      </c>
      <c r="G143" t="n">
        <v>4.6</v>
      </c>
      <c r="H143" t="n">
        <v>0</v>
      </c>
      <c r="I143" t="n">
        <v>0</v>
      </c>
      <c r="J143" t="n">
        <v>0</v>
      </c>
      <c r="K143" t="n">
        <v>0</v>
      </c>
      <c r="L143" t="n">
        <v>0</v>
      </c>
      <c r="M143" t="n">
        <v>0</v>
      </c>
      <c r="N143" t="n">
        <v>0</v>
      </c>
      <c r="O143" t="n">
        <v>0</v>
      </c>
      <c r="P143" t="n">
        <v>0</v>
      </c>
      <c r="Q143" t="n">
        <v>0</v>
      </c>
      <c r="R143" s="2" t="inlineStr"/>
    </row>
    <row r="144" ht="15" customHeight="1">
      <c r="A144" t="inlineStr">
        <is>
          <t>A 15641-2019</t>
        </is>
      </c>
      <c r="B144" s="1" t="n">
        <v>43542</v>
      </c>
      <c r="C144" s="1" t="n">
        <v>45364</v>
      </c>
      <c r="D144" t="inlineStr">
        <is>
          <t>NORRBOTTENS LÄN</t>
        </is>
      </c>
      <c r="E144" t="inlineStr">
        <is>
          <t>GÄLLIVARE</t>
        </is>
      </c>
      <c r="F144" t="inlineStr">
        <is>
          <t>Allmännings- och besparingsskogar</t>
        </is>
      </c>
      <c r="G144" t="n">
        <v>53.8</v>
      </c>
      <c r="H144" t="n">
        <v>0</v>
      </c>
      <c r="I144" t="n">
        <v>0</v>
      </c>
      <c r="J144" t="n">
        <v>0</v>
      </c>
      <c r="K144" t="n">
        <v>0</v>
      </c>
      <c r="L144" t="n">
        <v>0</v>
      </c>
      <c r="M144" t="n">
        <v>0</v>
      </c>
      <c r="N144" t="n">
        <v>0</v>
      </c>
      <c r="O144" t="n">
        <v>0</v>
      </c>
      <c r="P144" t="n">
        <v>0</v>
      </c>
      <c r="Q144" t="n">
        <v>0</v>
      </c>
      <c r="R144" s="2" t="inlineStr"/>
    </row>
    <row r="145" ht="15" customHeight="1">
      <c r="A145" t="inlineStr">
        <is>
          <t>A 16009-2019</t>
        </is>
      </c>
      <c r="B145" s="1" t="n">
        <v>43544</v>
      </c>
      <c r="C145" s="1" t="n">
        <v>45364</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19954-2019</t>
        </is>
      </c>
      <c r="B146" s="1" t="n">
        <v>43569</v>
      </c>
      <c r="C146" s="1" t="n">
        <v>45364</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21118-2019</t>
        </is>
      </c>
      <c r="B147" s="1" t="n">
        <v>43578</v>
      </c>
      <c r="C147" s="1" t="n">
        <v>45364</v>
      </c>
      <c r="D147" t="inlineStr">
        <is>
          <t>NORRBOTTENS LÄN</t>
        </is>
      </c>
      <c r="E147" t="inlineStr">
        <is>
          <t>GÄLLIVARE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21556-2019</t>
        </is>
      </c>
      <c r="B148" s="1" t="n">
        <v>43579</v>
      </c>
      <c r="C148" s="1" t="n">
        <v>45364</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22481-2019</t>
        </is>
      </c>
      <c r="B149" s="1" t="n">
        <v>43587</v>
      </c>
      <c r="C149" s="1" t="n">
        <v>45364</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23806-2019</t>
        </is>
      </c>
      <c r="B150" s="1" t="n">
        <v>43595</v>
      </c>
      <c r="C150" s="1" t="n">
        <v>45364</v>
      </c>
      <c r="D150" t="inlineStr">
        <is>
          <t>NORRBOTTENS LÄN</t>
        </is>
      </c>
      <c r="E150" t="inlineStr">
        <is>
          <t>GÄLLIVARE</t>
        </is>
      </c>
      <c r="G150" t="n">
        <v>10.4</v>
      </c>
      <c r="H150" t="n">
        <v>0</v>
      </c>
      <c r="I150" t="n">
        <v>0</v>
      </c>
      <c r="J150" t="n">
        <v>0</v>
      </c>
      <c r="K150" t="n">
        <v>0</v>
      </c>
      <c r="L150" t="n">
        <v>0</v>
      </c>
      <c r="M150" t="n">
        <v>0</v>
      </c>
      <c r="N150" t="n">
        <v>0</v>
      </c>
      <c r="O150" t="n">
        <v>0</v>
      </c>
      <c r="P150" t="n">
        <v>0</v>
      </c>
      <c r="Q150" t="n">
        <v>0</v>
      </c>
      <c r="R150" s="2" t="inlineStr"/>
    </row>
    <row r="151" ht="15" customHeight="1">
      <c r="A151" t="inlineStr">
        <is>
          <t>A 23812-2019</t>
        </is>
      </c>
      <c r="B151" s="1" t="n">
        <v>43595</v>
      </c>
      <c r="C151" s="1" t="n">
        <v>45364</v>
      </c>
      <c r="D151" t="inlineStr">
        <is>
          <t>NORRBOTTENS LÄN</t>
        </is>
      </c>
      <c r="E151" t="inlineStr">
        <is>
          <t>GÄLLIVARE</t>
        </is>
      </c>
      <c r="G151" t="n">
        <v>5.1</v>
      </c>
      <c r="H151" t="n">
        <v>0</v>
      </c>
      <c r="I151" t="n">
        <v>0</v>
      </c>
      <c r="J151" t="n">
        <v>0</v>
      </c>
      <c r="K151" t="n">
        <v>0</v>
      </c>
      <c r="L151" t="n">
        <v>0</v>
      </c>
      <c r="M151" t="n">
        <v>0</v>
      </c>
      <c r="N151" t="n">
        <v>0</v>
      </c>
      <c r="O151" t="n">
        <v>0</v>
      </c>
      <c r="P151" t="n">
        <v>0</v>
      </c>
      <c r="Q151" t="n">
        <v>0</v>
      </c>
      <c r="R151" s="2" t="inlineStr"/>
    </row>
    <row r="152" ht="15" customHeight="1">
      <c r="A152" t="inlineStr">
        <is>
          <t>A 23880-2019</t>
        </is>
      </c>
      <c r="B152" s="1" t="n">
        <v>43595</v>
      </c>
      <c r="C152" s="1" t="n">
        <v>45364</v>
      </c>
      <c r="D152" t="inlineStr">
        <is>
          <t>NORRBOTTENS LÄN</t>
        </is>
      </c>
      <c r="E152" t="inlineStr">
        <is>
          <t>GÄLLIVARE</t>
        </is>
      </c>
      <c r="G152" t="n">
        <v>2.3</v>
      </c>
      <c r="H152" t="n">
        <v>0</v>
      </c>
      <c r="I152" t="n">
        <v>0</v>
      </c>
      <c r="J152" t="n">
        <v>0</v>
      </c>
      <c r="K152" t="n">
        <v>0</v>
      </c>
      <c r="L152" t="n">
        <v>0</v>
      </c>
      <c r="M152" t="n">
        <v>0</v>
      </c>
      <c r="N152" t="n">
        <v>0</v>
      </c>
      <c r="O152" t="n">
        <v>0</v>
      </c>
      <c r="P152" t="n">
        <v>0</v>
      </c>
      <c r="Q152" t="n">
        <v>0</v>
      </c>
      <c r="R152" s="2" t="inlineStr"/>
    </row>
    <row r="153" ht="15" customHeight="1">
      <c r="A153" t="inlineStr">
        <is>
          <t>A 24996-2019</t>
        </is>
      </c>
      <c r="B153" s="1" t="n">
        <v>43600</v>
      </c>
      <c r="C153" s="1" t="n">
        <v>45364</v>
      </c>
      <c r="D153" t="inlineStr">
        <is>
          <t>NORRBOTTENS LÄN</t>
        </is>
      </c>
      <c r="E153" t="inlineStr">
        <is>
          <t>GÄLLIVARE</t>
        </is>
      </c>
      <c r="G153" t="n">
        <v>5.5</v>
      </c>
      <c r="H153" t="n">
        <v>0</v>
      </c>
      <c r="I153" t="n">
        <v>0</v>
      </c>
      <c r="J153" t="n">
        <v>0</v>
      </c>
      <c r="K153" t="n">
        <v>0</v>
      </c>
      <c r="L153" t="n">
        <v>0</v>
      </c>
      <c r="M153" t="n">
        <v>0</v>
      </c>
      <c r="N153" t="n">
        <v>0</v>
      </c>
      <c r="O153" t="n">
        <v>0</v>
      </c>
      <c r="P153" t="n">
        <v>0</v>
      </c>
      <c r="Q153" t="n">
        <v>0</v>
      </c>
      <c r="R153" s="2" t="inlineStr"/>
    </row>
    <row r="154" ht="15" customHeight="1">
      <c r="A154" t="inlineStr">
        <is>
          <t>A 27498-2019</t>
        </is>
      </c>
      <c r="B154" s="1" t="n">
        <v>43612</v>
      </c>
      <c r="C154" s="1" t="n">
        <v>45364</v>
      </c>
      <c r="D154" t="inlineStr">
        <is>
          <t>NORRBOTTENS LÄN</t>
        </is>
      </c>
      <c r="E154" t="inlineStr">
        <is>
          <t>GÄLLIVARE</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26948-2019</t>
        </is>
      </c>
      <c r="B155" s="1" t="n">
        <v>43613</v>
      </c>
      <c r="C155" s="1" t="n">
        <v>45364</v>
      </c>
      <c r="D155" t="inlineStr">
        <is>
          <t>NORRBOTTENS LÄN</t>
        </is>
      </c>
      <c r="E155" t="inlineStr">
        <is>
          <t>GÄLLIVARE</t>
        </is>
      </c>
      <c r="F155" t="inlineStr">
        <is>
          <t>SCA</t>
        </is>
      </c>
      <c r="G155" t="n">
        <v>32.6</v>
      </c>
      <c r="H155" t="n">
        <v>0</v>
      </c>
      <c r="I155" t="n">
        <v>0</v>
      </c>
      <c r="J155" t="n">
        <v>0</v>
      </c>
      <c r="K155" t="n">
        <v>0</v>
      </c>
      <c r="L155" t="n">
        <v>0</v>
      </c>
      <c r="M155" t="n">
        <v>0</v>
      </c>
      <c r="N155" t="n">
        <v>0</v>
      </c>
      <c r="O155" t="n">
        <v>0</v>
      </c>
      <c r="P155" t="n">
        <v>0</v>
      </c>
      <c r="Q155" t="n">
        <v>0</v>
      </c>
      <c r="R155" s="2" t="inlineStr"/>
    </row>
    <row r="156" ht="15" customHeight="1">
      <c r="A156" t="inlineStr">
        <is>
          <t>A 26743-2019</t>
        </is>
      </c>
      <c r="B156" s="1" t="n">
        <v>43613</v>
      </c>
      <c r="C156" s="1" t="n">
        <v>45364</v>
      </c>
      <c r="D156" t="inlineStr">
        <is>
          <t>NORRBOTTENS LÄN</t>
        </is>
      </c>
      <c r="E156" t="inlineStr">
        <is>
          <t>GÄLLIVARE</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27043-2019</t>
        </is>
      </c>
      <c r="B157" s="1" t="n">
        <v>43614</v>
      </c>
      <c r="C157" s="1" t="n">
        <v>45364</v>
      </c>
      <c r="D157" t="inlineStr">
        <is>
          <t>NORRBOTTENS LÄN</t>
        </is>
      </c>
      <c r="E157" t="inlineStr">
        <is>
          <t>GÄLLIVARE</t>
        </is>
      </c>
      <c r="F157" t="inlineStr">
        <is>
          <t>Sveaskog</t>
        </is>
      </c>
      <c r="G157" t="n">
        <v>10.6</v>
      </c>
      <c r="H157" t="n">
        <v>0</v>
      </c>
      <c r="I157" t="n">
        <v>0</v>
      </c>
      <c r="J157" t="n">
        <v>0</v>
      </c>
      <c r="K157" t="n">
        <v>0</v>
      </c>
      <c r="L157" t="n">
        <v>0</v>
      </c>
      <c r="M157" t="n">
        <v>0</v>
      </c>
      <c r="N157" t="n">
        <v>0</v>
      </c>
      <c r="O157" t="n">
        <v>0</v>
      </c>
      <c r="P157" t="n">
        <v>0</v>
      </c>
      <c r="Q157" t="n">
        <v>0</v>
      </c>
      <c r="R157" s="2" t="inlineStr"/>
    </row>
    <row r="158" ht="15" customHeight="1">
      <c r="A158" t="inlineStr">
        <is>
          <t>A 27245-2019</t>
        </is>
      </c>
      <c r="B158" s="1" t="n">
        <v>43614</v>
      </c>
      <c r="C158" s="1" t="n">
        <v>45364</v>
      </c>
      <c r="D158" t="inlineStr">
        <is>
          <t>NORRBOTTENS LÄN</t>
        </is>
      </c>
      <c r="E158" t="inlineStr">
        <is>
          <t>GÄLLIVARE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27243-2019</t>
        </is>
      </c>
      <c r="B159" s="1" t="n">
        <v>43614</v>
      </c>
      <c r="C159" s="1" t="n">
        <v>45364</v>
      </c>
      <c r="D159" t="inlineStr">
        <is>
          <t>NORRBOTTENS LÄN</t>
        </is>
      </c>
      <c r="E159" t="inlineStr">
        <is>
          <t>GÄLLIVARE</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27247-2019</t>
        </is>
      </c>
      <c r="B160" s="1" t="n">
        <v>43614</v>
      </c>
      <c r="C160" s="1" t="n">
        <v>45364</v>
      </c>
      <c r="D160" t="inlineStr">
        <is>
          <t>NORRBOTTENS LÄN</t>
        </is>
      </c>
      <c r="E160" t="inlineStr">
        <is>
          <t>GÄLLIVARE</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28635-2019</t>
        </is>
      </c>
      <c r="B161" s="1" t="n">
        <v>43621</v>
      </c>
      <c r="C161" s="1" t="n">
        <v>45364</v>
      </c>
      <c r="D161" t="inlineStr">
        <is>
          <t>NORRBOTTENS LÄN</t>
        </is>
      </c>
      <c r="E161" t="inlineStr">
        <is>
          <t>GÄLLIVARE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28634-2019</t>
        </is>
      </c>
      <c r="B162" s="1" t="n">
        <v>43621</v>
      </c>
      <c r="C162" s="1" t="n">
        <v>45364</v>
      </c>
      <c r="D162" t="inlineStr">
        <is>
          <t>NORRBOTTENS LÄN</t>
        </is>
      </c>
      <c r="E162" t="inlineStr">
        <is>
          <t>GÄLLIVARE</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28633-2019</t>
        </is>
      </c>
      <c r="B163" s="1" t="n">
        <v>43621</v>
      </c>
      <c r="C163" s="1" t="n">
        <v>45364</v>
      </c>
      <c r="D163" t="inlineStr">
        <is>
          <t>NORRBOTTENS LÄN</t>
        </is>
      </c>
      <c r="E163" t="inlineStr">
        <is>
          <t>GÄLLIVARE</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28476-2019</t>
        </is>
      </c>
      <c r="B164" s="1" t="n">
        <v>43626</v>
      </c>
      <c r="C164" s="1" t="n">
        <v>45364</v>
      </c>
      <c r="D164" t="inlineStr">
        <is>
          <t>NORRBOTTENS LÄN</t>
        </is>
      </c>
      <c r="E164" t="inlineStr">
        <is>
          <t>GÄLLIVARE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29148-2019</t>
        </is>
      </c>
      <c r="B165" s="1" t="n">
        <v>43628</v>
      </c>
      <c r="C165" s="1" t="n">
        <v>45364</v>
      </c>
      <c r="D165" t="inlineStr">
        <is>
          <t>NORRBOTTENS LÄN</t>
        </is>
      </c>
      <c r="E165" t="inlineStr">
        <is>
          <t>GÄLLIVARE</t>
        </is>
      </c>
      <c r="F165" t="inlineStr">
        <is>
          <t>SCA</t>
        </is>
      </c>
      <c r="G165" t="n">
        <v>11.3</v>
      </c>
      <c r="H165" t="n">
        <v>0</v>
      </c>
      <c r="I165" t="n">
        <v>0</v>
      </c>
      <c r="J165" t="n">
        <v>0</v>
      </c>
      <c r="K165" t="n">
        <v>0</v>
      </c>
      <c r="L165" t="n">
        <v>0</v>
      </c>
      <c r="M165" t="n">
        <v>0</v>
      </c>
      <c r="N165" t="n">
        <v>0</v>
      </c>
      <c r="O165" t="n">
        <v>0</v>
      </c>
      <c r="P165" t="n">
        <v>0</v>
      </c>
      <c r="Q165" t="n">
        <v>0</v>
      </c>
      <c r="R165" s="2" t="inlineStr"/>
    </row>
    <row r="166" ht="15" customHeight="1">
      <c r="A166" t="inlineStr">
        <is>
          <t>A 29149-2019</t>
        </is>
      </c>
      <c r="B166" s="1" t="n">
        <v>43628</v>
      </c>
      <c r="C166" s="1" t="n">
        <v>45364</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29552-2019</t>
        </is>
      </c>
      <c r="B167" s="1" t="n">
        <v>43630</v>
      </c>
      <c r="C167" s="1" t="n">
        <v>45364</v>
      </c>
      <c r="D167" t="inlineStr">
        <is>
          <t>NORRBOTTENS LÄN</t>
        </is>
      </c>
      <c r="E167" t="inlineStr">
        <is>
          <t>GÄLLIVARE</t>
        </is>
      </c>
      <c r="F167" t="inlineStr">
        <is>
          <t>Sveaskog</t>
        </is>
      </c>
      <c r="G167" t="n">
        <v>73.09999999999999</v>
      </c>
      <c r="H167" t="n">
        <v>0</v>
      </c>
      <c r="I167" t="n">
        <v>0</v>
      </c>
      <c r="J167" t="n">
        <v>0</v>
      </c>
      <c r="K167" t="n">
        <v>0</v>
      </c>
      <c r="L167" t="n">
        <v>0</v>
      </c>
      <c r="M167" t="n">
        <v>0</v>
      </c>
      <c r="N167" t="n">
        <v>0</v>
      </c>
      <c r="O167" t="n">
        <v>0</v>
      </c>
      <c r="P167" t="n">
        <v>0</v>
      </c>
      <c r="Q167" t="n">
        <v>0</v>
      </c>
      <c r="R167" s="2" t="inlineStr"/>
    </row>
    <row r="168" ht="15" customHeight="1">
      <c r="A168" t="inlineStr">
        <is>
          <t>A 30501-2019</t>
        </is>
      </c>
      <c r="B168" s="1" t="n">
        <v>43634</v>
      </c>
      <c r="C168" s="1" t="n">
        <v>45364</v>
      </c>
      <c r="D168" t="inlineStr">
        <is>
          <t>NORRBOTTENS LÄN</t>
        </is>
      </c>
      <c r="E168" t="inlineStr">
        <is>
          <t>GÄLLIVARE</t>
        </is>
      </c>
      <c r="G168" t="n">
        <v>4.5</v>
      </c>
      <c r="H168" t="n">
        <v>0</v>
      </c>
      <c r="I168" t="n">
        <v>0</v>
      </c>
      <c r="J168" t="n">
        <v>0</v>
      </c>
      <c r="K168" t="n">
        <v>0</v>
      </c>
      <c r="L168" t="n">
        <v>0</v>
      </c>
      <c r="M168" t="n">
        <v>0</v>
      </c>
      <c r="N168" t="n">
        <v>0</v>
      </c>
      <c r="O168" t="n">
        <v>0</v>
      </c>
      <c r="P168" t="n">
        <v>0</v>
      </c>
      <c r="Q168" t="n">
        <v>0</v>
      </c>
      <c r="R168" s="2" t="inlineStr"/>
    </row>
    <row r="169" ht="15" customHeight="1">
      <c r="A169" t="inlineStr">
        <is>
          <t>A 30693-2019</t>
        </is>
      </c>
      <c r="B169" s="1" t="n">
        <v>43636</v>
      </c>
      <c r="C169" s="1" t="n">
        <v>45364</v>
      </c>
      <c r="D169" t="inlineStr">
        <is>
          <t>NORRBOTTENS LÄN</t>
        </is>
      </c>
      <c r="E169" t="inlineStr">
        <is>
          <t>GÄLLIVARE</t>
        </is>
      </c>
      <c r="F169" t="inlineStr">
        <is>
          <t>Sveaskog</t>
        </is>
      </c>
      <c r="G169" t="n">
        <v>7.3</v>
      </c>
      <c r="H169" t="n">
        <v>0</v>
      </c>
      <c r="I169" t="n">
        <v>0</v>
      </c>
      <c r="J169" t="n">
        <v>0</v>
      </c>
      <c r="K169" t="n">
        <v>0</v>
      </c>
      <c r="L169" t="n">
        <v>0</v>
      </c>
      <c r="M169" t="n">
        <v>0</v>
      </c>
      <c r="N169" t="n">
        <v>0</v>
      </c>
      <c r="O169" t="n">
        <v>0</v>
      </c>
      <c r="P169" t="n">
        <v>0</v>
      </c>
      <c r="Q169" t="n">
        <v>0</v>
      </c>
      <c r="R169" s="2" t="inlineStr"/>
    </row>
    <row r="170" ht="15" customHeight="1">
      <c r="A170" t="inlineStr">
        <is>
          <t>A 30652-2019</t>
        </is>
      </c>
      <c r="B170" s="1" t="n">
        <v>43636</v>
      </c>
      <c r="C170" s="1" t="n">
        <v>45364</v>
      </c>
      <c r="D170" t="inlineStr">
        <is>
          <t>NORRBOTTENS LÄN</t>
        </is>
      </c>
      <c r="E170" t="inlineStr">
        <is>
          <t>GÄLLIVARE</t>
        </is>
      </c>
      <c r="F170" t="inlineStr">
        <is>
          <t>Sveaskog</t>
        </is>
      </c>
      <c r="G170" t="n">
        <v>7.9</v>
      </c>
      <c r="H170" t="n">
        <v>0</v>
      </c>
      <c r="I170" t="n">
        <v>0</v>
      </c>
      <c r="J170" t="n">
        <v>0</v>
      </c>
      <c r="K170" t="n">
        <v>0</v>
      </c>
      <c r="L170" t="n">
        <v>0</v>
      </c>
      <c r="M170" t="n">
        <v>0</v>
      </c>
      <c r="N170" t="n">
        <v>0</v>
      </c>
      <c r="O170" t="n">
        <v>0</v>
      </c>
      <c r="P170" t="n">
        <v>0</v>
      </c>
      <c r="Q170" t="n">
        <v>0</v>
      </c>
      <c r="R170" s="2" t="inlineStr"/>
    </row>
    <row r="171" ht="15" customHeight="1">
      <c r="A171" t="inlineStr">
        <is>
          <t>A 31453-2019</t>
        </is>
      </c>
      <c r="B171" s="1" t="n">
        <v>43640</v>
      </c>
      <c r="C171" s="1" t="n">
        <v>45364</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31525-2019</t>
        </is>
      </c>
      <c r="B172" s="1" t="n">
        <v>43641</v>
      </c>
      <c r="C172" s="1" t="n">
        <v>45364</v>
      </c>
      <c r="D172" t="inlineStr">
        <is>
          <t>NORRBOTTENS LÄN</t>
        </is>
      </c>
      <c r="E172" t="inlineStr">
        <is>
          <t>GÄLLIVARE</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31515-2019</t>
        </is>
      </c>
      <c r="B173" s="1" t="n">
        <v>43641</v>
      </c>
      <c r="C173" s="1" t="n">
        <v>45364</v>
      </c>
      <c r="D173" t="inlineStr">
        <is>
          <t>NORRBOTTENS LÄN</t>
        </is>
      </c>
      <c r="E173" t="inlineStr">
        <is>
          <t>GÄLLIVARE</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32671-2019</t>
        </is>
      </c>
      <c r="B174" s="1" t="n">
        <v>43647</v>
      </c>
      <c r="C174" s="1" t="n">
        <v>45364</v>
      </c>
      <c r="D174" t="inlineStr">
        <is>
          <t>NORRBOTTENS LÄN</t>
        </is>
      </c>
      <c r="E174" t="inlineStr">
        <is>
          <t>GÄLLIVARE</t>
        </is>
      </c>
      <c r="G174" t="n">
        <v>10</v>
      </c>
      <c r="H174" t="n">
        <v>0</v>
      </c>
      <c r="I174" t="n">
        <v>0</v>
      </c>
      <c r="J174" t="n">
        <v>0</v>
      </c>
      <c r="K174" t="n">
        <v>0</v>
      </c>
      <c r="L174" t="n">
        <v>0</v>
      </c>
      <c r="M174" t="n">
        <v>0</v>
      </c>
      <c r="N174" t="n">
        <v>0</v>
      </c>
      <c r="O174" t="n">
        <v>0</v>
      </c>
      <c r="P174" t="n">
        <v>0</v>
      </c>
      <c r="Q174" t="n">
        <v>0</v>
      </c>
      <c r="R174" s="2" t="inlineStr"/>
    </row>
    <row r="175" ht="15" customHeight="1">
      <c r="A175" t="inlineStr">
        <is>
          <t>A 32549-2019</t>
        </is>
      </c>
      <c r="B175" s="1" t="n">
        <v>43647</v>
      </c>
      <c r="C175" s="1" t="n">
        <v>45364</v>
      </c>
      <c r="D175" t="inlineStr">
        <is>
          <t>NORRBOTTENS LÄN</t>
        </is>
      </c>
      <c r="E175" t="inlineStr">
        <is>
          <t>GÄLLIVARE</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32869-2019</t>
        </is>
      </c>
      <c r="B176" s="1" t="n">
        <v>43648</v>
      </c>
      <c r="C176" s="1" t="n">
        <v>45364</v>
      </c>
      <c r="D176" t="inlineStr">
        <is>
          <t>NORRBOTTENS LÄN</t>
        </is>
      </c>
      <c r="E176" t="inlineStr">
        <is>
          <t>GÄLLIVARE</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34053-2019</t>
        </is>
      </c>
      <c r="B177" s="1" t="n">
        <v>43654</v>
      </c>
      <c r="C177" s="1" t="n">
        <v>45364</v>
      </c>
      <c r="D177" t="inlineStr">
        <is>
          <t>NORRBOTTENS LÄN</t>
        </is>
      </c>
      <c r="E177" t="inlineStr">
        <is>
          <t>GÄLLIVARE</t>
        </is>
      </c>
      <c r="F177" t="inlineStr">
        <is>
          <t>Sveaskog</t>
        </is>
      </c>
      <c r="G177" t="n">
        <v>13.8</v>
      </c>
      <c r="H177" t="n">
        <v>0</v>
      </c>
      <c r="I177" t="n">
        <v>0</v>
      </c>
      <c r="J177" t="n">
        <v>0</v>
      </c>
      <c r="K177" t="n">
        <v>0</v>
      </c>
      <c r="L177" t="n">
        <v>0</v>
      </c>
      <c r="M177" t="n">
        <v>0</v>
      </c>
      <c r="N177" t="n">
        <v>0</v>
      </c>
      <c r="O177" t="n">
        <v>0</v>
      </c>
      <c r="P177" t="n">
        <v>0</v>
      </c>
      <c r="Q177" t="n">
        <v>0</v>
      </c>
      <c r="R177" s="2" t="inlineStr"/>
    </row>
    <row r="178" ht="15" customHeight="1">
      <c r="A178" t="inlineStr">
        <is>
          <t>A 34049-2019</t>
        </is>
      </c>
      <c r="B178" s="1" t="n">
        <v>43654</v>
      </c>
      <c r="C178" s="1" t="n">
        <v>45364</v>
      </c>
      <c r="D178" t="inlineStr">
        <is>
          <t>NORRBOTTENS LÄN</t>
        </is>
      </c>
      <c r="E178" t="inlineStr">
        <is>
          <t>GÄLLIVARE</t>
        </is>
      </c>
      <c r="F178" t="inlineStr">
        <is>
          <t>Sveaskog</t>
        </is>
      </c>
      <c r="G178" t="n">
        <v>10.2</v>
      </c>
      <c r="H178" t="n">
        <v>0</v>
      </c>
      <c r="I178" t="n">
        <v>0</v>
      </c>
      <c r="J178" t="n">
        <v>0</v>
      </c>
      <c r="K178" t="n">
        <v>0</v>
      </c>
      <c r="L178" t="n">
        <v>0</v>
      </c>
      <c r="M178" t="n">
        <v>0</v>
      </c>
      <c r="N178" t="n">
        <v>0</v>
      </c>
      <c r="O178" t="n">
        <v>0</v>
      </c>
      <c r="P178" t="n">
        <v>0</v>
      </c>
      <c r="Q178" t="n">
        <v>0</v>
      </c>
      <c r="R178" s="2" t="inlineStr"/>
    </row>
    <row r="179" ht="15" customHeight="1">
      <c r="A179" t="inlineStr">
        <is>
          <t>A 34255-2019</t>
        </is>
      </c>
      <c r="B179" s="1" t="n">
        <v>43655</v>
      </c>
      <c r="C179" s="1" t="n">
        <v>45364</v>
      </c>
      <c r="D179" t="inlineStr">
        <is>
          <t>NORRBOTTENS LÄN</t>
        </is>
      </c>
      <c r="E179" t="inlineStr">
        <is>
          <t>GÄLLIVARE</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36046-2019</t>
        </is>
      </c>
      <c r="B180" s="1" t="n">
        <v>43668</v>
      </c>
      <c r="C180" s="1" t="n">
        <v>45364</v>
      </c>
      <c r="D180" t="inlineStr">
        <is>
          <t>NORRBOTTENS LÄN</t>
        </is>
      </c>
      <c r="E180" t="inlineStr">
        <is>
          <t>GÄLLIVARE</t>
        </is>
      </c>
      <c r="F180" t="inlineStr">
        <is>
          <t>Sveaskog</t>
        </is>
      </c>
      <c r="G180" t="n">
        <v>14.9</v>
      </c>
      <c r="H180" t="n">
        <v>0</v>
      </c>
      <c r="I180" t="n">
        <v>0</v>
      </c>
      <c r="J180" t="n">
        <v>0</v>
      </c>
      <c r="K180" t="n">
        <v>0</v>
      </c>
      <c r="L180" t="n">
        <v>0</v>
      </c>
      <c r="M180" t="n">
        <v>0</v>
      </c>
      <c r="N180" t="n">
        <v>0</v>
      </c>
      <c r="O180" t="n">
        <v>0</v>
      </c>
      <c r="P180" t="n">
        <v>0</v>
      </c>
      <c r="Q180" t="n">
        <v>0</v>
      </c>
      <c r="R180" s="2" t="inlineStr"/>
    </row>
    <row r="181" ht="15" customHeight="1">
      <c r="A181" t="inlineStr">
        <is>
          <t>A 37123-2019</t>
        </is>
      </c>
      <c r="B181" s="1" t="n">
        <v>43676</v>
      </c>
      <c r="C181" s="1" t="n">
        <v>45364</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37122-2019</t>
        </is>
      </c>
      <c r="B182" s="1" t="n">
        <v>43676</v>
      </c>
      <c r="C182" s="1" t="n">
        <v>45364</v>
      </c>
      <c r="D182" t="inlineStr">
        <is>
          <t>NORRBOTTENS LÄN</t>
        </is>
      </c>
      <c r="E182" t="inlineStr">
        <is>
          <t>GÄLLIVARE</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38322-2019</t>
        </is>
      </c>
      <c r="B183" s="1" t="n">
        <v>43684</v>
      </c>
      <c r="C183" s="1" t="n">
        <v>45364</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39604-2019</t>
        </is>
      </c>
      <c r="B184" s="1" t="n">
        <v>43686</v>
      </c>
      <c r="C184" s="1" t="n">
        <v>45364</v>
      </c>
      <c r="D184" t="inlineStr">
        <is>
          <t>NORRBOTTENS LÄN</t>
        </is>
      </c>
      <c r="E184" t="inlineStr">
        <is>
          <t>GÄLLIVARE</t>
        </is>
      </c>
      <c r="G184" t="n">
        <v>2</v>
      </c>
      <c r="H184" t="n">
        <v>0</v>
      </c>
      <c r="I184" t="n">
        <v>0</v>
      </c>
      <c r="J184" t="n">
        <v>0</v>
      </c>
      <c r="K184" t="n">
        <v>0</v>
      </c>
      <c r="L184" t="n">
        <v>0</v>
      </c>
      <c r="M184" t="n">
        <v>0</v>
      </c>
      <c r="N184" t="n">
        <v>0</v>
      </c>
      <c r="O184" t="n">
        <v>0</v>
      </c>
      <c r="P184" t="n">
        <v>0</v>
      </c>
      <c r="Q184" t="n">
        <v>0</v>
      </c>
      <c r="R184" s="2" t="inlineStr"/>
    </row>
    <row r="185" ht="15" customHeight="1">
      <c r="A185" t="inlineStr">
        <is>
          <t>A 39893-2019</t>
        </is>
      </c>
      <c r="B185" s="1" t="n">
        <v>43689</v>
      </c>
      <c r="C185" s="1" t="n">
        <v>45364</v>
      </c>
      <c r="D185" t="inlineStr">
        <is>
          <t>NORRBOTTENS LÄN</t>
        </is>
      </c>
      <c r="E185" t="inlineStr">
        <is>
          <t>GÄLLIVARE</t>
        </is>
      </c>
      <c r="G185" t="n">
        <v>7</v>
      </c>
      <c r="H185" t="n">
        <v>0</v>
      </c>
      <c r="I185" t="n">
        <v>0</v>
      </c>
      <c r="J185" t="n">
        <v>0</v>
      </c>
      <c r="K185" t="n">
        <v>0</v>
      </c>
      <c r="L185" t="n">
        <v>0</v>
      </c>
      <c r="M185" t="n">
        <v>0</v>
      </c>
      <c r="N185" t="n">
        <v>0</v>
      </c>
      <c r="O185" t="n">
        <v>0</v>
      </c>
      <c r="P185" t="n">
        <v>0</v>
      </c>
      <c r="Q185" t="n">
        <v>0</v>
      </c>
      <c r="R185" s="2" t="inlineStr"/>
    </row>
    <row r="186" ht="15" customHeight="1">
      <c r="A186" t="inlineStr">
        <is>
          <t>A 39907-2019</t>
        </is>
      </c>
      <c r="B186" s="1" t="n">
        <v>43689</v>
      </c>
      <c r="C186" s="1" t="n">
        <v>45364</v>
      </c>
      <c r="D186" t="inlineStr">
        <is>
          <t>NORRBOTTENS LÄN</t>
        </is>
      </c>
      <c r="E186" t="inlineStr">
        <is>
          <t>GÄLLIVARE</t>
        </is>
      </c>
      <c r="G186" t="n">
        <v>5.8</v>
      </c>
      <c r="H186" t="n">
        <v>0</v>
      </c>
      <c r="I186" t="n">
        <v>0</v>
      </c>
      <c r="J186" t="n">
        <v>0</v>
      </c>
      <c r="K186" t="n">
        <v>0</v>
      </c>
      <c r="L186" t="n">
        <v>0</v>
      </c>
      <c r="M186" t="n">
        <v>0</v>
      </c>
      <c r="N186" t="n">
        <v>0</v>
      </c>
      <c r="O186" t="n">
        <v>0</v>
      </c>
      <c r="P186" t="n">
        <v>0</v>
      </c>
      <c r="Q186" t="n">
        <v>0</v>
      </c>
      <c r="R186" s="2" t="inlineStr"/>
    </row>
    <row r="187" ht="15" customHeight="1">
      <c r="A187" t="inlineStr">
        <is>
          <t>A 40435-2019</t>
        </is>
      </c>
      <c r="B187" s="1" t="n">
        <v>43690</v>
      </c>
      <c r="C187" s="1" t="n">
        <v>45364</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39733-2019</t>
        </is>
      </c>
      <c r="B188" s="1" t="n">
        <v>43691</v>
      </c>
      <c r="C188" s="1" t="n">
        <v>45364</v>
      </c>
      <c r="D188" t="inlineStr">
        <is>
          <t>NORRBOTTENS LÄN</t>
        </is>
      </c>
      <c r="E188" t="inlineStr">
        <is>
          <t>GÄLLIVARE</t>
        </is>
      </c>
      <c r="G188" t="n">
        <v>10.2</v>
      </c>
      <c r="H188" t="n">
        <v>0</v>
      </c>
      <c r="I188" t="n">
        <v>0</v>
      </c>
      <c r="J188" t="n">
        <v>0</v>
      </c>
      <c r="K188" t="n">
        <v>0</v>
      </c>
      <c r="L188" t="n">
        <v>0</v>
      </c>
      <c r="M188" t="n">
        <v>0</v>
      </c>
      <c r="N188" t="n">
        <v>0</v>
      </c>
      <c r="O188" t="n">
        <v>0</v>
      </c>
      <c r="P188" t="n">
        <v>0</v>
      </c>
      <c r="Q188" t="n">
        <v>0</v>
      </c>
      <c r="R188" s="2" t="inlineStr"/>
    </row>
    <row r="189" ht="15" customHeight="1">
      <c r="A189" t="inlineStr">
        <is>
          <t>A 40147-2019</t>
        </is>
      </c>
      <c r="B189" s="1" t="n">
        <v>43693</v>
      </c>
      <c r="C189" s="1" t="n">
        <v>45364</v>
      </c>
      <c r="D189" t="inlineStr">
        <is>
          <t>NORRBOTTENS LÄN</t>
        </is>
      </c>
      <c r="E189" t="inlineStr">
        <is>
          <t>GÄLLIVARE</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42081-2019</t>
        </is>
      </c>
      <c r="B190" s="1" t="n">
        <v>43700</v>
      </c>
      <c r="C190" s="1" t="n">
        <v>45364</v>
      </c>
      <c r="D190" t="inlineStr">
        <is>
          <t>NORRBOTTENS LÄN</t>
        </is>
      </c>
      <c r="E190" t="inlineStr">
        <is>
          <t>GÄLLIVARE</t>
        </is>
      </c>
      <c r="F190" t="inlineStr">
        <is>
          <t>SCA</t>
        </is>
      </c>
      <c r="G190" t="n">
        <v>15.2</v>
      </c>
      <c r="H190" t="n">
        <v>0</v>
      </c>
      <c r="I190" t="n">
        <v>0</v>
      </c>
      <c r="J190" t="n">
        <v>0</v>
      </c>
      <c r="K190" t="n">
        <v>0</v>
      </c>
      <c r="L190" t="n">
        <v>0</v>
      </c>
      <c r="M190" t="n">
        <v>0</v>
      </c>
      <c r="N190" t="n">
        <v>0</v>
      </c>
      <c r="O190" t="n">
        <v>0</v>
      </c>
      <c r="P190" t="n">
        <v>0</v>
      </c>
      <c r="Q190" t="n">
        <v>0</v>
      </c>
      <c r="R190" s="2" t="inlineStr"/>
    </row>
    <row r="191" ht="15" customHeight="1">
      <c r="A191" t="inlineStr">
        <is>
          <t>A 43256-2019</t>
        </is>
      </c>
      <c r="B191" s="1" t="n">
        <v>43703</v>
      </c>
      <c r="C191" s="1" t="n">
        <v>45364</v>
      </c>
      <c r="D191" t="inlineStr">
        <is>
          <t>NORRBOTTENS LÄN</t>
        </is>
      </c>
      <c r="E191" t="inlineStr">
        <is>
          <t>GÄLLIVARE</t>
        </is>
      </c>
      <c r="F191" t="inlineStr">
        <is>
          <t>Allmännings- och besparingsskogar</t>
        </is>
      </c>
      <c r="G191" t="n">
        <v>26.8</v>
      </c>
      <c r="H191" t="n">
        <v>0</v>
      </c>
      <c r="I191" t="n">
        <v>0</v>
      </c>
      <c r="J191" t="n">
        <v>0</v>
      </c>
      <c r="K191" t="n">
        <v>0</v>
      </c>
      <c r="L191" t="n">
        <v>0</v>
      </c>
      <c r="M191" t="n">
        <v>0</v>
      </c>
      <c r="N191" t="n">
        <v>0</v>
      </c>
      <c r="O191" t="n">
        <v>0</v>
      </c>
      <c r="P191" t="n">
        <v>0</v>
      </c>
      <c r="Q191" t="n">
        <v>0</v>
      </c>
      <c r="R191" s="2" t="inlineStr"/>
    </row>
    <row r="192" ht="15" customHeight="1">
      <c r="A192" t="inlineStr">
        <is>
          <t>A 42505-2019</t>
        </is>
      </c>
      <c r="B192" s="1" t="n">
        <v>43704</v>
      </c>
      <c r="C192" s="1" t="n">
        <v>45364</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42513-2019</t>
        </is>
      </c>
      <c r="B193" s="1" t="n">
        <v>43704</v>
      </c>
      <c r="C193" s="1" t="n">
        <v>45364</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44239-2019</t>
        </is>
      </c>
      <c r="B194" s="1" t="n">
        <v>43704</v>
      </c>
      <c r="C194" s="1" t="n">
        <v>45364</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45655-2019</t>
        </is>
      </c>
      <c r="B195" s="1" t="n">
        <v>43704</v>
      </c>
      <c r="C195" s="1" t="n">
        <v>45364</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45652-2019</t>
        </is>
      </c>
      <c r="B196" s="1" t="n">
        <v>43704</v>
      </c>
      <c r="C196" s="1" t="n">
        <v>45364</v>
      </c>
      <c r="D196" t="inlineStr">
        <is>
          <t>NORRBOTTENS LÄN</t>
        </is>
      </c>
      <c r="E196" t="inlineStr">
        <is>
          <t>GÄLLIVARE</t>
        </is>
      </c>
      <c r="G196" t="n">
        <v>1</v>
      </c>
      <c r="H196" t="n">
        <v>0</v>
      </c>
      <c r="I196" t="n">
        <v>0</v>
      </c>
      <c r="J196" t="n">
        <v>0</v>
      </c>
      <c r="K196" t="n">
        <v>0</v>
      </c>
      <c r="L196" t="n">
        <v>0</v>
      </c>
      <c r="M196" t="n">
        <v>0</v>
      </c>
      <c r="N196" t="n">
        <v>0</v>
      </c>
      <c r="O196" t="n">
        <v>0</v>
      </c>
      <c r="P196" t="n">
        <v>0</v>
      </c>
      <c r="Q196" t="n">
        <v>0</v>
      </c>
      <c r="R196" s="2" t="inlineStr"/>
    </row>
    <row r="197" ht="15" customHeight="1">
      <c r="A197" t="inlineStr">
        <is>
          <t>A 45656-2019</t>
        </is>
      </c>
      <c r="B197" s="1" t="n">
        <v>43704</v>
      </c>
      <c r="C197" s="1" t="n">
        <v>45364</v>
      </c>
      <c r="D197" t="inlineStr">
        <is>
          <t>NORRBOTTENS LÄN</t>
        </is>
      </c>
      <c r="E197" t="inlineStr">
        <is>
          <t>GÄLLIVARE</t>
        </is>
      </c>
      <c r="G197" t="n">
        <v>1.5</v>
      </c>
      <c r="H197" t="n">
        <v>0</v>
      </c>
      <c r="I197" t="n">
        <v>0</v>
      </c>
      <c r="J197" t="n">
        <v>0</v>
      </c>
      <c r="K197" t="n">
        <v>0</v>
      </c>
      <c r="L197" t="n">
        <v>0</v>
      </c>
      <c r="M197" t="n">
        <v>0</v>
      </c>
      <c r="N197" t="n">
        <v>0</v>
      </c>
      <c r="O197" t="n">
        <v>0</v>
      </c>
      <c r="P197" t="n">
        <v>0</v>
      </c>
      <c r="Q197" t="n">
        <v>0</v>
      </c>
      <c r="R197" s="2" t="inlineStr"/>
    </row>
    <row r="198" ht="15" customHeight="1">
      <c r="A198" t="inlineStr">
        <is>
          <t>A 43505-2019</t>
        </is>
      </c>
      <c r="B198" s="1" t="n">
        <v>43706</v>
      </c>
      <c r="C198" s="1" t="n">
        <v>45364</v>
      </c>
      <c r="D198" t="inlineStr">
        <is>
          <t>NORRBOTTENS LÄN</t>
        </is>
      </c>
      <c r="E198" t="inlineStr">
        <is>
          <t>GÄLLIVARE</t>
        </is>
      </c>
      <c r="G198" t="n">
        <v>60.2</v>
      </c>
      <c r="H198" t="n">
        <v>0</v>
      </c>
      <c r="I198" t="n">
        <v>0</v>
      </c>
      <c r="J198" t="n">
        <v>0</v>
      </c>
      <c r="K198" t="n">
        <v>0</v>
      </c>
      <c r="L198" t="n">
        <v>0</v>
      </c>
      <c r="M198" t="n">
        <v>0</v>
      </c>
      <c r="N198" t="n">
        <v>0</v>
      </c>
      <c r="O198" t="n">
        <v>0</v>
      </c>
      <c r="P198" t="n">
        <v>0</v>
      </c>
      <c r="Q198" t="n">
        <v>0</v>
      </c>
      <c r="R198" s="2" t="inlineStr"/>
    </row>
    <row r="199" ht="15" customHeight="1">
      <c r="A199" t="inlineStr">
        <is>
          <t>A 43597-2019</t>
        </is>
      </c>
      <c r="B199" s="1" t="n">
        <v>43706</v>
      </c>
      <c r="C199" s="1" t="n">
        <v>45364</v>
      </c>
      <c r="D199" t="inlineStr">
        <is>
          <t>NORRBOTTENS LÄN</t>
        </is>
      </c>
      <c r="E199" t="inlineStr">
        <is>
          <t>GÄLLIVARE</t>
        </is>
      </c>
      <c r="F199" t="inlineStr">
        <is>
          <t>SCA</t>
        </is>
      </c>
      <c r="G199" t="n">
        <v>17.7</v>
      </c>
      <c r="H199" t="n">
        <v>0</v>
      </c>
      <c r="I199" t="n">
        <v>0</v>
      </c>
      <c r="J199" t="n">
        <v>0</v>
      </c>
      <c r="K199" t="n">
        <v>0</v>
      </c>
      <c r="L199" t="n">
        <v>0</v>
      </c>
      <c r="M199" t="n">
        <v>0</v>
      </c>
      <c r="N199" t="n">
        <v>0</v>
      </c>
      <c r="O199" t="n">
        <v>0</v>
      </c>
      <c r="P199" t="n">
        <v>0</v>
      </c>
      <c r="Q199" t="n">
        <v>0</v>
      </c>
      <c r="R199" s="2" t="inlineStr"/>
    </row>
    <row r="200" ht="15" customHeight="1">
      <c r="A200" t="inlineStr">
        <is>
          <t>A 43596-2019</t>
        </is>
      </c>
      <c r="B200" s="1" t="n">
        <v>43706</v>
      </c>
      <c r="C200" s="1" t="n">
        <v>45364</v>
      </c>
      <c r="D200" t="inlineStr">
        <is>
          <t>NORRBOTTENS LÄN</t>
        </is>
      </c>
      <c r="E200" t="inlineStr">
        <is>
          <t>GÄLLIVARE</t>
        </is>
      </c>
      <c r="F200" t="inlineStr">
        <is>
          <t>SCA</t>
        </is>
      </c>
      <c r="G200" t="n">
        <v>7.9</v>
      </c>
      <c r="H200" t="n">
        <v>0</v>
      </c>
      <c r="I200" t="n">
        <v>0</v>
      </c>
      <c r="J200" t="n">
        <v>0</v>
      </c>
      <c r="K200" t="n">
        <v>0</v>
      </c>
      <c r="L200" t="n">
        <v>0</v>
      </c>
      <c r="M200" t="n">
        <v>0</v>
      </c>
      <c r="N200" t="n">
        <v>0</v>
      </c>
      <c r="O200" t="n">
        <v>0</v>
      </c>
      <c r="P200" t="n">
        <v>0</v>
      </c>
      <c r="Q200" t="n">
        <v>0</v>
      </c>
      <c r="R200" s="2" t="inlineStr"/>
    </row>
    <row r="201" ht="15" customHeight="1">
      <c r="A201" t="inlineStr">
        <is>
          <t>A 46662-2019</t>
        </is>
      </c>
      <c r="B201" s="1" t="n">
        <v>43718</v>
      </c>
      <c r="C201" s="1" t="n">
        <v>45364</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47093-2019</t>
        </is>
      </c>
      <c r="B202" s="1" t="n">
        <v>43720</v>
      </c>
      <c r="C202" s="1" t="n">
        <v>45364</v>
      </c>
      <c r="D202" t="inlineStr">
        <is>
          <t>NORRBOTTENS LÄN</t>
        </is>
      </c>
      <c r="E202" t="inlineStr">
        <is>
          <t>GÄLLIVARE</t>
        </is>
      </c>
      <c r="F202" t="inlineStr">
        <is>
          <t>SCA</t>
        </is>
      </c>
      <c r="G202" t="n">
        <v>20.4</v>
      </c>
      <c r="H202" t="n">
        <v>0</v>
      </c>
      <c r="I202" t="n">
        <v>0</v>
      </c>
      <c r="J202" t="n">
        <v>0</v>
      </c>
      <c r="K202" t="n">
        <v>0</v>
      </c>
      <c r="L202" t="n">
        <v>0</v>
      </c>
      <c r="M202" t="n">
        <v>0</v>
      </c>
      <c r="N202" t="n">
        <v>0</v>
      </c>
      <c r="O202" t="n">
        <v>0</v>
      </c>
      <c r="P202" t="n">
        <v>0</v>
      </c>
      <c r="Q202" t="n">
        <v>0</v>
      </c>
      <c r="R202" s="2" t="inlineStr"/>
    </row>
    <row r="203" ht="15" customHeight="1">
      <c r="A203" t="inlineStr">
        <is>
          <t>A 47637-2019</t>
        </is>
      </c>
      <c r="B203" s="1" t="n">
        <v>43724</v>
      </c>
      <c r="C203" s="1" t="n">
        <v>45364</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47761-2019</t>
        </is>
      </c>
      <c r="B204" s="1" t="n">
        <v>43724</v>
      </c>
      <c r="C204" s="1" t="n">
        <v>45364</v>
      </c>
      <c r="D204" t="inlineStr">
        <is>
          <t>NORRBOTTENS LÄN</t>
        </is>
      </c>
      <c r="E204" t="inlineStr">
        <is>
          <t>GÄLLIVARE</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47625-2019</t>
        </is>
      </c>
      <c r="B205" s="1" t="n">
        <v>43724</v>
      </c>
      <c r="C205" s="1" t="n">
        <v>45364</v>
      </c>
      <c r="D205" t="inlineStr">
        <is>
          <t>NORRBOTTENS LÄN</t>
        </is>
      </c>
      <c r="E205" t="inlineStr">
        <is>
          <t>GÄLLIVARE</t>
        </is>
      </c>
      <c r="G205" t="n">
        <v>6.4</v>
      </c>
      <c r="H205" t="n">
        <v>0</v>
      </c>
      <c r="I205" t="n">
        <v>0</v>
      </c>
      <c r="J205" t="n">
        <v>0</v>
      </c>
      <c r="K205" t="n">
        <v>0</v>
      </c>
      <c r="L205" t="n">
        <v>0</v>
      </c>
      <c r="M205" t="n">
        <v>0</v>
      </c>
      <c r="N205" t="n">
        <v>0</v>
      </c>
      <c r="O205" t="n">
        <v>0</v>
      </c>
      <c r="P205" t="n">
        <v>0</v>
      </c>
      <c r="Q205" t="n">
        <v>0</v>
      </c>
      <c r="R205" s="2" t="inlineStr"/>
    </row>
    <row r="206" ht="15" customHeight="1">
      <c r="A206" t="inlineStr">
        <is>
          <t>A 47635-2019</t>
        </is>
      </c>
      <c r="B206" s="1" t="n">
        <v>43724</v>
      </c>
      <c r="C206" s="1" t="n">
        <v>45364</v>
      </c>
      <c r="D206" t="inlineStr">
        <is>
          <t>NORRBOTTENS LÄN</t>
        </is>
      </c>
      <c r="E206" t="inlineStr">
        <is>
          <t>GÄLLIVARE</t>
        </is>
      </c>
      <c r="G206" t="n">
        <v>6.2</v>
      </c>
      <c r="H206" t="n">
        <v>0</v>
      </c>
      <c r="I206" t="n">
        <v>0</v>
      </c>
      <c r="J206" t="n">
        <v>0</v>
      </c>
      <c r="K206" t="n">
        <v>0</v>
      </c>
      <c r="L206" t="n">
        <v>0</v>
      </c>
      <c r="M206" t="n">
        <v>0</v>
      </c>
      <c r="N206" t="n">
        <v>0</v>
      </c>
      <c r="O206" t="n">
        <v>0</v>
      </c>
      <c r="P206" t="n">
        <v>0</v>
      </c>
      <c r="Q206" t="n">
        <v>0</v>
      </c>
      <c r="R206" s="2" t="inlineStr"/>
    </row>
    <row r="207" ht="15" customHeight="1">
      <c r="A207" t="inlineStr">
        <is>
          <t>A 48094-2019</t>
        </is>
      </c>
      <c r="B207" s="1" t="n">
        <v>43725</v>
      </c>
      <c r="C207" s="1" t="n">
        <v>45364</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50126-2019</t>
        </is>
      </c>
      <c r="B208" s="1" t="n">
        <v>43734</v>
      </c>
      <c r="C208" s="1" t="n">
        <v>45364</v>
      </c>
      <c r="D208" t="inlineStr">
        <is>
          <t>NORRBOTTENS LÄN</t>
        </is>
      </c>
      <c r="E208" t="inlineStr">
        <is>
          <t>GÄLLIVARE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50123-2019</t>
        </is>
      </c>
      <c r="B209" s="1" t="n">
        <v>43734</v>
      </c>
      <c r="C209" s="1" t="n">
        <v>45364</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52026-2019</t>
        </is>
      </c>
      <c r="B210" s="1" t="n">
        <v>43734</v>
      </c>
      <c r="C210" s="1" t="n">
        <v>45364</v>
      </c>
      <c r="D210" t="inlineStr">
        <is>
          <t>NORRBOTTENS LÄN</t>
        </is>
      </c>
      <c r="E210" t="inlineStr">
        <is>
          <t>GÄLLIVARE</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50120-2019</t>
        </is>
      </c>
      <c r="B211" s="1" t="n">
        <v>43734</v>
      </c>
      <c r="C211" s="1" t="n">
        <v>45364</v>
      </c>
      <c r="D211" t="inlineStr">
        <is>
          <t>NORRBOTTENS LÄN</t>
        </is>
      </c>
      <c r="E211" t="inlineStr">
        <is>
          <t>GÄLLIVARE</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52748-2019</t>
        </is>
      </c>
      <c r="B212" s="1" t="n">
        <v>43739</v>
      </c>
      <c r="C212" s="1" t="n">
        <v>45364</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51514-2019</t>
        </is>
      </c>
      <c r="B213" s="1" t="n">
        <v>43740</v>
      </c>
      <c r="C213" s="1" t="n">
        <v>45364</v>
      </c>
      <c r="D213" t="inlineStr">
        <is>
          <t>NORRBOTTENS LÄN</t>
        </is>
      </c>
      <c r="E213" t="inlineStr">
        <is>
          <t>GÄLLIVARE</t>
        </is>
      </c>
      <c r="F213" t="inlineStr">
        <is>
          <t>Sveaskog</t>
        </is>
      </c>
      <c r="G213" t="n">
        <v>11.8</v>
      </c>
      <c r="H213" t="n">
        <v>0</v>
      </c>
      <c r="I213" t="n">
        <v>0</v>
      </c>
      <c r="J213" t="n">
        <v>0</v>
      </c>
      <c r="K213" t="n">
        <v>0</v>
      </c>
      <c r="L213" t="n">
        <v>0</v>
      </c>
      <c r="M213" t="n">
        <v>0</v>
      </c>
      <c r="N213" t="n">
        <v>0</v>
      </c>
      <c r="O213" t="n">
        <v>0</v>
      </c>
      <c r="P213" t="n">
        <v>0</v>
      </c>
      <c r="Q213" t="n">
        <v>0</v>
      </c>
      <c r="R213" s="2" t="inlineStr"/>
    </row>
    <row r="214" ht="15" customHeight="1">
      <c r="A214" t="inlineStr">
        <is>
          <t>A 53201-2019</t>
        </is>
      </c>
      <c r="B214" s="1" t="n">
        <v>43748</v>
      </c>
      <c r="C214" s="1" t="n">
        <v>45364</v>
      </c>
      <c r="D214" t="inlineStr">
        <is>
          <t>NORRBOTTENS LÄN</t>
        </is>
      </c>
      <c r="E214" t="inlineStr">
        <is>
          <t>GÄLLIVARE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53922-2019</t>
        </is>
      </c>
      <c r="B215" s="1" t="n">
        <v>43752</v>
      </c>
      <c r="C215" s="1" t="n">
        <v>45364</v>
      </c>
      <c r="D215" t="inlineStr">
        <is>
          <t>NORRBOTTENS LÄN</t>
        </is>
      </c>
      <c r="E215" t="inlineStr">
        <is>
          <t>GÄLLIVARE</t>
        </is>
      </c>
      <c r="F215" t="inlineStr">
        <is>
          <t>Sveaskog</t>
        </is>
      </c>
      <c r="G215" t="n">
        <v>15.9</v>
      </c>
      <c r="H215" t="n">
        <v>0</v>
      </c>
      <c r="I215" t="n">
        <v>0</v>
      </c>
      <c r="J215" t="n">
        <v>0</v>
      </c>
      <c r="K215" t="n">
        <v>0</v>
      </c>
      <c r="L215" t="n">
        <v>0</v>
      </c>
      <c r="M215" t="n">
        <v>0</v>
      </c>
      <c r="N215" t="n">
        <v>0</v>
      </c>
      <c r="O215" t="n">
        <v>0</v>
      </c>
      <c r="P215" t="n">
        <v>0</v>
      </c>
      <c r="Q215" t="n">
        <v>0</v>
      </c>
      <c r="R215" s="2" t="inlineStr"/>
    </row>
    <row r="216" ht="15" customHeight="1">
      <c r="A216" t="inlineStr">
        <is>
          <t>A 58826-2019</t>
        </is>
      </c>
      <c r="B216" s="1" t="n">
        <v>43752</v>
      </c>
      <c r="C216" s="1" t="n">
        <v>45364</v>
      </c>
      <c r="D216" t="inlineStr">
        <is>
          <t>NORRBOTTENS LÄN</t>
        </is>
      </c>
      <c r="E216" t="inlineStr">
        <is>
          <t>GÄLLIVARE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54373-2019</t>
        </is>
      </c>
      <c r="B217" s="1" t="n">
        <v>43753</v>
      </c>
      <c r="C217" s="1" t="n">
        <v>45364</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54457-2019</t>
        </is>
      </c>
      <c r="B218" s="1" t="n">
        <v>43754</v>
      </c>
      <c r="C218" s="1" t="n">
        <v>45364</v>
      </c>
      <c r="D218" t="inlineStr">
        <is>
          <t>NORRBOTTENS LÄN</t>
        </is>
      </c>
      <c r="E218" t="inlineStr">
        <is>
          <t>GÄLLIVARE</t>
        </is>
      </c>
      <c r="F218" t="inlineStr">
        <is>
          <t>Sveaskog</t>
        </is>
      </c>
      <c r="G218" t="n">
        <v>39.5</v>
      </c>
      <c r="H218" t="n">
        <v>0</v>
      </c>
      <c r="I218" t="n">
        <v>0</v>
      </c>
      <c r="J218" t="n">
        <v>0</v>
      </c>
      <c r="K218" t="n">
        <v>0</v>
      </c>
      <c r="L218" t="n">
        <v>0</v>
      </c>
      <c r="M218" t="n">
        <v>0</v>
      </c>
      <c r="N218" t="n">
        <v>0</v>
      </c>
      <c r="O218" t="n">
        <v>0</v>
      </c>
      <c r="P218" t="n">
        <v>0</v>
      </c>
      <c r="Q218" t="n">
        <v>0</v>
      </c>
      <c r="R218" s="2" t="inlineStr"/>
    </row>
    <row r="219" ht="15" customHeight="1">
      <c r="A219" t="inlineStr">
        <is>
          <t>A 54476-2019</t>
        </is>
      </c>
      <c r="B219" s="1" t="n">
        <v>43754</v>
      </c>
      <c r="C219" s="1" t="n">
        <v>45364</v>
      </c>
      <c r="D219" t="inlineStr">
        <is>
          <t>NORRBOTTENS LÄN</t>
        </is>
      </c>
      <c r="E219" t="inlineStr">
        <is>
          <t>GÄLLIVARE</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54525-2019</t>
        </is>
      </c>
      <c r="B220" s="1" t="n">
        <v>43754</v>
      </c>
      <c r="C220" s="1" t="n">
        <v>45364</v>
      </c>
      <c r="D220" t="inlineStr">
        <is>
          <t>NORRBOTTENS LÄN</t>
        </is>
      </c>
      <c r="E220" t="inlineStr">
        <is>
          <t>GÄLLIVARE</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55027-2019</t>
        </is>
      </c>
      <c r="B221" s="1" t="n">
        <v>43755</v>
      </c>
      <c r="C221" s="1" t="n">
        <v>45364</v>
      </c>
      <c r="D221" t="inlineStr">
        <is>
          <t>NORRBOTTENS LÄN</t>
        </is>
      </c>
      <c r="E221" t="inlineStr">
        <is>
          <t>GÄLLIVARE</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57322-2019</t>
        </is>
      </c>
      <c r="B222" s="1" t="n">
        <v>43759</v>
      </c>
      <c r="C222" s="1" t="n">
        <v>45364</v>
      </c>
      <c r="D222" t="inlineStr">
        <is>
          <t>NORRBOTTENS LÄN</t>
        </is>
      </c>
      <c r="E222" t="inlineStr">
        <is>
          <t>GÄLLIVARE</t>
        </is>
      </c>
      <c r="G222" t="n">
        <v>14.1</v>
      </c>
      <c r="H222" t="n">
        <v>0</v>
      </c>
      <c r="I222" t="n">
        <v>0</v>
      </c>
      <c r="J222" t="n">
        <v>0</v>
      </c>
      <c r="K222" t="n">
        <v>0</v>
      </c>
      <c r="L222" t="n">
        <v>0</v>
      </c>
      <c r="M222" t="n">
        <v>0</v>
      </c>
      <c r="N222" t="n">
        <v>0</v>
      </c>
      <c r="O222" t="n">
        <v>0</v>
      </c>
      <c r="P222" t="n">
        <v>0</v>
      </c>
      <c r="Q222" t="n">
        <v>0</v>
      </c>
      <c r="R222" s="2" t="inlineStr"/>
    </row>
    <row r="223" ht="15" customHeight="1">
      <c r="A223" t="inlineStr">
        <is>
          <t>A 57315-2019</t>
        </is>
      </c>
      <c r="B223" s="1" t="n">
        <v>43759</v>
      </c>
      <c r="C223" s="1" t="n">
        <v>45364</v>
      </c>
      <c r="D223" t="inlineStr">
        <is>
          <t>NORRBOTTENS LÄN</t>
        </is>
      </c>
      <c r="E223" t="inlineStr">
        <is>
          <t>GÄLLIVARE</t>
        </is>
      </c>
      <c r="G223" t="n">
        <v>15.2</v>
      </c>
      <c r="H223" t="n">
        <v>0</v>
      </c>
      <c r="I223" t="n">
        <v>0</v>
      </c>
      <c r="J223" t="n">
        <v>0</v>
      </c>
      <c r="K223" t="n">
        <v>0</v>
      </c>
      <c r="L223" t="n">
        <v>0</v>
      </c>
      <c r="M223" t="n">
        <v>0</v>
      </c>
      <c r="N223" t="n">
        <v>0</v>
      </c>
      <c r="O223" t="n">
        <v>0</v>
      </c>
      <c r="P223" t="n">
        <v>0</v>
      </c>
      <c r="Q223" t="n">
        <v>0</v>
      </c>
      <c r="R223" s="2" t="inlineStr"/>
    </row>
    <row r="224" ht="15" customHeight="1">
      <c r="A224" t="inlineStr">
        <is>
          <t>A 57069-2019</t>
        </is>
      </c>
      <c r="B224" s="1" t="n">
        <v>43766</v>
      </c>
      <c r="C224" s="1" t="n">
        <v>45364</v>
      </c>
      <c r="D224" t="inlineStr">
        <is>
          <t>NORRBOTTENS LÄN</t>
        </is>
      </c>
      <c r="E224" t="inlineStr">
        <is>
          <t>GÄLLIVARE</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57056-2019</t>
        </is>
      </c>
      <c r="B225" s="1" t="n">
        <v>43766</v>
      </c>
      <c r="C225" s="1" t="n">
        <v>45364</v>
      </c>
      <c r="D225" t="inlineStr">
        <is>
          <t>NORRBOTTENS LÄN</t>
        </is>
      </c>
      <c r="E225" t="inlineStr">
        <is>
          <t>GÄLLIVARE</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57060-2019</t>
        </is>
      </c>
      <c r="B226" s="1" t="n">
        <v>43766</v>
      </c>
      <c r="C226" s="1" t="n">
        <v>45364</v>
      </c>
      <c r="D226" t="inlineStr">
        <is>
          <t>NORRBOTTENS LÄN</t>
        </is>
      </c>
      <c r="E226" t="inlineStr">
        <is>
          <t>GÄLLIVARE</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57081-2019</t>
        </is>
      </c>
      <c r="B227" s="1" t="n">
        <v>43766</v>
      </c>
      <c r="C227" s="1" t="n">
        <v>45364</v>
      </c>
      <c r="D227" t="inlineStr">
        <is>
          <t>NORRBOTTENS LÄN</t>
        </is>
      </c>
      <c r="E227" t="inlineStr">
        <is>
          <t>GÄLLIVARE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57072-2019</t>
        </is>
      </c>
      <c r="B228" s="1" t="n">
        <v>43766</v>
      </c>
      <c r="C228" s="1" t="n">
        <v>45364</v>
      </c>
      <c r="D228" t="inlineStr">
        <is>
          <t>NORRBOTTENS LÄN</t>
        </is>
      </c>
      <c r="E228" t="inlineStr">
        <is>
          <t>GÄLLIVARE</t>
        </is>
      </c>
      <c r="F228" t="inlineStr">
        <is>
          <t>Sveaskog</t>
        </is>
      </c>
      <c r="G228" t="n">
        <v>15.7</v>
      </c>
      <c r="H228" t="n">
        <v>0</v>
      </c>
      <c r="I228" t="n">
        <v>0</v>
      </c>
      <c r="J228" t="n">
        <v>0</v>
      </c>
      <c r="K228" t="n">
        <v>0</v>
      </c>
      <c r="L228" t="n">
        <v>0</v>
      </c>
      <c r="M228" t="n">
        <v>0</v>
      </c>
      <c r="N228" t="n">
        <v>0</v>
      </c>
      <c r="O228" t="n">
        <v>0</v>
      </c>
      <c r="P228" t="n">
        <v>0</v>
      </c>
      <c r="Q228" t="n">
        <v>0</v>
      </c>
      <c r="R228" s="2" t="inlineStr"/>
    </row>
    <row r="229" ht="15" customHeight="1">
      <c r="A229" t="inlineStr">
        <is>
          <t>A 57087-2019</t>
        </is>
      </c>
      <c r="B229" s="1" t="n">
        <v>43766</v>
      </c>
      <c r="C229" s="1" t="n">
        <v>45364</v>
      </c>
      <c r="D229" t="inlineStr">
        <is>
          <t>NORRBOTTENS LÄN</t>
        </is>
      </c>
      <c r="E229" t="inlineStr">
        <is>
          <t>GÄLLIVARE</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58609-2019</t>
        </is>
      </c>
      <c r="B230" s="1" t="n">
        <v>43768</v>
      </c>
      <c r="C230" s="1" t="n">
        <v>45364</v>
      </c>
      <c r="D230" t="inlineStr">
        <is>
          <t>NORRBOTTENS LÄN</t>
        </is>
      </c>
      <c r="E230" t="inlineStr">
        <is>
          <t>GÄLLIVARE</t>
        </is>
      </c>
      <c r="G230" t="n">
        <v>7.8</v>
      </c>
      <c r="H230" t="n">
        <v>0</v>
      </c>
      <c r="I230" t="n">
        <v>0</v>
      </c>
      <c r="J230" t="n">
        <v>0</v>
      </c>
      <c r="K230" t="n">
        <v>0</v>
      </c>
      <c r="L230" t="n">
        <v>0</v>
      </c>
      <c r="M230" t="n">
        <v>0</v>
      </c>
      <c r="N230" t="n">
        <v>0</v>
      </c>
      <c r="O230" t="n">
        <v>0</v>
      </c>
      <c r="P230" t="n">
        <v>0</v>
      </c>
      <c r="Q230" t="n">
        <v>0</v>
      </c>
      <c r="R230" s="2" t="inlineStr"/>
    </row>
    <row r="231" ht="15" customHeight="1">
      <c r="A231" t="inlineStr">
        <is>
          <t>A 60542-2019</t>
        </is>
      </c>
      <c r="B231" s="1" t="n">
        <v>43776</v>
      </c>
      <c r="C231" s="1" t="n">
        <v>45364</v>
      </c>
      <c r="D231" t="inlineStr">
        <is>
          <t>NORRBOTTENS LÄN</t>
        </is>
      </c>
      <c r="E231" t="inlineStr">
        <is>
          <t>GÄLLIVARE</t>
        </is>
      </c>
      <c r="G231" t="n">
        <v>24.1</v>
      </c>
      <c r="H231" t="n">
        <v>0</v>
      </c>
      <c r="I231" t="n">
        <v>0</v>
      </c>
      <c r="J231" t="n">
        <v>0</v>
      </c>
      <c r="K231" t="n">
        <v>0</v>
      </c>
      <c r="L231" t="n">
        <v>0</v>
      </c>
      <c r="M231" t="n">
        <v>0</v>
      </c>
      <c r="N231" t="n">
        <v>0</v>
      </c>
      <c r="O231" t="n">
        <v>0</v>
      </c>
      <c r="P231" t="n">
        <v>0</v>
      </c>
      <c r="Q231" t="n">
        <v>0</v>
      </c>
      <c r="R231" s="2" t="inlineStr"/>
    </row>
    <row r="232" ht="15" customHeight="1">
      <c r="A232" t="inlineStr">
        <is>
          <t>A 61206-2019</t>
        </is>
      </c>
      <c r="B232" s="1" t="n">
        <v>43782</v>
      </c>
      <c r="C232" s="1" t="n">
        <v>45364</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61207-2019</t>
        </is>
      </c>
      <c r="B233" s="1" t="n">
        <v>43782</v>
      </c>
      <c r="C233" s="1" t="n">
        <v>45364</v>
      </c>
      <c r="D233" t="inlineStr">
        <is>
          <t>NORRBOTTENS LÄN</t>
        </is>
      </c>
      <c r="E233" t="inlineStr">
        <is>
          <t>GÄLLIVARE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63843-2019</t>
        </is>
      </c>
      <c r="B234" s="1" t="n">
        <v>43795</v>
      </c>
      <c r="C234" s="1" t="n">
        <v>45364</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65725-2019</t>
        </is>
      </c>
      <c r="B235" s="1" t="n">
        <v>43804</v>
      </c>
      <c r="C235" s="1" t="n">
        <v>45364</v>
      </c>
      <c r="D235" t="inlineStr">
        <is>
          <t>NORRBOTTENS LÄN</t>
        </is>
      </c>
      <c r="E235" t="inlineStr">
        <is>
          <t>GÄLLIVARE</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66409-2019</t>
        </is>
      </c>
      <c r="B236" s="1" t="n">
        <v>43809</v>
      </c>
      <c r="C236" s="1" t="n">
        <v>45364</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68502-2019</t>
        </is>
      </c>
      <c r="B237" s="1" t="n">
        <v>43811</v>
      </c>
      <c r="C237" s="1" t="n">
        <v>45364</v>
      </c>
      <c r="D237" t="inlineStr">
        <is>
          <t>NORRBOTTENS LÄN</t>
        </is>
      </c>
      <c r="E237" t="inlineStr">
        <is>
          <t>GÄLLIVARE</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68576-2019</t>
        </is>
      </c>
      <c r="B238" s="1" t="n">
        <v>43812</v>
      </c>
      <c r="C238" s="1" t="n">
        <v>45364</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68297-2019</t>
        </is>
      </c>
      <c r="B239" s="1" t="n">
        <v>43817</v>
      </c>
      <c r="C239" s="1" t="n">
        <v>45364</v>
      </c>
      <c r="D239" t="inlineStr">
        <is>
          <t>NORRBOTTENS LÄN</t>
        </is>
      </c>
      <c r="E239" t="inlineStr">
        <is>
          <t>GÄLLIVARE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68569-2019</t>
        </is>
      </c>
      <c r="B240" s="1" t="n">
        <v>43818</v>
      </c>
      <c r="C240" s="1" t="n">
        <v>45364</v>
      </c>
      <c r="D240" t="inlineStr">
        <is>
          <t>NORRBOTTENS LÄN</t>
        </is>
      </c>
      <c r="E240" t="inlineStr">
        <is>
          <t>GÄLLIVARE</t>
        </is>
      </c>
      <c r="F240" t="inlineStr">
        <is>
          <t>Sveaskog</t>
        </is>
      </c>
      <c r="G240" t="n">
        <v>41.5</v>
      </c>
      <c r="H240" t="n">
        <v>0</v>
      </c>
      <c r="I240" t="n">
        <v>0</v>
      </c>
      <c r="J240" t="n">
        <v>0</v>
      </c>
      <c r="K240" t="n">
        <v>0</v>
      </c>
      <c r="L240" t="n">
        <v>0</v>
      </c>
      <c r="M240" t="n">
        <v>0</v>
      </c>
      <c r="N240" t="n">
        <v>0</v>
      </c>
      <c r="O240" t="n">
        <v>0</v>
      </c>
      <c r="P240" t="n">
        <v>0</v>
      </c>
      <c r="Q240" t="n">
        <v>0</v>
      </c>
      <c r="R240" s="2" t="inlineStr"/>
    </row>
    <row r="241" ht="15" customHeight="1">
      <c r="A241" t="inlineStr">
        <is>
          <t>A 2837-2020</t>
        </is>
      </c>
      <c r="B241" s="1" t="n">
        <v>43843</v>
      </c>
      <c r="C241" s="1" t="n">
        <v>45364</v>
      </c>
      <c r="D241" t="inlineStr">
        <is>
          <t>NORRBOTTENS LÄN</t>
        </is>
      </c>
      <c r="E241" t="inlineStr">
        <is>
          <t>GÄLLIVARE</t>
        </is>
      </c>
      <c r="F241" t="inlineStr">
        <is>
          <t>Sveaskog</t>
        </is>
      </c>
      <c r="G241" t="n">
        <v>21.7</v>
      </c>
      <c r="H241" t="n">
        <v>0</v>
      </c>
      <c r="I241" t="n">
        <v>0</v>
      </c>
      <c r="J241" t="n">
        <v>0</v>
      </c>
      <c r="K241" t="n">
        <v>0</v>
      </c>
      <c r="L241" t="n">
        <v>0</v>
      </c>
      <c r="M241" t="n">
        <v>0</v>
      </c>
      <c r="N241" t="n">
        <v>0</v>
      </c>
      <c r="O241" t="n">
        <v>0</v>
      </c>
      <c r="P241" t="n">
        <v>0</v>
      </c>
      <c r="Q241" t="n">
        <v>0</v>
      </c>
      <c r="R241" s="2" t="inlineStr"/>
    </row>
    <row r="242" ht="15" customHeight="1">
      <c r="A242" t="inlineStr">
        <is>
          <t>A 2761-2020</t>
        </is>
      </c>
      <c r="B242" s="1" t="n">
        <v>43843</v>
      </c>
      <c r="C242" s="1" t="n">
        <v>45364</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2804-2020</t>
        </is>
      </c>
      <c r="B243" s="1" t="n">
        <v>43843</v>
      </c>
      <c r="C243" s="1" t="n">
        <v>45364</v>
      </c>
      <c r="D243" t="inlineStr">
        <is>
          <t>NORRBOTTENS LÄN</t>
        </is>
      </c>
      <c r="E243" t="inlineStr">
        <is>
          <t>GÄLLIVARE</t>
        </is>
      </c>
      <c r="F243" t="inlineStr">
        <is>
          <t>Sveaskog</t>
        </is>
      </c>
      <c r="G243" t="n">
        <v>58.1</v>
      </c>
      <c r="H243" t="n">
        <v>0</v>
      </c>
      <c r="I243" t="n">
        <v>0</v>
      </c>
      <c r="J243" t="n">
        <v>0</v>
      </c>
      <c r="K243" t="n">
        <v>0</v>
      </c>
      <c r="L243" t="n">
        <v>0</v>
      </c>
      <c r="M243" t="n">
        <v>0</v>
      </c>
      <c r="N243" t="n">
        <v>0</v>
      </c>
      <c r="O243" t="n">
        <v>0</v>
      </c>
      <c r="P243" t="n">
        <v>0</v>
      </c>
      <c r="Q243" t="n">
        <v>0</v>
      </c>
      <c r="R243" s="2" t="inlineStr"/>
    </row>
    <row r="244" ht="15" customHeight="1">
      <c r="A244" t="inlineStr">
        <is>
          <t>A 2768-2020</t>
        </is>
      </c>
      <c r="B244" s="1" t="n">
        <v>43843</v>
      </c>
      <c r="C244" s="1" t="n">
        <v>45364</v>
      </c>
      <c r="D244" t="inlineStr">
        <is>
          <t>NORRBOTTENS LÄN</t>
        </is>
      </c>
      <c r="E244" t="inlineStr">
        <is>
          <t>GÄLLIVARE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2816-2020</t>
        </is>
      </c>
      <c r="B245" s="1" t="n">
        <v>43843</v>
      </c>
      <c r="C245" s="1" t="n">
        <v>45364</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1723-2020</t>
        </is>
      </c>
      <c r="B246" s="1" t="n">
        <v>43844</v>
      </c>
      <c r="C246" s="1" t="n">
        <v>45364</v>
      </c>
      <c r="D246" t="inlineStr">
        <is>
          <t>NORRBOTTENS LÄN</t>
        </is>
      </c>
      <c r="E246" t="inlineStr">
        <is>
          <t>GÄLLIVARE</t>
        </is>
      </c>
      <c r="F246" t="inlineStr">
        <is>
          <t>Sveaskog</t>
        </is>
      </c>
      <c r="G246" t="n">
        <v>16.9</v>
      </c>
      <c r="H246" t="n">
        <v>0</v>
      </c>
      <c r="I246" t="n">
        <v>0</v>
      </c>
      <c r="J246" t="n">
        <v>0</v>
      </c>
      <c r="K246" t="n">
        <v>0</v>
      </c>
      <c r="L246" t="n">
        <v>0</v>
      </c>
      <c r="M246" t="n">
        <v>0</v>
      </c>
      <c r="N246" t="n">
        <v>0</v>
      </c>
      <c r="O246" t="n">
        <v>0</v>
      </c>
      <c r="P246" t="n">
        <v>0</v>
      </c>
      <c r="Q246" t="n">
        <v>0</v>
      </c>
      <c r="R246" s="2" t="inlineStr"/>
    </row>
    <row r="247" ht="15" customHeight="1">
      <c r="A247" t="inlineStr">
        <is>
          <t>A 8575-2020</t>
        </is>
      </c>
      <c r="B247" s="1" t="n">
        <v>43875</v>
      </c>
      <c r="C247" s="1" t="n">
        <v>45364</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8572-2020</t>
        </is>
      </c>
      <c r="B248" s="1" t="n">
        <v>43875</v>
      </c>
      <c r="C248" s="1" t="n">
        <v>45364</v>
      </c>
      <c r="D248" t="inlineStr">
        <is>
          <t>NORRBOTTENS LÄN</t>
        </is>
      </c>
      <c r="E248" t="inlineStr">
        <is>
          <t>GÄLLIVARE</t>
        </is>
      </c>
      <c r="G248" t="n">
        <v>7.5</v>
      </c>
      <c r="H248" t="n">
        <v>0</v>
      </c>
      <c r="I248" t="n">
        <v>0</v>
      </c>
      <c r="J248" t="n">
        <v>0</v>
      </c>
      <c r="K248" t="n">
        <v>0</v>
      </c>
      <c r="L248" t="n">
        <v>0</v>
      </c>
      <c r="M248" t="n">
        <v>0</v>
      </c>
      <c r="N248" t="n">
        <v>0</v>
      </c>
      <c r="O248" t="n">
        <v>0</v>
      </c>
      <c r="P248" t="n">
        <v>0</v>
      </c>
      <c r="Q248" t="n">
        <v>0</v>
      </c>
      <c r="R248" s="2" t="inlineStr"/>
    </row>
    <row r="249" ht="15" customHeight="1">
      <c r="A249" t="inlineStr">
        <is>
          <t>A 11758-2020</t>
        </is>
      </c>
      <c r="B249" s="1" t="n">
        <v>43887</v>
      </c>
      <c r="C249" s="1" t="n">
        <v>45364</v>
      </c>
      <c r="D249" t="inlineStr">
        <is>
          <t>NORRBOTTENS LÄN</t>
        </is>
      </c>
      <c r="E249" t="inlineStr">
        <is>
          <t>GÄLLIVARE</t>
        </is>
      </c>
      <c r="F249" t="inlineStr">
        <is>
          <t>Övriga statliga verk och myndigheter</t>
        </is>
      </c>
      <c r="G249" t="n">
        <v>5</v>
      </c>
      <c r="H249" t="n">
        <v>0</v>
      </c>
      <c r="I249" t="n">
        <v>0</v>
      </c>
      <c r="J249" t="n">
        <v>0</v>
      </c>
      <c r="K249" t="n">
        <v>0</v>
      </c>
      <c r="L249" t="n">
        <v>0</v>
      </c>
      <c r="M249" t="n">
        <v>0</v>
      </c>
      <c r="N249" t="n">
        <v>0</v>
      </c>
      <c r="O249" t="n">
        <v>0</v>
      </c>
      <c r="P249" t="n">
        <v>0</v>
      </c>
      <c r="Q249" t="n">
        <v>0</v>
      </c>
      <c r="R249" s="2" t="inlineStr"/>
    </row>
    <row r="250" ht="15" customHeight="1">
      <c r="A250" t="inlineStr">
        <is>
          <t>A 11136-2020</t>
        </is>
      </c>
      <c r="B250" s="1" t="n">
        <v>43890</v>
      </c>
      <c r="C250" s="1" t="n">
        <v>45364</v>
      </c>
      <c r="D250" t="inlineStr">
        <is>
          <t>NORRBOTTENS LÄN</t>
        </is>
      </c>
      <c r="E250" t="inlineStr">
        <is>
          <t>GÄLLIVARE</t>
        </is>
      </c>
      <c r="G250" t="n">
        <v>13.4</v>
      </c>
      <c r="H250" t="n">
        <v>0</v>
      </c>
      <c r="I250" t="n">
        <v>0</v>
      </c>
      <c r="J250" t="n">
        <v>0</v>
      </c>
      <c r="K250" t="n">
        <v>0</v>
      </c>
      <c r="L250" t="n">
        <v>0</v>
      </c>
      <c r="M250" t="n">
        <v>0</v>
      </c>
      <c r="N250" t="n">
        <v>0</v>
      </c>
      <c r="O250" t="n">
        <v>0</v>
      </c>
      <c r="P250" t="n">
        <v>0</v>
      </c>
      <c r="Q250" t="n">
        <v>0</v>
      </c>
      <c r="R250" s="2" t="inlineStr"/>
    </row>
    <row r="251" ht="15" customHeight="1">
      <c r="A251" t="inlineStr">
        <is>
          <t>A 16621-2020</t>
        </is>
      </c>
      <c r="B251" s="1" t="n">
        <v>43910</v>
      </c>
      <c r="C251" s="1" t="n">
        <v>45364</v>
      </c>
      <c r="D251" t="inlineStr">
        <is>
          <t>NORRBOTTENS LÄN</t>
        </is>
      </c>
      <c r="E251" t="inlineStr">
        <is>
          <t>GÄLLIVARE</t>
        </is>
      </c>
      <c r="G251" t="n">
        <v>13.2</v>
      </c>
      <c r="H251" t="n">
        <v>0</v>
      </c>
      <c r="I251" t="n">
        <v>0</v>
      </c>
      <c r="J251" t="n">
        <v>0</v>
      </c>
      <c r="K251" t="n">
        <v>0</v>
      </c>
      <c r="L251" t="n">
        <v>0</v>
      </c>
      <c r="M251" t="n">
        <v>0</v>
      </c>
      <c r="N251" t="n">
        <v>0</v>
      </c>
      <c r="O251" t="n">
        <v>0</v>
      </c>
      <c r="P251" t="n">
        <v>0</v>
      </c>
      <c r="Q251" t="n">
        <v>0</v>
      </c>
      <c r="R251" s="2" t="inlineStr"/>
    </row>
    <row r="252" ht="15" customHeight="1">
      <c r="A252" t="inlineStr">
        <is>
          <t>A 15644-2020</t>
        </is>
      </c>
      <c r="B252" s="1" t="n">
        <v>43914</v>
      </c>
      <c r="C252" s="1" t="n">
        <v>45364</v>
      </c>
      <c r="D252" t="inlineStr">
        <is>
          <t>NORRBOTTENS LÄN</t>
        </is>
      </c>
      <c r="E252" t="inlineStr">
        <is>
          <t>GÄLLIVARE</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15636-2020</t>
        </is>
      </c>
      <c r="B253" s="1" t="n">
        <v>43914</v>
      </c>
      <c r="C253" s="1" t="n">
        <v>45364</v>
      </c>
      <c r="D253" t="inlineStr">
        <is>
          <t>NORRBOTTENS LÄN</t>
        </is>
      </c>
      <c r="E253" t="inlineStr">
        <is>
          <t>GÄLLIVARE</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15642-2020</t>
        </is>
      </c>
      <c r="B254" s="1" t="n">
        <v>43914</v>
      </c>
      <c r="C254" s="1" t="n">
        <v>45364</v>
      </c>
      <c r="D254" t="inlineStr">
        <is>
          <t>NORRBOTTENS LÄN</t>
        </is>
      </c>
      <c r="E254" t="inlineStr">
        <is>
          <t>GÄLLIVARE</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15648-2020</t>
        </is>
      </c>
      <c r="B255" s="1" t="n">
        <v>43914</v>
      </c>
      <c r="C255" s="1" t="n">
        <v>45364</v>
      </c>
      <c r="D255" t="inlineStr">
        <is>
          <t>NORRBOTTENS LÄN</t>
        </is>
      </c>
      <c r="E255" t="inlineStr">
        <is>
          <t>GÄLLIVARE</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15637-2020</t>
        </is>
      </c>
      <c r="B256" s="1" t="n">
        <v>43914</v>
      </c>
      <c r="C256" s="1" t="n">
        <v>45364</v>
      </c>
      <c r="D256" t="inlineStr">
        <is>
          <t>NORRBOTTENS LÄN</t>
        </is>
      </c>
      <c r="E256" t="inlineStr">
        <is>
          <t>GÄLLIVARE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15643-2020</t>
        </is>
      </c>
      <c r="B257" s="1" t="n">
        <v>43914</v>
      </c>
      <c r="C257" s="1" t="n">
        <v>45364</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16162-2020</t>
        </is>
      </c>
      <c r="B258" s="1" t="n">
        <v>43916</v>
      </c>
      <c r="C258" s="1" t="n">
        <v>45364</v>
      </c>
      <c r="D258" t="inlineStr">
        <is>
          <t>NORRBOTTENS LÄN</t>
        </is>
      </c>
      <c r="E258" t="inlineStr">
        <is>
          <t>GÄLLIVARE</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16161-2020</t>
        </is>
      </c>
      <c r="B259" s="1" t="n">
        <v>43916</v>
      </c>
      <c r="C259" s="1" t="n">
        <v>45364</v>
      </c>
      <c r="D259" t="inlineStr">
        <is>
          <t>NORRBOTTENS LÄN</t>
        </is>
      </c>
      <c r="E259" t="inlineStr">
        <is>
          <t>GÄLLIVARE</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16164-2020</t>
        </is>
      </c>
      <c r="B260" s="1" t="n">
        <v>43916</v>
      </c>
      <c r="C260" s="1" t="n">
        <v>45364</v>
      </c>
      <c r="D260" t="inlineStr">
        <is>
          <t>NORRBOTTENS LÄN</t>
        </is>
      </c>
      <c r="E260" t="inlineStr">
        <is>
          <t>GÄLLIVARE</t>
        </is>
      </c>
      <c r="F260" t="inlineStr">
        <is>
          <t>SCA</t>
        </is>
      </c>
      <c r="G260" t="n">
        <v>11.8</v>
      </c>
      <c r="H260" t="n">
        <v>0</v>
      </c>
      <c r="I260" t="n">
        <v>0</v>
      </c>
      <c r="J260" t="n">
        <v>0</v>
      </c>
      <c r="K260" t="n">
        <v>0</v>
      </c>
      <c r="L260" t="n">
        <v>0</v>
      </c>
      <c r="M260" t="n">
        <v>0</v>
      </c>
      <c r="N260" t="n">
        <v>0</v>
      </c>
      <c r="O260" t="n">
        <v>0</v>
      </c>
      <c r="P260" t="n">
        <v>0</v>
      </c>
      <c r="Q260" t="n">
        <v>0</v>
      </c>
      <c r="R260" s="2" t="inlineStr"/>
    </row>
    <row r="261" ht="15" customHeight="1">
      <c r="A261" t="inlineStr">
        <is>
          <t>A 16163-2020</t>
        </is>
      </c>
      <c r="B261" s="1" t="n">
        <v>43916</v>
      </c>
      <c r="C261" s="1" t="n">
        <v>45364</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16424-2020</t>
        </is>
      </c>
      <c r="B262" s="1" t="n">
        <v>43919</v>
      </c>
      <c r="C262" s="1" t="n">
        <v>45364</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18213-2020</t>
        </is>
      </c>
      <c r="B263" s="1" t="n">
        <v>43927</v>
      </c>
      <c r="C263" s="1" t="n">
        <v>45364</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18203-2020</t>
        </is>
      </c>
      <c r="B264" s="1" t="n">
        <v>43927</v>
      </c>
      <c r="C264" s="1" t="n">
        <v>45364</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18214-2020</t>
        </is>
      </c>
      <c r="B265" s="1" t="n">
        <v>43927</v>
      </c>
      <c r="C265" s="1" t="n">
        <v>45364</v>
      </c>
      <c r="D265" t="inlineStr">
        <is>
          <t>NORRBOTTENS LÄN</t>
        </is>
      </c>
      <c r="E265" t="inlineStr">
        <is>
          <t>GÄLLIVARE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22779-2020</t>
        </is>
      </c>
      <c r="B266" s="1" t="n">
        <v>43958</v>
      </c>
      <c r="C266" s="1" t="n">
        <v>45364</v>
      </c>
      <c r="D266" t="inlineStr">
        <is>
          <t>NORRBOTTENS LÄN</t>
        </is>
      </c>
      <c r="E266" t="inlineStr">
        <is>
          <t>GÄLLIVARE</t>
        </is>
      </c>
      <c r="G266" t="n">
        <v>0.2</v>
      </c>
      <c r="H266" t="n">
        <v>0</v>
      </c>
      <c r="I266" t="n">
        <v>0</v>
      </c>
      <c r="J266" t="n">
        <v>0</v>
      </c>
      <c r="K266" t="n">
        <v>0</v>
      </c>
      <c r="L266" t="n">
        <v>0</v>
      </c>
      <c r="M266" t="n">
        <v>0</v>
      </c>
      <c r="N266" t="n">
        <v>0</v>
      </c>
      <c r="O266" t="n">
        <v>0</v>
      </c>
      <c r="P266" t="n">
        <v>0</v>
      </c>
      <c r="Q266" t="n">
        <v>0</v>
      </c>
      <c r="R266" s="2" t="inlineStr"/>
    </row>
    <row r="267" ht="15" customHeight="1">
      <c r="A267" t="inlineStr">
        <is>
          <t>A 22780-2020</t>
        </is>
      </c>
      <c r="B267" s="1" t="n">
        <v>43958</v>
      </c>
      <c r="C267" s="1" t="n">
        <v>45364</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22786-2020</t>
        </is>
      </c>
      <c r="B268" s="1" t="n">
        <v>43958</v>
      </c>
      <c r="C268" s="1" t="n">
        <v>45364</v>
      </c>
      <c r="D268" t="inlineStr">
        <is>
          <t>NORRBOTTENS LÄN</t>
        </is>
      </c>
      <c r="E268" t="inlineStr">
        <is>
          <t>GÄLLIVARE</t>
        </is>
      </c>
      <c r="G268" t="n">
        <v>0.3</v>
      </c>
      <c r="H268" t="n">
        <v>0</v>
      </c>
      <c r="I268" t="n">
        <v>0</v>
      </c>
      <c r="J268" t="n">
        <v>0</v>
      </c>
      <c r="K268" t="n">
        <v>0</v>
      </c>
      <c r="L268" t="n">
        <v>0</v>
      </c>
      <c r="M268" t="n">
        <v>0</v>
      </c>
      <c r="N268" t="n">
        <v>0</v>
      </c>
      <c r="O268" t="n">
        <v>0</v>
      </c>
      <c r="P268" t="n">
        <v>0</v>
      </c>
      <c r="Q268" t="n">
        <v>0</v>
      </c>
      <c r="R268" s="2" t="inlineStr"/>
    </row>
    <row r="269" ht="15" customHeight="1">
      <c r="A269" t="inlineStr">
        <is>
          <t>A 22774-2020</t>
        </is>
      </c>
      <c r="B269" s="1" t="n">
        <v>43958</v>
      </c>
      <c r="C269" s="1" t="n">
        <v>45364</v>
      </c>
      <c r="D269" t="inlineStr">
        <is>
          <t>NORRBOTTENS LÄN</t>
        </is>
      </c>
      <c r="E269" t="inlineStr">
        <is>
          <t>GÄLLIVARE</t>
        </is>
      </c>
      <c r="G269" t="n">
        <v>0.1</v>
      </c>
      <c r="H269" t="n">
        <v>0</v>
      </c>
      <c r="I269" t="n">
        <v>0</v>
      </c>
      <c r="J269" t="n">
        <v>0</v>
      </c>
      <c r="K269" t="n">
        <v>0</v>
      </c>
      <c r="L269" t="n">
        <v>0</v>
      </c>
      <c r="M269" t="n">
        <v>0</v>
      </c>
      <c r="N269" t="n">
        <v>0</v>
      </c>
      <c r="O269" t="n">
        <v>0</v>
      </c>
      <c r="P269" t="n">
        <v>0</v>
      </c>
      <c r="Q269" t="n">
        <v>0</v>
      </c>
      <c r="R269" s="2" t="inlineStr"/>
    </row>
    <row r="270" ht="15" customHeight="1">
      <c r="A270" t="inlineStr">
        <is>
          <t>A 22784-2020</t>
        </is>
      </c>
      <c r="B270" s="1" t="n">
        <v>43958</v>
      </c>
      <c r="C270" s="1" t="n">
        <v>45364</v>
      </c>
      <c r="D270" t="inlineStr">
        <is>
          <t>NORRBOTTENS LÄN</t>
        </is>
      </c>
      <c r="E270" t="inlineStr">
        <is>
          <t>GÄLLIVARE</t>
        </is>
      </c>
      <c r="G270" t="n">
        <v>0.4</v>
      </c>
      <c r="H270" t="n">
        <v>0</v>
      </c>
      <c r="I270" t="n">
        <v>0</v>
      </c>
      <c r="J270" t="n">
        <v>0</v>
      </c>
      <c r="K270" t="n">
        <v>0</v>
      </c>
      <c r="L270" t="n">
        <v>0</v>
      </c>
      <c r="M270" t="n">
        <v>0</v>
      </c>
      <c r="N270" t="n">
        <v>0</v>
      </c>
      <c r="O270" t="n">
        <v>0</v>
      </c>
      <c r="P270" t="n">
        <v>0</v>
      </c>
      <c r="Q270" t="n">
        <v>0</v>
      </c>
      <c r="R270" s="2" t="inlineStr"/>
    </row>
    <row r="271" ht="15" customHeight="1">
      <c r="A271" t="inlineStr">
        <is>
          <t>A 22782-2020</t>
        </is>
      </c>
      <c r="B271" s="1" t="n">
        <v>43958</v>
      </c>
      <c r="C271" s="1" t="n">
        <v>45364</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22177-2020</t>
        </is>
      </c>
      <c r="B272" s="1" t="n">
        <v>43959</v>
      </c>
      <c r="C272" s="1" t="n">
        <v>45364</v>
      </c>
      <c r="D272" t="inlineStr">
        <is>
          <t>NORRBOTTENS LÄN</t>
        </is>
      </c>
      <c r="E272" t="inlineStr">
        <is>
          <t>GÄLLIVARE</t>
        </is>
      </c>
      <c r="G272" t="n">
        <v>14.2</v>
      </c>
      <c r="H272" t="n">
        <v>0</v>
      </c>
      <c r="I272" t="n">
        <v>0</v>
      </c>
      <c r="J272" t="n">
        <v>0</v>
      </c>
      <c r="K272" t="n">
        <v>0</v>
      </c>
      <c r="L272" t="n">
        <v>0</v>
      </c>
      <c r="M272" t="n">
        <v>0</v>
      </c>
      <c r="N272" t="n">
        <v>0</v>
      </c>
      <c r="O272" t="n">
        <v>0</v>
      </c>
      <c r="P272" t="n">
        <v>0</v>
      </c>
      <c r="Q272" t="n">
        <v>0</v>
      </c>
      <c r="R272" s="2" t="inlineStr"/>
    </row>
    <row r="273" ht="15" customHeight="1">
      <c r="A273" t="inlineStr">
        <is>
          <t>A 24241-2020</t>
        </is>
      </c>
      <c r="B273" s="1" t="n">
        <v>43976</v>
      </c>
      <c r="C273" s="1" t="n">
        <v>45364</v>
      </c>
      <c r="D273" t="inlineStr">
        <is>
          <t>NORRBOTTENS LÄN</t>
        </is>
      </c>
      <c r="E273" t="inlineStr">
        <is>
          <t>GÄLLIVARE</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26850-2020</t>
        </is>
      </c>
      <c r="B274" s="1" t="n">
        <v>43987</v>
      </c>
      <c r="C274" s="1" t="n">
        <v>45364</v>
      </c>
      <c r="D274" t="inlineStr">
        <is>
          <t>NORRBOTTENS LÄN</t>
        </is>
      </c>
      <c r="E274" t="inlineStr">
        <is>
          <t>GÄLLIVARE</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29589-2020</t>
        </is>
      </c>
      <c r="B275" s="1" t="n">
        <v>44004</v>
      </c>
      <c r="C275" s="1" t="n">
        <v>45364</v>
      </c>
      <c r="D275" t="inlineStr">
        <is>
          <t>NORRBOTTENS LÄN</t>
        </is>
      </c>
      <c r="E275" t="inlineStr">
        <is>
          <t>GÄLLIVARE</t>
        </is>
      </c>
      <c r="G275" t="n">
        <v>3.7</v>
      </c>
      <c r="H275" t="n">
        <v>0</v>
      </c>
      <c r="I275" t="n">
        <v>0</v>
      </c>
      <c r="J275" t="n">
        <v>0</v>
      </c>
      <c r="K275" t="n">
        <v>0</v>
      </c>
      <c r="L275" t="n">
        <v>0</v>
      </c>
      <c r="M275" t="n">
        <v>0</v>
      </c>
      <c r="N275" t="n">
        <v>0</v>
      </c>
      <c r="O275" t="n">
        <v>0</v>
      </c>
      <c r="P275" t="n">
        <v>0</v>
      </c>
      <c r="Q275" t="n">
        <v>0</v>
      </c>
      <c r="R275" s="2" t="inlineStr"/>
    </row>
    <row r="276" ht="15" customHeight="1">
      <c r="A276" t="inlineStr">
        <is>
          <t>A 29981-2020</t>
        </is>
      </c>
      <c r="B276" s="1" t="n">
        <v>44006</v>
      </c>
      <c r="C276" s="1" t="n">
        <v>45364</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32776-2020</t>
        </is>
      </c>
      <c r="B277" s="1" t="n">
        <v>44019</v>
      </c>
      <c r="C277" s="1" t="n">
        <v>45364</v>
      </c>
      <c r="D277" t="inlineStr">
        <is>
          <t>NORRBOTTENS LÄN</t>
        </is>
      </c>
      <c r="E277" t="inlineStr">
        <is>
          <t>GÄLLIVARE</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33595-2020</t>
        </is>
      </c>
      <c r="B278" s="1" t="n">
        <v>44025</v>
      </c>
      <c r="C278" s="1" t="n">
        <v>45364</v>
      </c>
      <c r="D278" t="inlineStr">
        <is>
          <t>NORRBOTTENS LÄN</t>
        </is>
      </c>
      <c r="E278" t="inlineStr">
        <is>
          <t>GÄLLIVARE</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33981-2020</t>
        </is>
      </c>
      <c r="B279" s="1" t="n">
        <v>44028</v>
      </c>
      <c r="C279" s="1" t="n">
        <v>45364</v>
      </c>
      <c r="D279" t="inlineStr">
        <is>
          <t>NORRBOTTENS LÄN</t>
        </is>
      </c>
      <c r="E279" t="inlineStr">
        <is>
          <t>GÄLLIVARE</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34663-2020</t>
        </is>
      </c>
      <c r="B280" s="1" t="n">
        <v>44034</v>
      </c>
      <c r="C280" s="1" t="n">
        <v>45364</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36333-2020</t>
        </is>
      </c>
      <c r="B281" s="1" t="n">
        <v>44049</v>
      </c>
      <c r="C281" s="1" t="n">
        <v>45364</v>
      </c>
      <c r="D281" t="inlineStr">
        <is>
          <t>NORRBOTTENS LÄN</t>
        </is>
      </c>
      <c r="E281" t="inlineStr">
        <is>
          <t>GÄLLIVARE</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36578-2020</t>
        </is>
      </c>
      <c r="B282" s="1" t="n">
        <v>44050</v>
      </c>
      <c r="C282" s="1" t="n">
        <v>45364</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37392-2020</t>
        </is>
      </c>
      <c r="B283" s="1" t="n">
        <v>44055</v>
      </c>
      <c r="C283" s="1" t="n">
        <v>45364</v>
      </c>
      <c r="D283" t="inlineStr">
        <is>
          <t>NORRBOTTENS LÄN</t>
        </is>
      </c>
      <c r="E283" t="inlineStr">
        <is>
          <t>GÄLLIVARE</t>
        </is>
      </c>
      <c r="F283" t="inlineStr">
        <is>
          <t>Allmännings- och besparingsskogar</t>
        </is>
      </c>
      <c r="G283" t="n">
        <v>8.4</v>
      </c>
      <c r="H283" t="n">
        <v>0</v>
      </c>
      <c r="I283" t="n">
        <v>0</v>
      </c>
      <c r="J283" t="n">
        <v>0</v>
      </c>
      <c r="K283" t="n">
        <v>0</v>
      </c>
      <c r="L283" t="n">
        <v>0</v>
      </c>
      <c r="M283" t="n">
        <v>0</v>
      </c>
      <c r="N283" t="n">
        <v>0</v>
      </c>
      <c r="O283" t="n">
        <v>0</v>
      </c>
      <c r="P283" t="n">
        <v>0</v>
      </c>
      <c r="Q283" t="n">
        <v>0</v>
      </c>
      <c r="R283" s="2" t="inlineStr"/>
    </row>
    <row r="284" ht="15" customHeight="1">
      <c r="A284" t="inlineStr">
        <is>
          <t>A 38115-2020</t>
        </is>
      </c>
      <c r="B284" s="1" t="n">
        <v>44058</v>
      </c>
      <c r="C284" s="1" t="n">
        <v>45364</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38114-2020</t>
        </is>
      </c>
      <c r="B285" s="1" t="n">
        <v>44058</v>
      </c>
      <c r="C285" s="1" t="n">
        <v>45364</v>
      </c>
      <c r="D285" t="inlineStr">
        <is>
          <t>NORRBOTTENS LÄN</t>
        </is>
      </c>
      <c r="E285" t="inlineStr">
        <is>
          <t>GÄLLIVARE</t>
        </is>
      </c>
      <c r="G285" t="n">
        <v>0.2</v>
      </c>
      <c r="H285" t="n">
        <v>0</v>
      </c>
      <c r="I285" t="n">
        <v>0</v>
      </c>
      <c r="J285" t="n">
        <v>0</v>
      </c>
      <c r="K285" t="n">
        <v>0</v>
      </c>
      <c r="L285" t="n">
        <v>0</v>
      </c>
      <c r="M285" t="n">
        <v>0</v>
      </c>
      <c r="N285" t="n">
        <v>0</v>
      </c>
      <c r="O285" t="n">
        <v>0</v>
      </c>
      <c r="P285" t="n">
        <v>0</v>
      </c>
      <c r="Q285" t="n">
        <v>0</v>
      </c>
      <c r="R285" s="2" t="inlineStr"/>
    </row>
    <row r="286" ht="15" customHeight="1">
      <c r="A286" t="inlineStr">
        <is>
          <t>A 39248-2020</t>
        </is>
      </c>
      <c r="B286" s="1" t="n">
        <v>44063</v>
      </c>
      <c r="C286" s="1" t="n">
        <v>45364</v>
      </c>
      <c r="D286" t="inlineStr">
        <is>
          <t>NORRBOTTENS LÄN</t>
        </is>
      </c>
      <c r="E286" t="inlineStr">
        <is>
          <t>GÄLLIVARE</t>
        </is>
      </c>
      <c r="G286" t="n">
        <v>0.6</v>
      </c>
      <c r="H286" t="n">
        <v>0</v>
      </c>
      <c r="I286" t="n">
        <v>0</v>
      </c>
      <c r="J286" t="n">
        <v>0</v>
      </c>
      <c r="K286" t="n">
        <v>0</v>
      </c>
      <c r="L286" t="n">
        <v>0</v>
      </c>
      <c r="M286" t="n">
        <v>0</v>
      </c>
      <c r="N286" t="n">
        <v>0</v>
      </c>
      <c r="O286" t="n">
        <v>0</v>
      </c>
      <c r="P286" t="n">
        <v>0</v>
      </c>
      <c r="Q286" t="n">
        <v>0</v>
      </c>
      <c r="R286" s="2" t="inlineStr"/>
    </row>
    <row r="287" ht="15" customHeight="1">
      <c r="A287" t="inlineStr">
        <is>
          <t>A 39319-2020</t>
        </is>
      </c>
      <c r="B287" s="1" t="n">
        <v>44063</v>
      </c>
      <c r="C287" s="1" t="n">
        <v>45364</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39330-2020</t>
        </is>
      </c>
      <c r="B288" s="1" t="n">
        <v>44063</v>
      </c>
      <c r="C288" s="1" t="n">
        <v>45364</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39331-2020</t>
        </is>
      </c>
      <c r="B289" s="1" t="n">
        <v>44063</v>
      </c>
      <c r="C289" s="1" t="n">
        <v>45364</v>
      </c>
      <c r="D289" t="inlineStr">
        <is>
          <t>NORRBOTTENS LÄN</t>
        </is>
      </c>
      <c r="E289" t="inlineStr">
        <is>
          <t>GÄLLIVARE</t>
        </is>
      </c>
      <c r="G289" t="n">
        <v>0.6</v>
      </c>
      <c r="H289" t="n">
        <v>0</v>
      </c>
      <c r="I289" t="n">
        <v>0</v>
      </c>
      <c r="J289" t="n">
        <v>0</v>
      </c>
      <c r="K289" t="n">
        <v>0</v>
      </c>
      <c r="L289" t="n">
        <v>0</v>
      </c>
      <c r="M289" t="n">
        <v>0</v>
      </c>
      <c r="N289" t="n">
        <v>0</v>
      </c>
      <c r="O289" t="n">
        <v>0</v>
      </c>
      <c r="P289" t="n">
        <v>0</v>
      </c>
      <c r="Q289" t="n">
        <v>0</v>
      </c>
      <c r="R289" s="2" t="inlineStr"/>
    </row>
    <row r="290" ht="15" customHeight="1">
      <c r="A290" t="inlineStr">
        <is>
          <t>A 40899-2020</t>
        </is>
      </c>
      <c r="B290" s="1" t="n">
        <v>44070</v>
      </c>
      <c r="C290" s="1" t="n">
        <v>45364</v>
      </c>
      <c r="D290" t="inlineStr">
        <is>
          <t>NORRBOTTENS LÄN</t>
        </is>
      </c>
      <c r="E290" t="inlineStr">
        <is>
          <t>GÄLLIVARE</t>
        </is>
      </c>
      <c r="G290" t="n">
        <v>3.8</v>
      </c>
      <c r="H290" t="n">
        <v>0</v>
      </c>
      <c r="I290" t="n">
        <v>0</v>
      </c>
      <c r="J290" t="n">
        <v>0</v>
      </c>
      <c r="K290" t="n">
        <v>0</v>
      </c>
      <c r="L290" t="n">
        <v>0</v>
      </c>
      <c r="M290" t="n">
        <v>0</v>
      </c>
      <c r="N290" t="n">
        <v>0</v>
      </c>
      <c r="O290" t="n">
        <v>0</v>
      </c>
      <c r="P290" t="n">
        <v>0</v>
      </c>
      <c r="Q290" t="n">
        <v>0</v>
      </c>
      <c r="R290" s="2" t="inlineStr"/>
    </row>
    <row r="291" ht="15" customHeight="1">
      <c r="A291" t="inlineStr">
        <is>
          <t>A 41736-2020</t>
        </is>
      </c>
      <c r="B291" s="1" t="n">
        <v>44070</v>
      </c>
      <c r="C291" s="1" t="n">
        <v>45364</v>
      </c>
      <c r="D291" t="inlineStr">
        <is>
          <t>NORRBOTTENS LÄN</t>
        </is>
      </c>
      <c r="E291" t="inlineStr">
        <is>
          <t>GÄLLIVARE</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41692-2020</t>
        </is>
      </c>
      <c r="B292" s="1" t="n">
        <v>44070</v>
      </c>
      <c r="C292" s="1" t="n">
        <v>45364</v>
      </c>
      <c r="D292" t="inlineStr">
        <is>
          <t>NORRBOTTENS LÄN</t>
        </is>
      </c>
      <c r="E292" t="inlineStr">
        <is>
          <t>GÄLLIVARE</t>
        </is>
      </c>
      <c r="F292" t="inlineStr">
        <is>
          <t>Allmännings- och besparingsskogar</t>
        </is>
      </c>
      <c r="G292" t="n">
        <v>27.7</v>
      </c>
      <c r="H292" t="n">
        <v>0</v>
      </c>
      <c r="I292" t="n">
        <v>0</v>
      </c>
      <c r="J292" t="n">
        <v>0</v>
      </c>
      <c r="K292" t="n">
        <v>0</v>
      </c>
      <c r="L292" t="n">
        <v>0</v>
      </c>
      <c r="M292" t="n">
        <v>0</v>
      </c>
      <c r="N292" t="n">
        <v>0</v>
      </c>
      <c r="O292" t="n">
        <v>0</v>
      </c>
      <c r="P292" t="n">
        <v>0</v>
      </c>
      <c r="Q292" t="n">
        <v>0</v>
      </c>
      <c r="R292" s="2" t="inlineStr"/>
    </row>
    <row r="293" ht="15" customHeight="1">
      <c r="A293" t="inlineStr">
        <is>
          <t>A 43909-2020</t>
        </is>
      </c>
      <c r="B293" s="1" t="n">
        <v>44081</v>
      </c>
      <c r="C293" s="1" t="n">
        <v>45364</v>
      </c>
      <c r="D293" t="inlineStr">
        <is>
          <t>NORRBOTTENS LÄN</t>
        </is>
      </c>
      <c r="E293" t="inlineStr">
        <is>
          <t>GÄLLIVARE</t>
        </is>
      </c>
      <c r="G293" t="n">
        <v>14.2</v>
      </c>
      <c r="H293" t="n">
        <v>0</v>
      </c>
      <c r="I293" t="n">
        <v>0</v>
      </c>
      <c r="J293" t="n">
        <v>0</v>
      </c>
      <c r="K293" t="n">
        <v>0</v>
      </c>
      <c r="L293" t="n">
        <v>0</v>
      </c>
      <c r="M293" t="n">
        <v>0</v>
      </c>
      <c r="N293" t="n">
        <v>0</v>
      </c>
      <c r="O293" t="n">
        <v>0</v>
      </c>
      <c r="P293" t="n">
        <v>0</v>
      </c>
      <c r="Q293" t="n">
        <v>0</v>
      </c>
      <c r="R293" s="2" t="inlineStr"/>
    </row>
    <row r="294" ht="15" customHeight="1">
      <c r="A294" t="inlineStr">
        <is>
          <t>A 43910-2020</t>
        </is>
      </c>
      <c r="B294" s="1" t="n">
        <v>44081</v>
      </c>
      <c r="C294" s="1" t="n">
        <v>45364</v>
      </c>
      <c r="D294" t="inlineStr">
        <is>
          <t>NORRBOTTENS LÄN</t>
        </is>
      </c>
      <c r="E294" t="inlineStr">
        <is>
          <t>GÄLLIVARE</t>
        </is>
      </c>
      <c r="G294" t="n">
        <v>3.4</v>
      </c>
      <c r="H294" t="n">
        <v>0</v>
      </c>
      <c r="I294" t="n">
        <v>0</v>
      </c>
      <c r="J294" t="n">
        <v>0</v>
      </c>
      <c r="K294" t="n">
        <v>0</v>
      </c>
      <c r="L294" t="n">
        <v>0</v>
      </c>
      <c r="M294" t="n">
        <v>0</v>
      </c>
      <c r="N294" t="n">
        <v>0</v>
      </c>
      <c r="O294" t="n">
        <v>0</v>
      </c>
      <c r="P294" t="n">
        <v>0</v>
      </c>
      <c r="Q294" t="n">
        <v>0</v>
      </c>
      <c r="R294" s="2" t="inlineStr"/>
    </row>
    <row r="295" ht="15" customHeight="1">
      <c r="A295" t="inlineStr">
        <is>
          <t>A 46133-2020</t>
        </is>
      </c>
      <c r="B295" s="1" t="n">
        <v>44091</v>
      </c>
      <c r="C295" s="1" t="n">
        <v>45364</v>
      </c>
      <c r="D295" t="inlineStr">
        <is>
          <t>NORRBOTTENS LÄN</t>
        </is>
      </c>
      <c r="E295" t="inlineStr">
        <is>
          <t>GÄLLIVARE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46131-2020</t>
        </is>
      </c>
      <c r="B296" s="1" t="n">
        <v>44091</v>
      </c>
      <c r="C296" s="1" t="n">
        <v>45364</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46368-2020</t>
        </is>
      </c>
      <c r="B297" s="1" t="n">
        <v>44092</v>
      </c>
      <c r="C297" s="1" t="n">
        <v>45364</v>
      </c>
      <c r="D297" t="inlineStr">
        <is>
          <t>NORRBOTTENS LÄN</t>
        </is>
      </c>
      <c r="E297" t="inlineStr">
        <is>
          <t>GÄLLIVARE</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47311-2020</t>
        </is>
      </c>
      <c r="B298" s="1" t="n">
        <v>44095</v>
      </c>
      <c r="C298" s="1" t="n">
        <v>45364</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47379-2020</t>
        </is>
      </c>
      <c r="B299" s="1" t="n">
        <v>44097</v>
      </c>
      <c r="C299" s="1" t="n">
        <v>45364</v>
      </c>
      <c r="D299" t="inlineStr">
        <is>
          <t>NORRBOTTENS LÄN</t>
        </is>
      </c>
      <c r="E299" t="inlineStr">
        <is>
          <t>GÄLLIVARE</t>
        </is>
      </c>
      <c r="F299" t="inlineStr">
        <is>
          <t>Sveaskog</t>
        </is>
      </c>
      <c r="G299" t="n">
        <v>9.6</v>
      </c>
      <c r="H299" t="n">
        <v>0</v>
      </c>
      <c r="I299" t="n">
        <v>0</v>
      </c>
      <c r="J299" t="n">
        <v>0</v>
      </c>
      <c r="K299" t="n">
        <v>0</v>
      </c>
      <c r="L299" t="n">
        <v>0</v>
      </c>
      <c r="M299" t="n">
        <v>0</v>
      </c>
      <c r="N299" t="n">
        <v>0</v>
      </c>
      <c r="O299" t="n">
        <v>0</v>
      </c>
      <c r="P299" t="n">
        <v>0</v>
      </c>
      <c r="Q299" t="n">
        <v>0</v>
      </c>
      <c r="R299" s="2" t="inlineStr"/>
    </row>
    <row r="300" ht="15" customHeight="1">
      <c r="A300" t="inlineStr">
        <is>
          <t>A 49013-2020</t>
        </is>
      </c>
      <c r="B300" s="1" t="n">
        <v>44104</v>
      </c>
      <c r="C300" s="1" t="n">
        <v>45364</v>
      </c>
      <c r="D300" t="inlineStr">
        <is>
          <t>NORRBOTTENS LÄN</t>
        </is>
      </c>
      <c r="E300" t="inlineStr">
        <is>
          <t>GÄLLIVARE</t>
        </is>
      </c>
      <c r="G300" t="n">
        <v>2.2</v>
      </c>
      <c r="H300" t="n">
        <v>0</v>
      </c>
      <c r="I300" t="n">
        <v>0</v>
      </c>
      <c r="J300" t="n">
        <v>0</v>
      </c>
      <c r="K300" t="n">
        <v>0</v>
      </c>
      <c r="L300" t="n">
        <v>0</v>
      </c>
      <c r="M300" t="n">
        <v>0</v>
      </c>
      <c r="N300" t="n">
        <v>0</v>
      </c>
      <c r="O300" t="n">
        <v>0</v>
      </c>
      <c r="P300" t="n">
        <v>0</v>
      </c>
      <c r="Q300" t="n">
        <v>0</v>
      </c>
      <c r="R300" s="2" t="inlineStr"/>
    </row>
    <row r="301" ht="15" customHeight="1">
      <c r="A301" t="inlineStr">
        <is>
          <t>A 49019-2020</t>
        </is>
      </c>
      <c r="B301" s="1" t="n">
        <v>44104</v>
      </c>
      <c r="C301" s="1" t="n">
        <v>45364</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51992-2020</t>
        </is>
      </c>
      <c r="B302" s="1" t="n">
        <v>44109</v>
      </c>
      <c r="C302" s="1" t="n">
        <v>45364</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51701-2020</t>
        </is>
      </c>
      <c r="B303" s="1" t="n">
        <v>44113</v>
      </c>
      <c r="C303" s="1" t="n">
        <v>45364</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51706-2020</t>
        </is>
      </c>
      <c r="B304" s="1" t="n">
        <v>44113</v>
      </c>
      <c r="C304" s="1" t="n">
        <v>45364</v>
      </c>
      <c r="D304" t="inlineStr">
        <is>
          <t>NORRBOTTENS LÄN</t>
        </is>
      </c>
      <c r="E304" t="inlineStr">
        <is>
          <t>GÄLLIVARE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51700-2020</t>
        </is>
      </c>
      <c r="B305" s="1" t="n">
        <v>44113</v>
      </c>
      <c r="C305" s="1" t="n">
        <v>45364</v>
      </c>
      <c r="D305" t="inlineStr">
        <is>
          <t>NORRBOTTENS LÄN</t>
        </is>
      </c>
      <c r="E305" t="inlineStr">
        <is>
          <t>GÄLLIVARE</t>
        </is>
      </c>
      <c r="F305" t="inlineStr">
        <is>
          <t>SCA</t>
        </is>
      </c>
      <c r="G305" t="n">
        <v>6.8</v>
      </c>
      <c r="H305" t="n">
        <v>0</v>
      </c>
      <c r="I305" t="n">
        <v>0</v>
      </c>
      <c r="J305" t="n">
        <v>0</v>
      </c>
      <c r="K305" t="n">
        <v>0</v>
      </c>
      <c r="L305" t="n">
        <v>0</v>
      </c>
      <c r="M305" t="n">
        <v>0</v>
      </c>
      <c r="N305" t="n">
        <v>0</v>
      </c>
      <c r="O305" t="n">
        <v>0</v>
      </c>
      <c r="P305" t="n">
        <v>0</v>
      </c>
      <c r="Q305" t="n">
        <v>0</v>
      </c>
      <c r="R305" s="2" t="inlineStr"/>
    </row>
    <row r="306" ht="15" customHeight="1">
      <c r="A306" t="inlineStr">
        <is>
          <t>A 51713-2020</t>
        </is>
      </c>
      <c r="B306" s="1" t="n">
        <v>44113</v>
      </c>
      <c r="C306" s="1" t="n">
        <v>45364</v>
      </c>
      <c r="D306" t="inlineStr">
        <is>
          <t>NORRBOTTENS LÄN</t>
        </is>
      </c>
      <c r="E306" t="inlineStr">
        <is>
          <t>GÄLLIVARE</t>
        </is>
      </c>
      <c r="F306" t="inlineStr">
        <is>
          <t>SCA</t>
        </is>
      </c>
      <c r="G306" t="n">
        <v>8</v>
      </c>
      <c r="H306" t="n">
        <v>0</v>
      </c>
      <c r="I306" t="n">
        <v>0</v>
      </c>
      <c r="J306" t="n">
        <v>0</v>
      </c>
      <c r="K306" t="n">
        <v>0</v>
      </c>
      <c r="L306" t="n">
        <v>0</v>
      </c>
      <c r="M306" t="n">
        <v>0</v>
      </c>
      <c r="N306" t="n">
        <v>0</v>
      </c>
      <c r="O306" t="n">
        <v>0</v>
      </c>
      <c r="P306" t="n">
        <v>0</v>
      </c>
      <c r="Q306" t="n">
        <v>0</v>
      </c>
      <c r="R306" s="2" t="inlineStr"/>
    </row>
    <row r="307" ht="15" customHeight="1">
      <c r="A307" t="inlineStr">
        <is>
          <t>A 52061-2020</t>
        </is>
      </c>
      <c r="B307" s="1" t="n">
        <v>44116</v>
      </c>
      <c r="C307" s="1" t="n">
        <v>45364</v>
      </c>
      <c r="D307" t="inlineStr">
        <is>
          <t>NORRBOTTENS LÄN</t>
        </is>
      </c>
      <c r="E307" t="inlineStr">
        <is>
          <t>GÄLLIVARE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52055-2020</t>
        </is>
      </c>
      <c r="B308" s="1" t="n">
        <v>44116</v>
      </c>
      <c r="C308" s="1" t="n">
        <v>45364</v>
      </c>
      <c r="D308" t="inlineStr">
        <is>
          <t>NORRBOTTENS LÄN</t>
        </is>
      </c>
      <c r="E308" t="inlineStr">
        <is>
          <t>GÄLLIVARE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55168-2020</t>
        </is>
      </c>
      <c r="B309" s="1" t="n">
        <v>44130</v>
      </c>
      <c r="C309" s="1" t="n">
        <v>45364</v>
      </c>
      <c r="D309" t="inlineStr">
        <is>
          <t>NORRBOTTENS LÄN</t>
        </is>
      </c>
      <c r="E309" t="inlineStr">
        <is>
          <t>GÄLLIVARE</t>
        </is>
      </c>
      <c r="G309" t="n">
        <v>0.7</v>
      </c>
      <c r="H309" t="n">
        <v>0</v>
      </c>
      <c r="I309" t="n">
        <v>0</v>
      </c>
      <c r="J309" t="n">
        <v>0</v>
      </c>
      <c r="K309" t="n">
        <v>0</v>
      </c>
      <c r="L309" t="n">
        <v>0</v>
      </c>
      <c r="M309" t="n">
        <v>0</v>
      </c>
      <c r="N309" t="n">
        <v>0</v>
      </c>
      <c r="O309" t="n">
        <v>0</v>
      </c>
      <c r="P309" t="n">
        <v>0</v>
      </c>
      <c r="Q309" t="n">
        <v>0</v>
      </c>
      <c r="R309" s="2" t="inlineStr"/>
    </row>
    <row r="310" ht="15" customHeight="1">
      <c r="A310" t="inlineStr">
        <is>
          <t>A 55180-2020</t>
        </is>
      </c>
      <c r="B310" s="1" t="n">
        <v>44130</v>
      </c>
      <c r="C310" s="1" t="n">
        <v>45364</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58384-2020</t>
        </is>
      </c>
      <c r="B311" s="1" t="n">
        <v>44144</v>
      </c>
      <c r="C311" s="1" t="n">
        <v>45364</v>
      </c>
      <c r="D311" t="inlineStr">
        <is>
          <t>NORRBOTTENS LÄN</t>
        </is>
      </c>
      <c r="E311" t="inlineStr">
        <is>
          <t>GÄLLIVARE</t>
        </is>
      </c>
      <c r="F311" t="inlineStr">
        <is>
          <t>Allmännings- och besparingsskogar</t>
        </is>
      </c>
      <c r="G311" t="n">
        <v>7.1</v>
      </c>
      <c r="H311" t="n">
        <v>0</v>
      </c>
      <c r="I311" t="n">
        <v>0</v>
      </c>
      <c r="J311" t="n">
        <v>0</v>
      </c>
      <c r="K311" t="n">
        <v>0</v>
      </c>
      <c r="L311" t="n">
        <v>0</v>
      </c>
      <c r="M311" t="n">
        <v>0</v>
      </c>
      <c r="N311" t="n">
        <v>0</v>
      </c>
      <c r="O311" t="n">
        <v>0</v>
      </c>
      <c r="P311" t="n">
        <v>0</v>
      </c>
      <c r="Q311" t="n">
        <v>0</v>
      </c>
      <c r="R311" s="2" t="inlineStr"/>
    </row>
    <row r="312" ht="15" customHeight="1">
      <c r="A312" t="inlineStr">
        <is>
          <t>A 58409-2020</t>
        </is>
      </c>
      <c r="B312" s="1" t="n">
        <v>44144</v>
      </c>
      <c r="C312" s="1" t="n">
        <v>45364</v>
      </c>
      <c r="D312" t="inlineStr">
        <is>
          <t>NORRBOTTENS LÄN</t>
        </is>
      </c>
      <c r="E312" t="inlineStr">
        <is>
          <t>GÄLLIVARE</t>
        </is>
      </c>
      <c r="F312" t="inlineStr">
        <is>
          <t>Allmännings- och besparingsskogar</t>
        </is>
      </c>
      <c r="G312" t="n">
        <v>9.1</v>
      </c>
      <c r="H312" t="n">
        <v>0</v>
      </c>
      <c r="I312" t="n">
        <v>0</v>
      </c>
      <c r="J312" t="n">
        <v>0</v>
      </c>
      <c r="K312" t="n">
        <v>0</v>
      </c>
      <c r="L312" t="n">
        <v>0</v>
      </c>
      <c r="M312" t="n">
        <v>0</v>
      </c>
      <c r="N312" t="n">
        <v>0</v>
      </c>
      <c r="O312" t="n">
        <v>0</v>
      </c>
      <c r="P312" t="n">
        <v>0</v>
      </c>
      <c r="Q312" t="n">
        <v>0</v>
      </c>
      <c r="R312" s="2" t="inlineStr"/>
    </row>
    <row r="313" ht="15" customHeight="1">
      <c r="A313" t="inlineStr">
        <is>
          <t>A 65484-2020</t>
        </is>
      </c>
      <c r="B313" s="1" t="n">
        <v>44169</v>
      </c>
      <c r="C313" s="1" t="n">
        <v>45364</v>
      </c>
      <c r="D313" t="inlineStr">
        <is>
          <t>NORRBOTTENS LÄN</t>
        </is>
      </c>
      <c r="E313" t="inlineStr">
        <is>
          <t>GÄLLIVARE</t>
        </is>
      </c>
      <c r="G313" t="n">
        <v>3.9</v>
      </c>
      <c r="H313" t="n">
        <v>0</v>
      </c>
      <c r="I313" t="n">
        <v>0</v>
      </c>
      <c r="J313" t="n">
        <v>0</v>
      </c>
      <c r="K313" t="n">
        <v>0</v>
      </c>
      <c r="L313" t="n">
        <v>0</v>
      </c>
      <c r="M313" t="n">
        <v>0</v>
      </c>
      <c r="N313" t="n">
        <v>0</v>
      </c>
      <c r="O313" t="n">
        <v>0</v>
      </c>
      <c r="P313" t="n">
        <v>0</v>
      </c>
      <c r="Q313" t="n">
        <v>0</v>
      </c>
      <c r="R313" s="2" t="inlineStr"/>
    </row>
    <row r="314" ht="15" customHeight="1">
      <c r="A314" t="inlineStr">
        <is>
          <t>A 291-2021</t>
        </is>
      </c>
      <c r="B314" s="1" t="n">
        <v>44200</v>
      </c>
      <c r="C314" s="1" t="n">
        <v>45364</v>
      </c>
      <c r="D314" t="inlineStr">
        <is>
          <t>NORRBOTTENS LÄN</t>
        </is>
      </c>
      <c r="E314" t="inlineStr">
        <is>
          <t>GÄLLIVARE</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2540-2021</t>
        </is>
      </c>
      <c r="B315" s="1" t="n">
        <v>44214</v>
      </c>
      <c r="C315" s="1" t="n">
        <v>45364</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2545-2021</t>
        </is>
      </c>
      <c r="B316" s="1" t="n">
        <v>44214</v>
      </c>
      <c r="C316" s="1" t="n">
        <v>45364</v>
      </c>
      <c r="D316" t="inlineStr">
        <is>
          <t>NORRBOTTENS LÄN</t>
        </is>
      </c>
      <c r="E316" t="inlineStr">
        <is>
          <t>GÄLLIVARE</t>
        </is>
      </c>
      <c r="G316" t="n">
        <v>6.5</v>
      </c>
      <c r="H316" t="n">
        <v>0</v>
      </c>
      <c r="I316" t="n">
        <v>0</v>
      </c>
      <c r="J316" t="n">
        <v>0</v>
      </c>
      <c r="K316" t="n">
        <v>0</v>
      </c>
      <c r="L316" t="n">
        <v>0</v>
      </c>
      <c r="M316" t="n">
        <v>0</v>
      </c>
      <c r="N316" t="n">
        <v>0</v>
      </c>
      <c r="O316" t="n">
        <v>0</v>
      </c>
      <c r="P316" t="n">
        <v>0</v>
      </c>
      <c r="Q316" t="n">
        <v>0</v>
      </c>
      <c r="R316" s="2" t="inlineStr"/>
    </row>
    <row r="317" ht="15" customHeight="1">
      <c r="A317" t="inlineStr">
        <is>
          <t>A 2538-2021</t>
        </is>
      </c>
      <c r="B317" s="1" t="n">
        <v>44214</v>
      </c>
      <c r="C317" s="1" t="n">
        <v>45364</v>
      </c>
      <c r="D317" t="inlineStr">
        <is>
          <t>NORRBOTTENS LÄN</t>
        </is>
      </c>
      <c r="E317" t="inlineStr">
        <is>
          <t>GÄLLIVARE</t>
        </is>
      </c>
      <c r="F317" t="inlineStr">
        <is>
          <t>Kommuner</t>
        </is>
      </c>
      <c r="G317" t="n">
        <v>2.7</v>
      </c>
      <c r="H317" t="n">
        <v>0</v>
      </c>
      <c r="I317" t="n">
        <v>0</v>
      </c>
      <c r="J317" t="n">
        <v>0</v>
      </c>
      <c r="K317" t="n">
        <v>0</v>
      </c>
      <c r="L317" t="n">
        <v>0</v>
      </c>
      <c r="M317" t="n">
        <v>0</v>
      </c>
      <c r="N317" t="n">
        <v>0</v>
      </c>
      <c r="O317" t="n">
        <v>0</v>
      </c>
      <c r="P317" t="n">
        <v>0</v>
      </c>
      <c r="Q317" t="n">
        <v>0</v>
      </c>
      <c r="R317" s="2" t="inlineStr"/>
    </row>
    <row r="318" ht="15" customHeight="1">
      <c r="A318" t="inlineStr">
        <is>
          <t>A 2548-2021</t>
        </is>
      </c>
      <c r="B318" s="1" t="n">
        <v>44214</v>
      </c>
      <c r="C318" s="1" t="n">
        <v>45364</v>
      </c>
      <c r="D318" t="inlineStr">
        <is>
          <t>NORRBOTTENS LÄN</t>
        </is>
      </c>
      <c r="E318" t="inlineStr">
        <is>
          <t>GÄLLIVARE</t>
        </is>
      </c>
      <c r="G318" t="n">
        <v>6.6</v>
      </c>
      <c r="H318" t="n">
        <v>0</v>
      </c>
      <c r="I318" t="n">
        <v>0</v>
      </c>
      <c r="J318" t="n">
        <v>0</v>
      </c>
      <c r="K318" t="n">
        <v>0</v>
      </c>
      <c r="L318" t="n">
        <v>0</v>
      </c>
      <c r="M318" t="n">
        <v>0</v>
      </c>
      <c r="N318" t="n">
        <v>0</v>
      </c>
      <c r="O318" t="n">
        <v>0</v>
      </c>
      <c r="P318" t="n">
        <v>0</v>
      </c>
      <c r="Q318" t="n">
        <v>0</v>
      </c>
      <c r="R318" s="2" t="inlineStr"/>
    </row>
    <row r="319" ht="15" customHeight="1">
      <c r="A319" t="inlineStr">
        <is>
          <t>A 13204-2021</t>
        </is>
      </c>
      <c r="B319" s="1" t="n">
        <v>44272</v>
      </c>
      <c r="C319" s="1" t="n">
        <v>45364</v>
      </c>
      <c r="D319" t="inlineStr">
        <is>
          <t>NORRBOTTENS LÄN</t>
        </is>
      </c>
      <c r="E319" t="inlineStr">
        <is>
          <t>GÄLLIVARE</t>
        </is>
      </c>
      <c r="G319" t="n">
        <v>41.2</v>
      </c>
      <c r="H319" t="n">
        <v>0</v>
      </c>
      <c r="I319" t="n">
        <v>0</v>
      </c>
      <c r="J319" t="n">
        <v>0</v>
      </c>
      <c r="K319" t="n">
        <v>0</v>
      </c>
      <c r="L319" t="n">
        <v>0</v>
      </c>
      <c r="M319" t="n">
        <v>0</v>
      </c>
      <c r="N319" t="n">
        <v>0</v>
      </c>
      <c r="O319" t="n">
        <v>0</v>
      </c>
      <c r="P319" t="n">
        <v>0</v>
      </c>
      <c r="Q319" t="n">
        <v>0</v>
      </c>
      <c r="R319" s="2" t="inlineStr"/>
    </row>
    <row r="320" ht="15" customHeight="1">
      <c r="A320" t="inlineStr">
        <is>
          <t>A 18677-2021</t>
        </is>
      </c>
      <c r="B320" s="1" t="n">
        <v>44307</v>
      </c>
      <c r="C320" s="1" t="n">
        <v>45364</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18678-2021</t>
        </is>
      </c>
      <c r="B321" s="1" t="n">
        <v>44307</v>
      </c>
      <c r="C321" s="1" t="n">
        <v>45364</v>
      </c>
      <c r="D321" t="inlineStr">
        <is>
          <t>NORRBOTTENS LÄN</t>
        </is>
      </c>
      <c r="E321" t="inlineStr">
        <is>
          <t>GÄLLIVARE</t>
        </is>
      </c>
      <c r="F321" t="inlineStr">
        <is>
          <t>SCA</t>
        </is>
      </c>
      <c r="G321" t="n">
        <v>23.2</v>
      </c>
      <c r="H321" t="n">
        <v>0</v>
      </c>
      <c r="I321" t="n">
        <v>0</v>
      </c>
      <c r="J321" t="n">
        <v>0</v>
      </c>
      <c r="K321" t="n">
        <v>0</v>
      </c>
      <c r="L321" t="n">
        <v>0</v>
      </c>
      <c r="M321" t="n">
        <v>0</v>
      </c>
      <c r="N321" t="n">
        <v>0</v>
      </c>
      <c r="O321" t="n">
        <v>0</v>
      </c>
      <c r="P321" t="n">
        <v>0</v>
      </c>
      <c r="Q321" t="n">
        <v>0</v>
      </c>
      <c r="R321" s="2" t="inlineStr"/>
    </row>
    <row r="322" ht="15" customHeight="1">
      <c r="A322" t="inlineStr">
        <is>
          <t>A 21425-2021</t>
        </is>
      </c>
      <c r="B322" s="1" t="n">
        <v>44321</v>
      </c>
      <c r="C322" s="1" t="n">
        <v>45364</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21441-2021</t>
        </is>
      </c>
      <c r="B323" s="1" t="n">
        <v>44321</v>
      </c>
      <c r="C323" s="1" t="n">
        <v>45364</v>
      </c>
      <c r="D323" t="inlineStr">
        <is>
          <t>NORRBOTTENS LÄN</t>
        </is>
      </c>
      <c r="E323" t="inlineStr">
        <is>
          <t>GÄLLIVARE</t>
        </is>
      </c>
      <c r="G323" t="n">
        <v>1.9</v>
      </c>
      <c r="H323" t="n">
        <v>0</v>
      </c>
      <c r="I323" t="n">
        <v>0</v>
      </c>
      <c r="J323" t="n">
        <v>0</v>
      </c>
      <c r="K323" t="n">
        <v>0</v>
      </c>
      <c r="L323" t="n">
        <v>0</v>
      </c>
      <c r="M323" t="n">
        <v>0</v>
      </c>
      <c r="N323" t="n">
        <v>0</v>
      </c>
      <c r="O323" t="n">
        <v>0</v>
      </c>
      <c r="P323" t="n">
        <v>0</v>
      </c>
      <c r="Q323" t="n">
        <v>0</v>
      </c>
      <c r="R323" s="2" t="inlineStr"/>
    </row>
    <row r="324" ht="15" customHeight="1">
      <c r="A324" t="inlineStr">
        <is>
          <t>A 28314-2021</t>
        </is>
      </c>
      <c r="B324" s="1" t="n">
        <v>44356</v>
      </c>
      <c r="C324" s="1" t="n">
        <v>45364</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29196-2021</t>
        </is>
      </c>
      <c r="B325" s="1" t="n">
        <v>44358</v>
      </c>
      <c r="C325" s="1" t="n">
        <v>45364</v>
      </c>
      <c r="D325" t="inlineStr">
        <is>
          <t>NORRBOTTENS LÄN</t>
        </is>
      </c>
      <c r="E325" t="inlineStr">
        <is>
          <t>GÄLLIVARE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29194-2021</t>
        </is>
      </c>
      <c r="B326" s="1" t="n">
        <v>44358</v>
      </c>
      <c r="C326" s="1" t="n">
        <v>45364</v>
      </c>
      <c r="D326" t="inlineStr">
        <is>
          <t>NORRBOTTENS LÄN</t>
        </is>
      </c>
      <c r="E326" t="inlineStr">
        <is>
          <t>GÄLLIVARE</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29608-2021</t>
        </is>
      </c>
      <c r="B327" s="1" t="n">
        <v>44361</v>
      </c>
      <c r="C327" s="1" t="n">
        <v>45364</v>
      </c>
      <c r="D327" t="inlineStr">
        <is>
          <t>NORRBOTTENS LÄN</t>
        </is>
      </c>
      <c r="E327" t="inlineStr">
        <is>
          <t>GÄLLIVARE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30994-2021</t>
        </is>
      </c>
      <c r="B328" s="1" t="n">
        <v>44366</v>
      </c>
      <c r="C328" s="1" t="n">
        <v>45364</v>
      </c>
      <c r="D328" t="inlineStr">
        <is>
          <t>NORRBOTTENS LÄN</t>
        </is>
      </c>
      <c r="E328" t="inlineStr">
        <is>
          <t>GÄLLIVARE</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32929-2021</t>
        </is>
      </c>
      <c r="B329" s="1" t="n">
        <v>44375</v>
      </c>
      <c r="C329" s="1" t="n">
        <v>45364</v>
      </c>
      <c r="D329" t="inlineStr">
        <is>
          <t>NORRBOTTENS LÄN</t>
        </is>
      </c>
      <c r="E329" t="inlineStr">
        <is>
          <t>GÄLLIVARE</t>
        </is>
      </c>
      <c r="G329" t="n">
        <v>1.7</v>
      </c>
      <c r="H329" t="n">
        <v>0</v>
      </c>
      <c r="I329" t="n">
        <v>0</v>
      </c>
      <c r="J329" t="n">
        <v>0</v>
      </c>
      <c r="K329" t="n">
        <v>0</v>
      </c>
      <c r="L329" t="n">
        <v>0</v>
      </c>
      <c r="M329" t="n">
        <v>0</v>
      </c>
      <c r="N329" t="n">
        <v>0</v>
      </c>
      <c r="O329" t="n">
        <v>0</v>
      </c>
      <c r="P329" t="n">
        <v>0</v>
      </c>
      <c r="Q329" t="n">
        <v>0</v>
      </c>
      <c r="R329" s="2" t="inlineStr"/>
    </row>
    <row r="330" ht="15" customHeight="1">
      <c r="A330" t="inlineStr">
        <is>
          <t>A 36233-2021</t>
        </is>
      </c>
      <c r="B330" s="1" t="n">
        <v>44390</v>
      </c>
      <c r="C330" s="1" t="n">
        <v>45364</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45364</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37551-2021</t>
        </is>
      </c>
      <c r="B332" s="1" t="n">
        <v>44399</v>
      </c>
      <c r="C332" s="1" t="n">
        <v>45364</v>
      </c>
      <c r="D332" t="inlineStr">
        <is>
          <t>NORRBOTTENS LÄN</t>
        </is>
      </c>
      <c r="E332" t="inlineStr">
        <is>
          <t>GÄLLIVARE</t>
        </is>
      </c>
      <c r="G332" t="n">
        <v>0.6</v>
      </c>
      <c r="H332" t="n">
        <v>0</v>
      </c>
      <c r="I332" t="n">
        <v>0</v>
      </c>
      <c r="J332" t="n">
        <v>0</v>
      </c>
      <c r="K332" t="n">
        <v>0</v>
      </c>
      <c r="L332" t="n">
        <v>0</v>
      </c>
      <c r="M332" t="n">
        <v>0</v>
      </c>
      <c r="N332" t="n">
        <v>0</v>
      </c>
      <c r="O332" t="n">
        <v>0</v>
      </c>
      <c r="P332" t="n">
        <v>0</v>
      </c>
      <c r="Q332" t="n">
        <v>0</v>
      </c>
      <c r="R332" s="2" t="inlineStr"/>
    </row>
    <row r="333" ht="15" customHeight="1">
      <c r="A333" t="inlineStr">
        <is>
          <t>A 38188-2021</t>
        </is>
      </c>
      <c r="B333" s="1" t="n">
        <v>44405</v>
      </c>
      <c r="C333" s="1" t="n">
        <v>45364</v>
      </c>
      <c r="D333" t="inlineStr">
        <is>
          <t>NORRBOTTENS LÄN</t>
        </is>
      </c>
      <c r="E333" t="inlineStr">
        <is>
          <t>GÄLLIVARE</t>
        </is>
      </c>
      <c r="G333" t="n">
        <v>13</v>
      </c>
      <c r="H333" t="n">
        <v>0</v>
      </c>
      <c r="I333" t="n">
        <v>0</v>
      </c>
      <c r="J333" t="n">
        <v>0</v>
      </c>
      <c r="K333" t="n">
        <v>0</v>
      </c>
      <c r="L333" t="n">
        <v>0</v>
      </c>
      <c r="M333" t="n">
        <v>0</v>
      </c>
      <c r="N333" t="n">
        <v>0</v>
      </c>
      <c r="O333" t="n">
        <v>0</v>
      </c>
      <c r="P333" t="n">
        <v>0</v>
      </c>
      <c r="Q333" t="n">
        <v>0</v>
      </c>
      <c r="R333" s="2" t="inlineStr"/>
    </row>
    <row r="334" ht="15" customHeight="1">
      <c r="A334" t="inlineStr">
        <is>
          <t>A 38187-2021</t>
        </is>
      </c>
      <c r="B334" s="1" t="n">
        <v>44405</v>
      </c>
      <c r="C334" s="1" t="n">
        <v>45364</v>
      </c>
      <c r="D334" t="inlineStr">
        <is>
          <t>NORRBOTTENS LÄN</t>
        </is>
      </c>
      <c r="E334" t="inlineStr">
        <is>
          <t>GÄLLIVARE</t>
        </is>
      </c>
      <c r="G334" t="n">
        <v>1.5</v>
      </c>
      <c r="H334" t="n">
        <v>0</v>
      </c>
      <c r="I334" t="n">
        <v>0</v>
      </c>
      <c r="J334" t="n">
        <v>0</v>
      </c>
      <c r="K334" t="n">
        <v>0</v>
      </c>
      <c r="L334" t="n">
        <v>0</v>
      </c>
      <c r="M334" t="n">
        <v>0</v>
      </c>
      <c r="N334" t="n">
        <v>0</v>
      </c>
      <c r="O334" t="n">
        <v>0</v>
      </c>
      <c r="P334" t="n">
        <v>0</v>
      </c>
      <c r="Q334" t="n">
        <v>0</v>
      </c>
      <c r="R334" s="2" t="inlineStr"/>
    </row>
    <row r="335" ht="15" customHeight="1">
      <c r="A335" t="inlineStr">
        <is>
          <t>A 38186-2021</t>
        </is>
      </c>
      <c r="B335" s="1" t="n">
        <v>44405</v>
      </c>
      <c r="C335" s="1" t="n">
        <v>45364</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38183-2021</t>
        </is>
      </c>
      <c r="B336" s="1" t="n">
        <v>44405</v>
      </c>
      <c r="C336" s="1" t="n">
        <v>45364</v>
      </c>
      <c r="D336" t="inlineStr">
        <is>
          <t>NORRBOTTENS LÄN</t>
        </is>
      </c>
      <c r="E336" t="inlineStr">
        <is>
          <t>GÄLLIVARE</t>
        </is>
      </c>
      <c r="G336" t="n">
        <v>6</v>
      </c>
      <c r="H336" t="n">
        <v>0</v>
      </c>
      <c r="I336" t="n">
        <v>0</v>
      </c>
      <c r="J336" t="n">
        <v>0</v>
      </c>
      <c r="K336" t="n">
        <v>0</v>
      </c>
      <c r="L336" t="n">
        <v>0</v>
      </c>
      <c r="M336" t="n">
        <v>0</v>
      </c>
      <c r="N336" t="n">
        <v>0</v>
      </c>
      <c r="O336" t="n">
        <v>0</v>
      </c>
      <c r="P336" t="n">
        <v>0</v>
      </c>
      <c r="Q336" t="n">
        <v>0</v>
      </c>
      <c r="R336" s="2" t="inlineStr"/>
    </row>
    <row r="337" ht="15" customHeight="1">
      <c r="A337" t="inlineStr">
        <is>
          <t>A 38665-2021</t>
        </is>
      </c>
      <c r="B337" s="1" t="n">
        <v>44410</v>
      </c>
      <c r="C337" s="1" t="n">
        <v>45364</v>
      </c>
      <c r="D337" t="inlineStr">
        <is>
          <t>NORRBOTTENS LÄN</t>
        </is>
      </c>
      <c r="E337" t="inlineStr">
        <is>
          <t>GÄLLIVARE</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41057-2021</t>
        </is>
      </c>
      <c r="B338" s="1" t="n">
        <v>44422</v>
      </c>
      <c r="C338" s="1" t="n">
        <v>45364</v>
      </c>
      <c r="D338" t="inlineStr">
        <is>
          <t>NORRBOTTENS LÄN</t>
        </is>
      </c>
      <c r="E338" t="inlineStr">
        <is>
          <t>GÄLLIVARE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42230-2021</t>
        </is>
      </c>
      <c r="B339" s="1" t="n">
        <v>44426</v>
      </c>
      <c r="C339" s="1" t="n">
        <v>45364</v>
      </c>
      <c r="D339" t="inlineStr">
        <is>
          <t>NORRBOTTENS LÄN</t>
        </is>
      </c>
      <c r="E339" t="inlineStr">
        <is>
          <t>GÄLLIVARE</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42529-2021</t>
        </is>
      </c>
      <c r="B340" s="1" t="n">
        <v>44428</v>
      </c>
      <c r="C340" s="1" t="n">
        <v>45364</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42686-2021</t>
        </is>
      </c>
      <c r="B341" s="1" t="n">
        <v>44428</v>
      </c>
      <c r="C341" s="1" t="n">
        <v>45364</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43092-2021</t>
        </is>
      </c>
      <c r="B342" s="1" t="n">
        <v>44431</v>
      </c>
      <c r="C342" s="1" t="n">
        <v>45364</v>
      </c>
      <c r="D342" t="inlineStr">
        <is>
          <t>NORRBOTTENS LÄN</t>
        </is>
      </c>
      <c r="E342" t="inlineStr">
        <is>
          <t>GÄLLIVARE</t>
        </is>
      </c>
      <c r="G342" t="n">
        <v>0.9</v>
      </c>
      <c r="H342" t="n">
        <v>0</v>
      </c>
      <c r="I342" t="n">
        <v>0</v>
      </c>
      <c r="J342" t="n">
        <v>0</v>
      </c>
      <c r="K342" t="n">
        <v>0</v>
      </c>
      <c r="L342" t="n">
        <v>0</v>
      </c>
      <c r="M342" t="n">
        <v>0</v>
      </c>
      <c r="N342" t="n">
        <v>0</v>
      </c>
      <c r="O342" t="n">
        <v>0</v>
      </c>
      <c r="P342" t="n">
        <v>0</v>
      </c>
      <c r="Q342" t="n">
        <v>0</v>
      </c>
      <c r="R342" s="2" t="inlineStr"/>
    </row>
    <row r="343" ht="15" customHeight="1">
      <c r="A343" t="inlineStr">
        <is>
          <t>A 43111-2021</t>
        </is>
      </c>
      <c r="B343" s="1" t="n">
        <v>44431</v>
      </c>
      <c r="C343" s="1" t="n">
        <v>45364</v>
      </c>
      <c r="D343" t="inlineStr">
        <is>
          <t>NORRBOTTENS LÄN</t>
        </is>
      </c>
      <c r="E343" t="inlineStr">
        <is>
          <t>GÄLLIVARE</t>
        </is>
      </c>
      <c r="F343" t="inlineStr">
        <is>
          <t>Allmännings- och besparingsskogar</t>
        </is>
      </c>
      <c r="G343" t="n">
        <v>18.9</v>
      </c>
      <c r="H343" t="n">
        <v>0</v>
      </c>
      <c r="I343" t="n">
        <v>0</v>
      </c>
      <c r="J343" t="n">
        <v>0</v>
      </c>
      <c r="K343" t="n">
        <v>0</v>
      </c>
      <c r="L343" t="n">
        <v>0</v>
      </c>
      <c r="M343" t="n">
        <v>0</v>
      </c>
      <c r="N343" t="n">
        <v>0</v>
      </c>
      <c r="O343" t="n">
        <v>0</v>
      </c>
      <c r="P343" t="n">
        <v>0</v>
      </c>
      <c r="Q343" t="n">
        <v>0</v>
      </c>
      <c r="R343" s="2" t="inlineStr"/>
    </row>
    <row r="344" ht="15" customHeight="1">
      <c r="A344" t="inlineStr">
        <is>
          <t>A 43489-2021</t>
        </is>
      </c>
      <c r="B344" s="1" t="n">
        <v>44432</v>
      </c>
      <c r="C344" s="1" t="n">
        <v>45364</v>
      </c>
      <c r="D344" t="inlineStr">
        <is>
          <t>NORRBOTTENS LÄN</t>
        </is>
      </c>
      <c r="E344" t="inlineStr">
        <is>
          <t>GÄLLIVARE</t>
        </is>
      </c>
      <c r="F344" t="inlineStr">
        <is>
          <t>SCA</t>
        </is>
      </c>
      <c r="G344" t="n">
        <v>18.9</v>
      </c>
      <c r="H344" t="n">
        <v>0</v>
      </c>
      <c r="I344" t="n">
        <v>0</v>
      </c>
      <c r="J344" t="n">
        <v>0</v>
      </c>
      <c r="K344" t="n">
        <v>0</v>
      </c>
      <c r="L344" t="n">
        <v>0</v>
      </c>
      <c r="M344" t="n">
        <v>0</v>
      </c>
      <c r="N344" t="n">
        <v>0</v>
      </c>
      <c r="O344" t="n">
        <v>0</v>
      </c>
      <c r="P344" t="n">
        <v>0</v>
      </c>
      <c r="Q344" t="n">
        <v>0</v>
      </c>
      <c r="R344" s="2" t="inlineStr"/>
    </row>
    <row r="345" ht="15" customHeight="1">
      <c r="A345" t="inlineStr">
        <is>
          <t>A 44853-2021</t>
        </is>
      </c>
      <c r="B345" s="1" t="n">
        <v>44438</v>
      </c>
      <c r="C345" s="1" t="n">
        <v>45364</v>
      </c>
      <c r="D345" t="inlineStr">
        <is>
          <t>NORRBOTTENS LÄN</t>
        </is>
      </c>
      <c r="E345" t="inlineStr">
        <is>
          <t>GÄLLIVARE</t>
        </is>
      </c>
      <c r="G345" t="n">
        <v>3.7</v>
      </c>
      <c r="H345" t="n">
        <v>0</v>
      </c>
      <c r="I345" t="n">
        <v>0</v>
      </c>
      <c r="J345" t="n">
        <v>0</v>
      </c>
      <c r="K345" t="n">
        <v>0</v>
      </c>
      <c r="L345" t="n">
        <v>0</v>
      </c>
      <c r="M345" t="n">
        <v>0</v>
      </c>
      <c r="N345" t="n">
        <v>0</v>
      </c>
      <c r="O345" t="n">
        <v>0</v>
      </c>
      <c r="P345" t="n">
        <v>0</v>
      </c>
      <c r="Q345" t="n">
        <v>0</v>
      </c>
      <c r="R345" s="2" t="inlineStr"/>
    </row>
    <row r="346" ht="15" customHeight="1">
      <c r="A346" t="inlineStr">
        <is>
          <t>A 45019-2021</t>
        </is>
      </c>
      <c r="B346" s="1" t="n">
        <v>44439</v>
      </c>
      <c r="C346" s="1" t="n">
        <v>45364</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46728-2021</t>
        </is>
      </c>
      <c r="B347" s="1" t="n">
        <v>44445</v>
      </c>
      <c r="C347" s="1" t="n">
        <v>45364</v>
      </c>
      <c r="D347" t="inlineStr">
        <is>
          <t>NORRBOTTENS LÄN</t>
        </is>
      </c>
      <c r="E347" t="inlineStr">
        <is>
          <t>GÄLLIVARE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48074-2021</t>
        </is>
      </c>
      <c r="B348" s="1" t="n">
        <v>44449</v>
      </c>
      <c r="C348" s="1" t="n">
        <v>45364</v>
      </c>
      <c r="D348" t="inlineStr">
        <is>
          <t>NORRBOTTENS LÄN</t>
        </is>
      </c>
      <c r="E348" t="inlineStr">
        <is>
          <t>GÄLLIVARE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52181-2021</t>
        </is>
      </c>
      <c r="B349" s="1" t="n">
        <v>44463</v>
      </c>
      <c r="C349" s="1" t="n">
        <v>45364</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54820-2021</t>
        </is>
      </c>
      <c r="B350" s="1" t="n">
        <v>44473</v>
      </c>
      <c r="C350" s="1" t="n">
        <v>45364</v>
      </c>
      <c r="D350" t="inlineStr">
        <is>
          <t>NORRBOTTENS LÄN</t>
        </is>
      </c>
      <c r="E350" t="inlineStr">
        <is>
          <t>GÄLLIVARE</t>
        </is>
      </c>
      <c r="F350" t="inlineStr">
        <is>
          <t>SCA</t>
        </is>
      </c>
      <c r="G350" t="n">
        <v>14.7</v>
      </c>
      <c r="H350" t="n">
        <v>0</v>
      </c>
      <c r="I350" t="n">
        <v>0</v>
      </c>
      <c r="J350" t="n">
        <v>0</v>
      </c>
      <c r="K350" t="n">
        <v>0</v>
      </c>
      <c r="L350" t="n">
        <v>0</v>
      </c>
      <c r="M350" t="n">
        <v>0</v>
      </c>
      <c r="N350" t="n">
        <v>0</v>
      </c>
      <c r="O350" t="n">
        <v>0</v>
      </c>
      <c r="P350" t="n">
        <v>0</v>
      </c>
      <c r="Q350" t="n">
        <v>0</v>
      </c>
      <c r="R350" s="2" t="inlineStr"/>
    </row>
    <row r="351" ht="15" customHeight="1">
      <c r="A351" t="inlineStr">
        <is>
          <t>A 56290-2021</t>
        </is>
      </c>
      <c r="B351" s="1" t="n">
        <v>44479</v>
      </c>
      <c r="C351" s="1" t="n">
        <v>45364</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56288-2021</t>
        </is>
      </c>
      <c r="B352" s="1" t="n">
        <v>44479</v>
      </c>
      <c r="C352" s="1" t="n">
        <v>45364</v>
      </c>
      <c r="D352" t="inlineStr">
        <is>
          <t>NORRBOTTENS LÄN</t>
        </is>
      </c>
      <c r="E352" t="inlineStr">
        <is>
          <t>GÄLLIVARE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56910-2021</t>
        </is>
      </c>
      <c r="B353" s="1" t="n">
        <v>44481</v>
      </c>
      <c r="C353" s="1" t="n">
        <v>45364</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57208-2021</t>
        </is>
      </c>
      <c r="B354" s="1" t="n">
        <v>44483</v>
      </c>
      <c r="C354" s="1" t="n">
        <v>45364</v>
      </c>
      <c r="D354" t="inlineStr">
        <is>
          <t>NORRBOTTENS LÄN</t>
        </is>
      </c>
      <c r="E354" t="inlineStr">
        <is>
          <t>GÄLLIVARE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57534-2021</t>
        </is>
      </c>
      <c r="B355" s="1" t="n">
        <v>44483</v>
      </c>
      <c r="C355" s="1" t="n">
        <v>45364</v>
      </c>
      <c r="D355" t="inlineStr">
        <is>
          <t>NORRBOTTENS LÄN</t>
        </is>
      </c>
      <c r="E355" t="inlineStr">
        <is>
          <t>GÄLLIVARE</t>
        </is>
      </c>
      <c r="G355" t="n">
        <v>11.1</v>
      </c>
      <c r="H355" t="n">
        <v>0</v>
      </c>
      <c r="I355" t="n">
        <v>0</v>
      </c>
      <c r="J355" t="n">
        <v>0</v>
      </c>
      <c r="K355" t="n">
        <v>0</v>
      </c>
      <c r="L355" t="n">
        <v>0</v>
      </c>
      <c r="M355" t="n">
        <v>0</v>
      </c>
      <c r="N355" t="n">
        <v>0</v>
      </c>
      <c r="O355" t="n">
        <v>0</v>
      </c>
      <c r="P355" t="n">
        <v>0</v>
      </c>
      <c r="Q355" t="n">
        <v>0</v>
      </c>
      <c r="R355" s="2" t="inlineStr"/>
    </row>
    <row r="356" ht="15" customHeight="1">
      <c r="A356" t="inlineStr">
        <is>
          <t>A 58343-2021</t>
        </is>
      </c>
      <c r="B356" s="1" t="n">
        <v>44488</v>
      </c>
      <c r="C356" s="1" t="n">
        <v>45364</v>
      </c>
      <c r="D356" t="inlineStr">
        <is>
          <t>NORRBOTTENS LÄN</t>
        </is>
      </c>
      <c r="E356" t="inlineStr">
        <is>
          <t>GÄLLIVARE</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58412-2021</t>
        </is>
      </c>
      <c r="B357" s="1" t="n">
        <v>44488</v>
      </c>
      <c r="C357" s="1" t="n">
        <v>45364</v>
      </c>
      <c r="D357" t="inlineStr">
        <is>
          <t>NORRBOTTENS LÄN</t>
        </is>
      </c>
      <c r="E357" t="inlineStr">
        <is>
          <t>GÄLLIVARE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58414-2021</t>
        </is>
      </c>
      <c r="B358" s="1" t="n">
        <v>44488</v>
      </c>
      <c r="C358" s="1" t="n">
        <v>45364</v>
      </c>
      <c r="D358" t="inlineStr">
        <is>
          <t>NORRBOTTENS LÄN</t>
        </is>
      </c>
      <c r="E358" t="inlineStr">
        <is>
          <t>GÄLLIVARE</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59926-2021</t>
        </is>
      </c>
      <c r="B359" s="1" t="n">
        <v>44494</v>
      </c>
      <c r="C359" s="1" t="n">
        <v>45364</v>
      </c>
      <c r="D359" t="inlineStr">
        <is>
          <t>NORRBOTTENS LÄN</t>
        </is>
      </c>
      <c r="E359" t="inlineStr">
        <is>
          <t>GÄLLIVARE</t>
        </is>
      </c>
      <c r="F359" t="inlineStr">
        <is>
          <t>Allmännings- och besparingsskogar</t>
        </is>
      </c>
      <c r="G359" t="n">
        <v>4</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45364</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63156-2021</t>
        </is>
      </c>
      <c r="B361" s="1" t="n">
        <v>44505</v>
      </c>
      <c r="C361" s="1" t="n">
        <v>45364</v>
      </c>
      <c r="D361" t="inlineStr">
        <is>
          <t>NORRBOTTENS LÄN</t>
        </is>
      </c>
      <c r="E361" t="inlineStr">
        <is>
          <t>GÄLLIVARE</t>
        </is>
      </c>
      <c r="F361" t="inlineStr">
        <is>
          <t>SCA</t>
        </is>
      </c>
      <c r="G361" t="n">
        <v>6</v>
      </c>
      <c r="H361" t="n">
        <v>0</v>
      </c>
      <c r="I361" t="n">
        <v>0</v>
      </c>
      <c r="J361" t="n">
        <v>0</v>
      </c>
      <c r="K361" t="n">
        <v>0</v>
      </c>
      <c r="L361" t="n">
        <v>0</v>
      </c>
      <c r="M361" t="n">
        <v>0</v>
      </c>
      <c r="N361" t="n">
        <v>0</v>
      </c>
      <c r="O361" t="n">
        <v>0</v>
      </c>
      <c r="P361" t="n">
        <v>0</v>
      </c>
      <c r="Q361" t="n">
        <v>0</v>
      </c>
      <c r="R361" s="2" t="inlineStr"/>
    </row>
    <row r="362" ht="15" customHeight="1">
      <c r="A362" t="inlineStr">
        <is>
          <t>A 65517-2021</t>
        </is>
      </c>
      <c r="B362" s="1" t="n">
        <v>44516</v>
      </c>
      <c r="C362" s="1" t="n">
        <v>45364</v>
      </c>
      <c r="D362" t="inlineStr">
        <is>
          <t>NORRBOTTENS LÄN</t>
        </is>
      </c>
      <c r="E362" t="inlineStr">
        <is>
          <t>GÄLLIVARE</t>
        </is>
      </c>
      <c r="G362" t="n">
        <v>5</v>
      </c>
      <c r="H362" t="n">
        <v>0</v>
      </c>
      <c r="I362" t="n">
        <v>0</v>
      </c>
      <c r="J362" t="n">
        <v>0</v>
      </c>
      <c r="K362" t="n">
        <v>0</v>
      </c>
      <c r="L362" t="n">
        <v>0</v>
      </c>
      <c r="M362" t="n">
        <v>0</v>
      </c>
      <c r="N362" t="n">
        <v>0</v>
      </c>
      <c r="O362" t="n">
        <v>0</v>
      </c>
      <c r="P362" t="n">
        <v>0</v>
      </c>
      <c r="Q362" t="n">
        <v>0</v>
      </c>
      <c r="R362" s="2" t="inlineStr"/>
    </row>
    <row r="363" ht="15" customHeight="1">
      <c r="A363" t="inlineStr">
        <is>
          <t>A 66264-2021</t>
        </is>
      </c>
      <c r="B363" s="1" t="n">
        <v>44518</v>
      </c>
      <c r="C363" s="1" t="n">
        <v>45364</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66269-2021</t>
        </is>
      </c>
      <c r="B364" s="1" t="n">
        <v>44518</v>
      </c>
      <c r="C364" s="1" t="n">
        <v>45364</v>
      </c>
      <c r="D364" t="inlineStr">
        <is>
          <t>NORRBOTTENS LÄN</t>
        </is>
      </c>
      <c r="E364" t="inlineStr">
        <is>
          <t>GÄLLIVARE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66282-2021</t>
        </is>
      </c>
      <c r="B365" s="1" t="n">
        <v>44518</v>
      </c>
      <c r="C365" s="1" t="n">
        <v>45364</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66257-2021</t>
        </is>
      </c>
      <c r="B366" s="1" t="n">
        <v>44518</v>
      </c>
      <c r="C366" s="1" t="n">
        <v>45364</v>
      </c>
      <c r="D366" t="inlineStr">
        <is>
          <t>NORRBOTTENS LÄN</t>
        </is>
      </c>
      <c r="E366" t="inlineStr">
        <is>
          <t>GÄLLIVARE</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66278-2021</t>
        </is>
      </c>
      <c r="B367" s="1" t="n">
        <v>44518</v>
      </c>
      <c r="C367" s="1" t="n">
        <v>45364</v>
      </c>
      <c r="D367" t="inlineStr">
        <is>
          <t>NORRBOTTENS LÄN</t>
        </is>
      </c>
      <c r="E367" t="inlineStr">
        <is>
          <t>GÄLLIVARE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66287-2021</t>
        </is>
      </c>
      <c r="B368" s="1" t="n">
        <v>44518</v>
      </c>
      <c r="C368" s="1" t="n">
        <v>45364</v>
      </c>
      <c r="D368" t="inlineStr">
        <is>
          <t>NORRBOTTENS LÄN</t>
        </is>
      </c>
      <c r="E368" t="inlineStr">
        <is>
          <t>GÄLLIVARE</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66950-2021</t>
        </is>
      </c>
      <c r="B369" s="1" t="n">
        <v>44522</v>
      </c>
      <c r="C369" s="1" t="n">
        <v>45364</v>
      </c>
      <c r="D369" t="inlineStr">
        <is>
          <t>NORRBOTTENS LÄN</t>
        </is>
      </c>
      <c r="E369" t="inlineStr">
        <is>
          <t>GÄLLIVARE</t>
        </is>
      </c>
      <c r="F369" t="inlineStr">
        <is>
          <t>Allmännings- och besparingsskogar</t>
        </is>
      </c>
      <c r="G369" t="n">
        <v>14</v>
      </c>
      <c r="H369" t="n">
        <v>0</v>
      </c>
      <c r="I369" t="n">
        <v>0</v>
      </c>
      <c r="J369" t="n">
        <v>0</v>
      </c>
      <c r="K369" t="n">
        <v>0</v>
      </c>
      <c r="L369" t="n">
        <v>0</v>
      </c>
      <c r="M369" t="n">
        <v>0</v>
      </c>
      <c r="N369" t="n">
        <v>0</v>
      </c>
      <c r="O369" t="n">
        <v>0</v>
      </c>
      <c r="P369" t="n">
        <v>0</v>
      </c>
      <c r="Q369" t="n">
        <v>0</v>
      </c>
      <c r="R369" s="2" t="inlineStr"/>
    </row>
    <row r="370" ht="15" customHeight="1">
      <c r="A370" t="inlineStr">
        <is>
          <t>A 66957-2021</t>
        </is>
      </c>
      <c r="B370" s="1" t="n">
        <v>44522</v>
      </c>
      <c r="C370" s="1" t="n">
        <v>45364</v>
      </c>
      <c r="D370" t="inlineStr">
        <is>
          <t>NORRBOTTENS LÄN</t>
        </is>
      </c>
      <c r="E370" t="inlineStr">
        <is>
          <t>GÄLLIVARE</t>
        </is>
      </c>
      <c r="F370" t="inlineStr">
        <is>
          <t>Allmännings- och besparingsskogar</t>
        </is>
      </c>
      <c r="G370" t="n">
        <v>54</v>
      </c>
      <c r="H370" t="n">
        <v>0</v>
      </c>
      <c r="I370" t="n">
        <v>0</v>
      </c>
      <c r="J370" t="n">
        <v>0</v>
      </c>
      <c r="K370" t="n">
        <v>0</v>
      </c>
      <c r="L370" t="n">
        <v>0</v>
      </c>
      <c r="M370" t="n">
        <v>0</v>
      </c>
      <c r="N370" t="n">
        <v>0</v>
      </c>
      <c r="O370" t="n">
        <v>0</v>
      </c>
      <c r="P370" t="n">
        <v>0</v>
      </c>
      <c r="Q370" t="n">
        <v>0</v>
      </c>
      <c r="R370" s="2" t="inlineStr"/>
    </row>
    <row r="371" ht="15" customHeight="1">
      <c r="A371" t="inlineStr">
        <is>
          <t>A 68199-2021</t>
        </is>
      </c>
      <c r="B371" s="1" t="n">
        <v>44525</v>
      </c>
      <c r="C371" s="1" t="n">
        <v>45364</v>
      </c>
      <c r="D371" t="inlineStr">
        <is>
          <t>NORRBOTTENS LÄN</t>
        </is>
      </c>
      <c r="E371" t="inlineStr">
        <is>
          <t>GÄLLIVARE</t>
        </is>
      </c>
      <c r="G371" t="n">
        <v>6.4</v>
      </c>
      <c r="H371" t="n">
        <v>0</v>
      </c>
      <c r="I371" t="n">
        <v>0</v>
      </c>
      <c r="J371" t="n">
        <v>0</v>
      </c>
      <c r="K371" t="n">
        <v>0</v>
      </c>
      <c r="L371" t="n">
        <v>0</v>
      </c>
      <c r="M371" t="n">
        <v>0</v>
      </c>
      <c r="N371" t="n">
        <v>0</v>
      </c>
      <c r="O371" t="n">
        <v>0</v>
      </c>
      <c r="P371" t="n">
        <v>0</v>
      </c>
      <c r="Q371" t="n">
        <v>0</v>
      </c>
      <c r="R371" s="2" t="inlineStr"/>
    </row>
    <row r="372" ht="15" customHeight="1">
      <c r="A372" t="inlineStr">
        <is>
          <t>A 68960-2021</t>
        </is>
      </c>
      <c r="B372" s="1" t="n">
        <v>44529</v>
      </c>
      <c r="C372" s="1" t="n">
        <v>45364</v>
      </c>
      <c r="D372" t="inlineStr">
        <is>
          <t>NORRBOTTENS LÄN</t>
        </is>
      </c>
      <c r="E372" t="inlineStr">
        <is>
          <t>GÄLLIVARE</t>
        </is>
      </c>
      <c r="F372" t="inlineStr">
        <is>
          <t>Allmännings- och besparingsskogar</t>
        </is>
      </c>
      <c r="G372" t="n">
        <v>23</v>
      </c>
      <c r="H372" t="n">
        <v>0</v>
      </c>
      <c r="I372" t="n">
        <v>0</v>
      </c>
      <c r="J372" t="n">
        <v>0</v>
      </c>
      <c r="K372" t="n">
        <v>0</v>
      </c>
      <c r="L372" t="n">
        <v>0</v>
      </c>
      <c r="M372" t="n">
        <v>0</v>
      </c>
      <c r="N372" t="n">
        <v>0</v>
      </c>
      <c r="O372" t="n">
        <v>0</v>
      </c>
      <c r="P372" t="n">
        <v>0</v>
      </c>
      <c r="Q372" t="n">
        <v>0</v>
      </c>
      <c r="R372" s="2" t="inlineStr"/>
    </row>
    <row r="373" ht="15" customHeight="1">
      <c r="A373" t="inlineStr">
        <is>
          <t>A 71941-2021</t>
        </is>
      </c>
      <c r="B373" s="1" t="n">
        <v>44543</v>
      </c>
      <c r="C373" s="1" t="n">
        <v>45364</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72762-2021</t>
        </is>
      </c>
      <c r="B374" s="1" t="n">
        <v>44546</v>
      </c>
      <c r="C374" s="1" t="n">
        <v>45364</v>
      </c>
      <c r="D374" t="inlineStr">
        <is>
          <t>NORRBOTTENS LÄN</t>
        </is>
      </c>
      <c r="E374" t="inlineStr">
        <is>
          <t>GÄLLIVARE</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73341-2021</t>
        </is>
      </c>
      <c r="B375" s="1" t="n">
        <v>44550</v>
      </c>
      <c r="C375" s="1" t="n">
        <v>45364</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73337-2021</t>
        </is>
      </c>
      <c r="B376" s="1" t="n">
        <v>44550</v>
      </c>
      <c r="C376" s="1" t="n">
        <v>45364</v>
      </c>
      <c r="D376" t="inlineStr">
        <is>
          <t>NORRBOTTENS LÄN</t>
        </is>
      </c>
      <c r="E376" t="inlineStr">
        <is>
          <t>GÄLLIVARE</t>
        </is>
      </c>
      <c r="G376" t="n">
        <v>0.6</v>
      </c>
      <c r="H376" t="n">
        <v>0</v>
      </c>
      <c r="I376" t="n">
        <v>0</v>
      </c>
      <c r="J376" t="n">
        <v>0</v>
      </c>
      <c r="K376" t="n">
        <v>0</v>
      </c>
      <c r="L376" t="n">
        <v>0</v>
      </c>
      <c r="M376" t="n">
        <v>0</v>
      </c>
      <c r="N376" t="n">
        <v>0</v>
      </c>
      <c r="O376" t="n">
        <v>0</v>
      </c>
      <c r="P376" t="n">
        <v>0</v>
      </c>
      <c r="Q376" t="n">
        <v>0</v>
      </c>
      <c r="R376" s="2" t="inlineStr"/>
    </row>
    <row r="377" ht="15" customHeight="1">
      <c r="A377" t="inlineStr">
        <is>
          <t>A 73335-2021</t>
        </is>
      </c>
      <c r="B377" s="1" t="n">
        <v>44550</v>
      </c>
      <c r="C377" s="1" t="n">
        <v>45364</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73353-2021</t>
        </is>
      </c>
      <c r="B378" s="1" t="n">
        <v>44551</v>
      </c>
      <c r="C378" s="1" t="n">
        <v>45364</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588-2022</t>
        </is>
      </c>
      <c r="B379" s="1" t="n">
        <v>44566</v>
      </c>
      <c r="C379" s="1" t="n">
        <v>45364</v>
      </c>
      <c r="D379" t="inlineStr">
        <is>
          <t>NORRBOTTENS LÄN</t>
        </is>
      </c>
      <c r="E379" t="inlineStr">
        <is>
          <t>GÄLLIVARE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2018-2022</t>
        </is>
      </c>
      <c r="B380" s="1" t="n">
        <v>44575</v>
      </c>
      <c r="C380" s="1" t="n">
        <v>45364</v>
      </c>
      <c r="D380" t="inlineStr">
        <is>
          <t>NORRBOTTENS LÄN</t>
        </is>
      </c>
      <c r="E380" t="inlineStr">
        <is>
          <t>GÄLLIVARE</t>
        </is>
      </c>
      <c r="G380" t="n">
        <v>11</v>
      </c>
      <c r="H380" t="n">
        <v>0</v>
      </c>
      <c r="I380" t="n">
        <v>0</v>
      </c>
      <c r="J380" t="n">
        <v>0</v>
      </c>
      <c r="K380" t="n">
        <v>0</v>
      </c>
      <c r="L380" t="n">
        <v>0</v>
      </c>
      <c r="M380" t="n">
        <v>0</v>
      </c>
      <c r="N380" t="n">
        <v>0</v>
      </c>
      <c r="O380" t="n">
        <v>0</v>
      </c>
      <c r="P380" t="n">
        <v>0</v>
      </c>
      <c r="Q380" t="n">
        <v>0</v>
      </c>
      <c r="R380" s="2" t="inlineStr"/>
    </row>
    <row r="381" ht="15" customHeight="1">
      <c r="A381" t="inlineStr">
        <is>
          <t>A 4016-2022</t>
        </is>
      </c>
      <c r="B381" s="1" t="n">
        <v>44587</v>
      </c>
      <c r="C381" s="1" t="n">
        <v>45364</v>
      </c>
      <c r="D381" t="inlineStr">
        <is>
          <t>NORRBOTTENS LÄN</t>
        </is>
      </c>
      <c r="E381" t="inlineStr">
        <is>
          <t>GÄLLIVARE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4135-2022</t>
        </is>
      </c>
      <c r="B382" s="1" t="n">
        <v>44588</v>
      </c>
      <c r="C382" s="1" t="n">
        <v>45364</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7538-2022</t>
        </is>
      </c>
      <c r="B383" s="1" t="n">
        <v>44607</v>
      </c>
      <c r="C383" s="1" t="n">
        <v>45364</v>
      </c>
      <c r="D383" t="inlineStr">
        <is>
          <t>NORRBOTTENS LÄN</t>
        </is>
      </c>
      <c r="E383" t="inlineStr">
        <is>
          <t>GÄLLIVARE</t>
        </is>
      </c>
      <c r="G383" t="n">
        <v>1.8</v>
      </c>
      <c r="H383" t="n">
        <v>0</v>
      </c>
      <c r="I383" t="n">
        <v>0</v>
      </c>
      <c r="J383" t="n">
        <v>0</v>
      </c>
      <c r="K383" t="n">
        <v>0</v>
      </c>
      <c r="L383" t="n">
        <v>0</v>
      </c>
      <c r="M383" t="n">
        <v>0</v>
      </c>
      <c r="N383" t="n">
        <v>0</v>
      </c>
      <c r="O383" t="n">
        <v>0</v>
      </c>
      <c r="P383" t="n">
        <v>0</v>
      </c>
      <c r="Q383" t="n">
        <v>0</v>
      </c>
      <c r="R383" s="2" t="inlineStr"/>
    </row>
    <row r="384" ht="15" customHeight="1">
      <c r="A384" t="inlineStr">
        <is>
          <t>A 7683-2022</t>
        </is>
      </c>
      <c r="B384" s="1" t="n">
        <v>44607</v>
      </c>
      <c r="C384" s="1" t="n">
        <v>45364</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7693-2022</t>
        </is>
      </c>
      <c r="B385" s="1" t="n">
        <v>44607</v>
      </c>
      <c r="C385" s="1" t="n">
        <v>45364</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7676-2022</t>
        </is>
      </c>
      <c r="B386" s="1" t="n">
        <v>44607</v>
      </c>
      <c r="C386" s="1" t="n">
        <v>45364</v>
      </c>
      <c r="D386" t="inlineStr">
        <is>
          <t>NORRBOTTENS LÄN</t>
        </is>
      </c>
      <c r="E386" t="inlineStr">
        <is>
          <t>GÄLLIVARE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7682-2022</t>
        </is>
      </c>
      <c r="B387" s="1" t="n">
        <v>44607</v>
      </c>
      <c r="C387" s="1" t="n">
        <v>45364</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7681-2022</t>
        </is>
      </c>
      <c r="B388" s="1" t="n">
        <v>44607</v>
      </c>
      <c r="C388" s="1" t="n">
        <v>45364</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7690-2022</t>
        </is>
      </c>
      <c r="B389" s="1" t="n">
        <v>44607</v>
      </c>
      <c r="C389" s="1" t="n">
        <v>45364</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7678-2022</t>
        </is>
      </c>
      <c r="B390" s="1" t="n">
        <v>44607</v>
      </c>
      <c r="C390" s="1" t="n">
        <v>45364</v>
      </c>
      <c r="D390" t="inlineStr">
        <is>
          <t>NORRBOTTENS LÄN</t>
        </is>
      </c>
      <c r="E390" t="inlineStr">
        <is>
          <t>GÄLLIVARE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7685-2022</t>
        </is>
      </c>
      <c r="B391" s="1" t="n">
        <v>44607</v>
      </c>
      <c r="C391" s="1" t="n">
        <v>45364</v>
      </c>
      <c r="D391" t="inlineStr">
        <is>
          <t>NORRBOTTENS LÄN</t>
        </is>
      </c>
      <c r="E391" t="inlineStr">
        <is>
          <t>GÄLLIVARE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8018-2022</t>
        </is>
      </c>
      <c r="B392" s="1" t="n">
        <v>44609</v>
      </c>
      <c r="C392" s="1" t="n">
        <v>45364</v>
      </c>
      <c r="D392" t="inlineStr">
        <is>
          <t>NORRBOTTENS LÄN</t>
        </is>
      </c>
      <c r="E392" t="inlineStr">
        <is>
          <t>GÄLLIVARE</t>
        </is>
      </c>
      <c r="G392" t="n">
        <v>1.8</v>
      </c>
      <c r="H392" t="n">
        <v>0</v>
      </c>
      <c r="I392" t="n">
        <v>0</v>
      </c>
      <c r="J392" t="n">
        <v>0</v>
      </c>
      <c r="K392" t="n">
        <v>0</v>
      </c>
      <c r="L392" t="n">
        <v>0</v>
      </c>
      <c r="M392" t="n">
        <v>0</v>
      </c>
      <c r="N392" t="n">
        <v>0</v>
      </c>
      <c r="O392" t="n">
        <v>0</v>
      </c>
      <c r="P392" t="n">
        <v>0</v>
      </c>
      <c r="Q392" t="n">
        <v>0</v>
      </c>
      <c r="R392" s="2" t="inlineStr"/>
    </row>
    <row r="393" ht="15" customHeight="1">
      <c r="A393" t="inlineStr">
        <is>
          <t>A 9504-2022</t>
        </is>
      </c>
      <c r="B393" s="1" t="n">
        <v>44616</v>
      </c>
      <c r="C393" s="1" t="n">
        <v>45364</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9493-2022</t>
        </is>
      </c>
      <c r="B394" s="1" t="n">
        <v>44616</v>
      </c>
      <c r="C394" s="1" t="n">
        <v>45364</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10652-2022</t>
        </is>
      </c>
      <c r="B395" s="1" t="n">
        <v>44624</v>
      </c>
      <c r="C395" s="1" t="n">
        <v>45364</v>
      </c>
      <c r="D395" t="inlineStr">
        <is>
          <t>NORRBOTTENS LÄN</t>
        </is>
      </c>
      <c r="E395" t="inlineStr">
        <is>
          <t>GÄLLIVARE</t>
        </is>
      </c>
      <c r="G395" t="n">
        <v>7.9</v>
      </c>
      <c r="H395" t="n">
        <v>0</v>
      </c>
      <c r="I395" t="n">
        <v>0</v>
      </c>
      <c r="J395" t="n">
        <v>0</v>
      </c>
      <c r="K395" t="n">
        <v>0</v>
      </c>
      <c r="L395" t="n">
        <v>0</v>
      </c>
      <c r="M395" t="n">
        <v>0</v>
      </c>
      <c r="N395" t="n">
        <v>0</v>
      </c>
      <c r="O395" t="n">
        <v>0</v>
      </c>
      <c r="P395" t="n">
        <v>0</v>
      </c>
      <c r="Q395" t="n">
        <v>0</v>
      </c>
      <c r="R395" s="2" t="inlineStr"/>
    </row>
    <row r="396" ht="15" customHeight="1">
      <c r="A396" t="inlineStr">
        <is>
          <t>A 12202-2022</t>
        </is>
      </c>
      <c r="B396" s="1" t="n">
        <v>44636</v>
      </c>
      <c r="C396" s="1" t="n">
        <v>45364</v>
      </c>
      <c r="D396" t="inlineStr">
        <is>
          <t>NORRBOTTENS LÄN</t>
        </is>
      </c>
      <c r="E396" t="inlineStr">
        <is>
          <t>GÄLLIVARE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14279-2022</t>
        </is>
      </c>
      <c r="B397" s="1" t="n">
        <v>44651</v>
      </c>
      <c r="C397" s="1" t="n">
        <v>45364</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16549-2022</t>
        </is>
      </c>
      <c r="B398" s="1" t="n">
        <v>44672</v>
      </c>
      <c r="C398" s="1" t="n">
        <v>45364</v>
      </c>
      <c r="D398" t="inlineStr">
        <is>
          <t>NORRBOTTENS LÄN</t>
        </is>
      </c>
      <c r="E398" t="inlineStr">
        <is>
          <t>GÄLLIVARE</t>
        </is>
      </c>
      <c r="G398" t="n">
        <v>25.9</v>
      </c>
      <c r="H398" t="n">
        <v>0</v>
      </c>
      <c r="I398" t="n">
        <v>0</v>
      </c>
      <c r="J398" t="n">
        <v>0</v>
      </c>
      <c r="K398" t="n">
        <v>0</v>
      </c>
      <c r="L398" t="n">
        <v>0</v>
      </c>
      <c r="M398" t="n">
        <v>0</v>
      </c>
      <c r="N398" t="n">
        <v>0</v>
      </c>
      <c r="O398" t="n">
        <v>0</v>
      </c>
      <c r="P398" t="n">
        <v>0</v>
      </c>
      <c r="Q398" t="n">
        <v>0</v>
      </c>
      <c r="R398" s="2" t="inlineStr"/>
    </row>
    <row r="399" ht="15" customHeight="1">
      <c r="A399" t="inlineStr">
        <is>
          <t>A 18104-2022</t>
        </is>
      </c>
      <c r="B399" s="1" t="n">
        <v>44684</v>
      </c>
      <c r="C399" s="1" t="n">
        <v>45364</v>
      </c>
      <c r="D399" t="inlineStr">
        <is>
          <t>NORRBOTTENS LÄN</t>
        </is>
      </c>
      <c r="E399" t="inlineStr">
        <is>
          <t>GÄLLIVARE</t>
        </is>
      </c>
      <c r="G399" t="n">
        <v>8.4</v>
      </c>
      <c r="H399" t="n">
        <v>0</v>
      </c>
      <c r="I399" t="n">
        <v>0</v>
      </c>
      <c r="J399" t="n">
        <v>0</v>
      </c>
      <c r="K399" t="n">
        <v>0</v>
      </c>
      <c r="L399" t="n">
        <v>0</v>
      </c>
      <c r="M399" t="n">
        <v>0</v>
      </c>
      <c r="N399" t="n">
        <v>0</v>
      </c>
      <c r="O399" t="n">
        <v>0</v>
      </c>
      <c r="P399" t="n">
        <v>0</v>
      </c>
      <c r="Q399" t="n">
        <v>0</v>
      </c>
      <c r="R399" s="2" t="inlineStr"/>
    </row>
    <row r="400" ht="15" customHeight="1">
      <c r="A400" t="inlineStr">
        <is>
          <t>A 20000-2022</t>
        </is>
      </c>
      <c r="B400" s="1" t="n">
        <v>44697</v>
      </c>
      <c r="C400" s="1" t="n">
        <v>45364</v>
      </c>
      <c r="D400" t="inlineStr">
        <is>
          <t>NORRBOTTENS LÄN</t>
        </is>
      </c>
      <c r="E400" t="inlineStr">
        <is>
          <t>GÄLLIVARE</t>
        </is>
      </c>
      <c r="G400" t="n">
        <v>1.2</v>
      </c>
      <c r="H400" t="n">
        <v>0</v>
      </c>
      <c r="I400" t="n">
        <v>0</v>
      </c>
      <c r="J400" t="n">
        <v>0</v>
      </c>
      <c r="K400" t="n">
        <v>0</v>
      </c>
      <c r="L400" t="n">
        <v>0</v>
      </c>
      <c r="M400" t="n">
        <v>0</v>
      </c>
      <c r="N400" t="n">
        <v>0</v>
      </c>
      <c r="O400" t="n">
        <v>0</v>
      </c>
      <c r="P400" t="n">
        <v>0</v>
      </c>
      <c r="Q400" t="n">
        <v>0</v>
      </c>
      <c r="R400" s="2" t="inlineStr"/>
    </row>
    <row r="401" ht="15" customHeight="1">
      <c r="A401" t="inlineStr">
        <is>
          <t>A 22346-2022</t>
        </is>
      </c>
      <c r="B401" s="1" t="n">
        <v>44712</v>
      </c>
      <c r="C401" s="1" t="n">
        <v>45364</v>
      </c>
      <c r="D401" t="inlineStr">
        <is>
          <t>NORRBOTTENS LÄN</t>
        </is>
      </c>
      <c r="E401" t="inlineStr">
        <is>
          <t>GÄLLIVARE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22347-2022</t>
        </is>
      </c>
      <c r="B402" s="1" t="n">
        <v>44712</v>
      </c>
      <c r="C402" s="1" t="n">
        <v>45364</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22348-2022</t>
        </is>
      </c>
      <c r="B403" s="1" t="n">
        <v>44712</v>
      </c>
      <c r="C403" s="1" t="n">
        <v>45364</v>
      </c>
      <c r="D403" t="inlineStr">
        <is>
          <t>NORRBOTTENS LÄN</t>
        </is>
      </c>
      <c r="E403" t="inlineStr">
        <is>
          <t>GÄLLIVARE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22349-2022</t>
        </is>
      </c>
      <c r="B404" s="1" t="n">
        <v>44712</v>
      </c>
      <c r="C404" s="1" t="n">
        <v>45364</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24564-2022</t>
        </is>
      </c>
      <c r="B405" s="1" t="n">
        <v>44726</v>
      </c>
      <c r="C405" s="1" t="n">
        <v>45364</v>
      </c>
      <c r="D405" t="inlineStr">
        <is>
          <t>NORRBOTTENS LÄN</t>
        </is>
      </c>
      <c r="E405" t="inlineStr">
        <is>
          <t>GÄLLIVARE</t>
        </is>
      </c>
      <c r="G405" t="n">
        <v>12.9</v>
      </c>
      <c r="H405" t="n">
        <v>0</v>
      </c>
      <c r="I405" t="n">
        <v>0</v>
      </c>
      <c r="J405" t="n">
        <v>0</v>
      </c>
      <c r="K405" t="n">
        <v>0</v>
      </c>
      <c r="L405" t="n">
        <v>0</v>
      </c>
      <c r="M405" t="n">
        <v>0</v>
      </c>
      <c r="N405" t="n">
        <v>0</v>
      </c>
      <c r="O405" t="n">
        <v>0</v>
      </c>
      <c r="P405" t="n">
        <v>0</v>
      </c>
      <c r="Q405" t="n">
        <v>0</v>
      </c>
      <c r="R405" s="2" t="inlineStr"/>
    </row>
    <row r="406" ht="15" customHeight="1">
      <c r="A406" t="inlineStr">
        <is>
          <t>A 25910-2022</t>
        </is>
      </c>
      <c r="B406" s="1" t="n">
        <v>44734</v>
      </c>
      <c r="C406" s="1" t="n">
        <v>45364</v>
      </c>
      <c r="D406" t="inlineStr">
        <is>
          <t>NORRBOTTENS LÄN</t>
        </is>
      </c>
      <c r="E406" t="inlineStr">
        <is>
          <t>GÄLLIVARE</t>
        </is>
      </c>
      <c r="F406" t="inlineStr">
        <is>
          <t>Sveaskog</t>
        </is>
      </c>
      <c r="G406" t="n">
        <v>36.7</v>
      </c>
      <c r="H406" t="n">
        <v>0</v>
      </c>
      <c r="I406" t="n">
        <v>0</v>
      </c>
      <c r="J406" t="n">
        <v>0</v>
      </c>
      <c r="K406" t="n">
        <v>0</v>
      </c>
      <c r="L406" t="n">
        <v>0</v>
      </c>
      <c r="M406" t="n">
        <v>0</v>
      </c>
      <c r="N406" t="n">
        <v>0</v>
      </c>
      <c r="O406" t="n">
        <v>0</v>
      </c>
      <c r="P406" t="n">
        <v>0</v>
      </c>
      <c r="Q406" t="n">
        <v>0</v>
      </c>
      <c r="R406" s="2" t="inlineStr"/>
    </row>
    <row r="407" ht="15" customHeight="1">
      <c r="A407" t="inlineStr">
        <is>
          <t>A 27050-2022</t>
        </is>
      </c>
      <c r="B407" s="1" t="n">
        <v>44741</v>
      </c>
      <c r="C407" s="1" t="n">
        <v>45364</v>
      </c>
      <c r="D407" t="inlineStr">
        <is>
          <t>NORRBOTTENS LÄN</t>
        </is>
      </c>
      <c r="E407" t="inlineStr">
        <is>
          <t>GÄLLIVARE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29140-2022</t>
        </is>
      </c>
      <c r="B408" s="1" t="n">
        <v>44750</v>
      </c>
      <c r="C408" s="1" t="n">
        <v>45364</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31117-2022</t>
        </is>
      </c>
      <c r="B409" s="1" t="n">
        <v>44769</v>
      </c>
      <c r="C409" s="1" t="n">
        <v>45364</v>
      </c>
      <c r="D409" t="inlineStr">
        <is>
          <t>NORRBOTTENS LÄN</t>
        </is>
      </c>
      <c r="E409" t="inlineStr">
        <is>
          <t>GÄLLIVARE</t>
        </is>
      </c>
      <c r="G409" t="n">
        <v>2.2</v>
      </c>
      <c r="H409" t="n">
        <v>0</v>
      </c>
      <c r="I409" t="n">
        <v>0</v>
      </c>
      <c r="J409" t="n">
        <v>0</v>
      </c>
      <c r="K409" t="n">
        <v>0</v>
      </c>
      <c r="L409" t="n">
        <v>0</v>
      </c>
      <c r="M409" t="n">
        <v>0</v>
      </c>
      <c r="N409" t="n">
        <v>0</v>
      </c>
      <c r="O409" t="n">
        <v>0</v>
      </c>
      <c r="P409" t="n">
        <v>0</v>
      </c>
      <c r="Q409" t="n">
        <v>0</v>
      </c>
      <c r="R409" s="2" t="inlineStr"/>
    </row>
    <row r="410" ht="15" customHeight="1">
      <c r="A410" t="inlineStr">
        <is>
          <t>A 31634-2022</t>
        </is>
      </c>
      <c r="B410" s="1" t="n">
        <v>44775</v>
      </c>
      <c r="C410" s="1" t="n">
        <v>45364</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32196-2022</t>
        </is>
      </c>
      <c r="B411" s="1" t="n">
        <v>44781</v>
      </c>
      <c r="C411" s="1" t="n">
        <v>45364</v>
      </c>
      <c r="D411" t="inlineStr">
        <is>
          <t>NORRBOTTENS LÄN</t>
        </is>
      </c>
      <c r="E411" t="inlineStr">
        <is>
          <t>GÄLLIVARE</t>
        </is>
      </c>
      <c r="G411" t="n">
        <v>5.2</v>
      </c>
      <c r="H411" t="n">
        <v>0</v>
      </c>
      <c r="I411" t="n">
        <v>0</v>
      </c>
      <c r="J411" t="n">
        <v>0</v>
      </c>
      <c r="K411" t="n">
        <v>0</v>
      </c>
      <c r="L411" t="n">
        <v>0</v>
      </c>
      <c r="M411" t="n">
        <v>0</v>
      </c>
      <c r="N411" t="n">
        <v>0</v>
      </c>
      <c r="O411" t="n">
        <v>0</v>
      </c>
      <c r="P411" t="n">
        <v>0</v>
      </c>
      <c r="Q411" t="n">
        <v>0</v>
      </c>
      <c r="R411" s="2" t="inlineStr"/>
    </row>
    <row r="412" ht="15" customHeight="1">
      <c r="A412" t="inlineStr">
        <is>
          <t>A 32720-2022</t>
        </is>
      </c>
      <c r="B412" s="1" t="n">
        <v>44783</v>
      </c>
      <c r="C412" s="1" t="n">
        <v>45364</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33446-2022</t>
        </is>
      </c>
      <c r="B413" s="1" t="n">
        <v>44788</v>
      </c>
      <c r="C413" s="1" t="n">
        <v>45364</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34318-2022</t>
        </is>
      </c>
      <c r="B414" s="1" t="n">
        <v>44792</v>
      </c>
      <c r="C414" s="1" t="n">
        <v>45364</v>
      </c>
      <c r="D414" t="inlineStr">
        <is>
          <t>NORRBOTTENS LÄN</t>
        </is>
      </c>
      <c r="E414" t="inlineStr">
        <is>
          <t>GÄLLIVARE</t>
        </is>
      </c>
      <c r="G414" t="n">
        <v>13.3</v>
      </c>
      <c r="H414" t="n">
        <v>0</v>
      </c>
      <c r="I414" t="n">
        <v>0</v>
      </c>
      <c r="J414" t="n">
        <v>0</v>
      </c>
      <c r="K414" t="n">
        <v>0</v>
      </c>
      <c r="L414" t="n">
        <v>0</v>
      </c>
      <c r="M414" t="n">
        <v>0</v>
      </c>
      <c r="N414" t="n">
        <v>0</v>
      </c>
      <c r="O414" t="n">
        <v>0</v>
      </c>
      <c r="P414" t="n">
        <v>0</v>
      </c>
      <c r="Q414" t="n">
        <v>0</v>
      </c>
      <c r="R414" s="2" t="inlineStr"/>
    </row>
    <row r="415" ht="15" customHeight="1">
      <c r="A415" t="inlineStr">
        <is>
          <t>A 34671-2022</t>
        </is>
      </c>
      <c r="B415" s="1" t="n">
        <v>44795</v>
      </c>
      <c r="C415" s="1" t="n">
        <v>45364</v>
      </c>
      <c r="D415" t="inlineStr">
        <is>
          <t>NORRBOTTENS LÄN</t>
        </is>
      </c>
      <c r="E415" t="inlineStr">
        <is>
          <t>GÄLLIVARE</t>
        </is>
      </c>
      <c r="F415" t="inlineStr">
        <is>
          <t>Allmännings- och besparingsskogar</t>
        </is>
      </c>
      <c r="G415" t="n">
        <v>20.5</v>
      </c>
      <c r="H415" t="n">
        <v>0</v>
      </c>
      <c r="I415" t="n">
        <v>0</v>
      </c>
      <c r="J415" t="n">
        <v>0</v>
      </c>
      <c r="K415" t="n">
        <v>0</v>
      </c>
      <c r="L415" t="n">
        <v>0</v>
      </c>
      <c r="M415" t="n">
        <v>0</v>
      </c>
      <c r="N415" t="n">
        <v>0</v>
      </c>
      <c r="O415" t="n">
        <v>0</v>
      </c>
      <c r="P415" t="n">
        <v>0</v>
      </c>
      <c r="Q415" t="n">
        <v>0</v>
      </c>
      <c r="R415" s="2" t="inlineStr"/>
    </row>
    <row r="416" ht="15" customHeight="1">
      <c r="A416" t="inlineStr">
        <is>
          <t>A 34674-2022</t>
        </is>
      </c>
      <c r="B416" s="1" t="n">
        <v>44795</v>
      </c>
      <c r="C416" s="1" t="n">
        <v>45364</v>
      </c>
      <c r="D416" t="inlineStr">
        <is>
          <t>NORRBOTTENS LÄN</t>
        </is>
      </c>
      <c r="E416" t="inlineStr">
        <is>
          <t>GÄLLIVARE</t>
        </is>
      </c>
      <c r="F416" t="inlineStr">
        <is>
          <t>Allmännings- och besparingsskogar</t>
        </is>
      </c>
      <c r="G416" t="n">
        <v>96.7</v>
      </c>
      <c r="H416" t="n">
        <v>0</v>
      </c>
      <c r="I416" t="n">
        <v>0</v>
      </c>
      <c r="J416" t="n">
        <v>0</v>
      </c>
      <c r="K416" t="n">
        <v>0</v>
      </c>
      <c r="L416" t="n">
        <v>0</v>
      </c>
      <c r="M416" t="n">
        <v>0</v>
      </c>
      <c r="N416" t="n">
        <v>0</v>
      </c>
      <c r="O416" t="n">
        <v>0</v>
      </c>
      <c r="P416" t="n">
        <v>0</v>
      </c>
      <c r="Q416" t="n">
        <v>0</v>
      </c>
      <c r="R416" s="2" t="inlineStr"/>
    </row>
    <row r="417" ht="15" customHeight="1">
      <c r="A417" t="inlineStr">
        <is>
          <t>A 35317-2022</t>
        </is>
      </c>
      <c r="B417" s="1" t="n">
        <v>44798</v>
      </c>
      <c r="C417" s="1" t="n">
        <v>45364</v>
      </c>
      <c r="D417" t="inlineStr">
        <is>
          <t>NORRBOTTENS LÄN</t>
        </is>
      </c>
      <c r="E417" t="inlineStr">
        <is>
          <t>GÄLLIVARE</t>
        </is>
      </c>
      <c r="F417" t="inlineStr">
        <is>
          <t>Sveaskog</t>
        </is>
      </c>
      <c r="G417" t="n">
        <v>14.9</v>
      </c>
      <c r="H417" t="n">
        <v>0</v>
      </c>
      <c r="I417" t="n">
        <v>0</v>
      </c>
      <c r="J417" t="n">
        <v>0</v>
      </c>
      <c r="K417" t="n">
        <v>0</v>
      </c>
      <c r="L417" t="n">
        <v>0</v>
      </c>
      <c r="M417" t="n">
        <v>0</v>
      </c>
      <c r="N417" t="n">
        <v>0</v>
      </c>
      <c r="O417" t="n">
        <v>0</v>
      </c>
      <c r="P417" t="n">
        <v>0</v>
      </c>
      <c r="Q417" t="n">
        <v>0</v>
      </c>
      <c r="R417" s="2" t="inlineStr"/>
    </row>
    <row r="418" ht="15" customHeight="1">
      <c r="A418" t="inlineStr">
        <is>
          <t>A 35576-2022</t>
        </is>
      </c>
      <c r="B418" s="1" t="n">
        <v>44799</v>
      </c>
      <c r="C418" s="1" t="n">
        <v>45364</v>
      </c>
      <c r="D418" t="inlineStr">
        <is>
          <t>NORRBOTTENS LÄN</t>
        </is>
      </c>
      <c r="E418" t="inlineStr">
        <is>
          <t>GÄLLIVARE</t>
        </is>
      </c>
      <c r="F418" t="inlineStr">
        <is>
          <t>Allmännings- och besparingsskogar</t>
        </is>
      </c>
      <c r="G418" t="n">
        <v>2.3</v>
      </c>
      <c r="H418" t="n">
        <v>0</v>
      </c>
      <c r="I418" t="n">
        <v>0</v>
      </c>
      <c r="J418" t="n">
        <v>0</v>
      </c>
      <c r="K418" t="n">
        <v>0</v>
      </c>
      <c r="L418" t="n">
        <v>0</v>
      </c>
      <c r="M418" t="n">
        <v>0</v>
      </c>
      <c r="N418" t="n">
        <v>0</v>
      </c>
      <c r="O418" t="n">
        <v>0</v>
      </c>
      <c r="P418" t="n">
        <v>0</v>
      </c>
      <c r="Q418" t="n">
        <v>0</v>
      </c>
      <c r="R418" s="2" t="inlineStr"/>
    </row>
    <row r="419" ht="15" customHeight="1">
      <c r="A419" t="inlineStr">
        <is>
          <t>A 35579-2022</t>
        </is>
      </c>
      <c r="B419" s="1" t="n">
        <v>44799</v>
      </c>
      <c r="C419" s="1" t="n">
        <v>45364</v>
      </c>
      <c r="D419" t="inlineStr">
        <is>
          <t>NORRBOTTENS LÄN</t>
        </is>
      </c>
      <c r="E419" t="inlineStr">
        <is>
          <t>GÄLLIVARE</t>
        </is>
      </c>
      <c r="F419" t="inlineStr">
        <is>
          <t>Allmännings- och besparingsskogar</t>
        </is>
      </c>
      <c r="G419" t="n">
        <v>7.9</v>
      </c>
      <c r="H419" t="n">
        <v>0</v>
      </c>
      <c r="I419" t="n">
        <v>0</v>
      </c>
      <c r="J419" t="n">
        <v>0</v>
      </c>
      <c r="K419" t="n">
        <v>0</v>
      </c>
      <c r="L419" t="n">
        <v>0</v>
      </c>
      <c r="M419" t="n">
        <v>0</v>
      </c>
      <c r="N419" t="n">
        <v>0</v>
      </c>
      <c r="O419" t="n">
        <v>0</v>
      </c>
      <c r="P419" t="n">
        <v>0</v>
      </c>
      <c r="Q419" t="n">
        <v>0</v>
      </c>
      <c r="R419" s="2" t="inlineStr"/>
    </row>
    <row r="420" ht="15" customHeight="1">
      <c r="A420" t="inlineStr">
        <is>
          <t>A 36289-2022</t>
        </is>
      </c>
      <c r="B420" s="1" t="n">
        <v>44803</v>
      </c>
      <c r="C420" s="1" t="n">
        <v>45364</v>
      </c>
      <c r="D420" t="inlineStr">
        <is>
          <t>NORRBOTTENS LÄN</t>
        </is>
      </c>
      <c r="E420" t="inlineStr">
        <is>
          <t>GÄLLIVARE</t>
        </is>
      </c>
      <c r="G420" t="n">
        <v>9.6</v>
      </c>
      <c r="H420" t="n">
        <v>0</v>
      </c>
      <c r="I420" t="n">
        <v>0</v>
      </c>
      <c r="J420" t="n">
        <v>0</v>
      </c>
      <c r="K420" t="n">
        <v>0</v>
      </c>
      <c r="L420" t="n">
        <v>0</v>
      </c>
      <c r="M420" t="n">
        <v>0</v>
      </c>
      <c r="N420" t="n">
        <v>0</v>
      </c>
      <c r="O420" t="n">
        <v>0</v>
      </c>
      <c r="P420" t="n">
        <v>0</v>
      </c>
      <c r="Q420" t="n">
        <v>0</v>
      </c>
      <c r="R420" s="2" t="inlineStr"/>
    </row>
    <row r="421" ht="15" customHeight="1">
      <c r="A421" t="inlineStr">
        <is>
          <t>A 39397-2022</t>
        </is>
      </c>
      <c r="B421" s="1" t="n">
        <v>44817</v>
      </c>
      <c r="C421" s="1" t="n">
        <v>45364</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39379-2022</t>
        </is>
      </c>
      <c r="B422" s="1" t="n">
        <v>44818</v>
      </c>
      <c r="C422" s="1" t="n">
        <v>45364</v>
      </c>
      <c r="D422" t="inlineStr">
        <is>
          <t>NORRBOTTENS LÄN</t>
        </is>
      </c>
      <c r="E422" t="inlineStr">
        <is>
          <t>GÄLLIVARE</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39378-2022</t>
        </is>
      </c>
      <c r="B423" s="1" t="n">
        <v>44817</v>
      </c>
      <c r="C423" s="1" t="n">
        <v>45364</v>
      </c>
      <c r="D423" t="inlineStr">
        <is>
          <t>NORRBOTTENS LÄN</t>
        </is>
      </c>
      <c r="E423" t="inlineStr">
        <is>
          <t>GÄLLIVARE</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39377-2022</t>
        </is>
      </c>
      <c r="B424" s="1" t="n">
        <v>44817</v>
      </c>
      <c r="C424" s="1" t="n">
        <v>45364</v>
      </c>
      <c r="D424" t="inlineStr">
        <is>
          <t>NORRBOTTENS LÄN</t>
        </is>
      </c>
      <c r="E424" t="inlineStr">
        <is>
          <t>GÄLLIVARE</t>
        </is>
      </c>
      <c r="F424" t="inlineStr">
        <is>
          <t>SCA</t>
        </is>
      </c>
      <c r="G424" t="n">
        <v>11.8</v>
      </c>
      <c r="H424" t="n">
        <v>0</v>
      </c>
      <c r="I424" t="n">
        <v>0</v>
      </c>
      <c r="J424" t="n">
        <v>0</v>
      </c>
      <c r="K424" t="n">
        <v>0</v>
      </c>
      <c r="L424" t="n">
        <v>0</v>
      </c>
      <c r="M424" t="n">
        <v>0</v>
      </c>
      <c r="N424" t="n">
        <v>0</v>
      </c>
      <c r="O424" t="n">
        <v>0</v>
      </c>
      <c r="P424" t="n">
        <v>0</v>
      </c>
      <c r="Q424" t="n">
        <v>0</v>
      </c>
      <c r="R424" s="2" t="inlineStr"/>
    </row>
    <row r="425" ht="15" customHeight="1">
      <c r="A425" t="inlineStr">
        <is>
          <t>A 39559-2022</t>
        </is>
      </c>
      <c r="B425" s="1" t="n">
        <v>44818</v>
      </c>
      <c r="C425" s="1" t="n">
        <v>45364</v>
      </c>
      <c r="D425" t="inlineStr">
        <is>
          <t>NORRBOTTENS LÄN</t>
        </is>
      </c>
      <c r="E425" t="inlineStr">
        <is>
          <t>GÄLLIVARE</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39958-2022</t>
        </is>
      </c>
      <c r="B426" s="1" t="n">
        <v>44819</v>
      </c>
      <c r="C426" s="1" t="n">
        <v>45364</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40427-2022</t>
        </is>
      </c>
      <c r="B427" s="1" t="n">
        <v>44823</v>
      </c>
      <c r="C427" s="1" t="n">
        <v>45364</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40845-2022</t>
        </is>
      </c>
      <c r="B428" s="1" t="n">
        <v>44824</v>
      </c>
      <c r="C428" s="1" t="n">
        <v>45364</v>
      </c>
      <c r="D428" t="inlineStr">
        <is>
          <t>NORRBOTTENS LÄN</t>
        </is>
      </c>
      <c r="E428" t="inlineStr">
        <is>
          <t>GÄLLIVARE</t>
        </is>
      </c>
      <c r="F428" t="inlineStr">
        <is>
          <t>SCA</t>
        </is>
      </c>
      <c r="G428" t="n">
        <v>30.9</v>
      </c>
      <c r="H428" t="n">
        <v>0</v>
      </c>
      <c r="I428" t="n">
        <v>0</v>
      </c>
      <c r="J428" t="n">
        <v>0</v>
      </c>
      <c r="K428" t="n">
        <v>0</v>
      </c>
      <c r="L428" t="n">
        <v>0</v>
      </c>
      <c r="M428" t="n">
        <v>0</v>
      </c>
      <c r="N428" t="n">
        <v>0</v>
      </c>
      <c r="O428" t="n">
        <v>0</v>
      </c>
      <c r="P428" t="n">
        <v>0</v>
      </c>
      <c r="Q428" t="n">
        <v>0</v>
      </c>
      <c r="R428" s="2" t="inlineStr"/>
    </row>
    <row r="429" ht="15" customHeight="1">
      <c r="A429" t="inlineStr">
        <is>
          <t>A 42278-2022</t>
        </is>
      </c>
      <c r="B429" s="1" t="n">
        <v>44831</v>
      </c>
      <c r="C429" s="1" t="n">
        <v>45364</v>
      </c>
      <c r="D429" t="inlineStr">
        <is>
          <t>NORRBOTTENS LÄN</t>
        </is>
      </c>
      <c r="E429" t="inlineStr">
        <is>
          <t>GÄLLIVARE</t>
        </is>
      </c>
      <c r="F429" t="inlineStr">
        <is>
          <t>SCA</t>
        </is>
      </c>
      <c r="G429" t="n">
        <v>15.2</v>
      </c>
      <c r="H429" t="n">
        <v>0</v>
      </c>
      <c r="I429" t="n">
        <v>0</v>
      </c>
      <c r="J429" t="n">
        <v>0</v>
      </c>
      <c r="K429" t="n">
        <v>0</v>
      </c>
      <c r="L429" t="n">
        <v>0</v>
      </c>
      <c r="M429" t="n">
        <v>0</v>
      </c>
      <c r="N429" t="n">
        <v>0</v>
      </c>
      <c r="O429" t="n">
        <v>0</v>
      </c>
      <c r="P429" t="n">
        <v>0</v>
      </c>
      <c r="Q429" t="n">
        <v>0</v>
      </c>
      <c r="R429" s="2" t="inlineStr"/>
    </row>
    <row r="430" ht="15" customHeight="1">
      <c r="A430" t="inlineStr">
        <is>
          <t>A 42886-2022</t>
        </is>
      </c>
      <c r="B430" s="1" t="n">
        <v>44833</v>
      </c>
      <c r="C430" s="1" t="n">
        <v>45364</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43153-2022</t>
        </is>
      </c>
      <c r="B431" s="1" t="n">
        <v>44834</v>
      </c>
      <c r="C431" s="1" t="n">
        <v>45364</v>
      </c>
      <c r="D431" t="inlineStr">
        <is>
          <t>NORRBOTTENS LÄN</t>
        </is>
      </c>
      <c r="E431" t="inlineStr">
        <is>
          <t>GÄLLIVARE</t>
        </is>
      </c>
      <c r="F431" t="inlineStr">
        <is>
          <t>SCA</t>
        </is>
      </c>
      <c r="G431" t="n">
        <v>22.3</v>
      </c>
      <c r="H431" t="n">
        <v>0</v>
      </c>
      <c r="I431" t="n">
        <v>0</v>
      </c>
      <c r="J431" t="n">
        <v>0</v>
      </c>
      <c r="K431" t="n">
        <v>0</v>
      </c>
      <c r="L431" t="n">
        <v>0</v>
      </c>
      <c r="M431" t="n">
        <v>0</v>
      </c>
      <c r="N431" t="n">
        <v>0</v>
      </c>
      <c r="O431" t="n">
        <v>0</v>
      </c>
      <c r="P431" t="n">
        <v>0</v>
      </c>
      <c r="Q431" t="n">
        <v>0</v>
      </c>
      <c r="R431" s="2" t="inlineStr"/>
    </row>
    <row r="432" ht="15" customHeight="1">
      <c r="A432" t="inlineStr">
        <is>
          <t>A 43154-2022</t>
        </is>
      </c>
      <c r="B432" s="1" t="n">
        <v>44834</v>
      </c>
      <c r="C432" s="1" t="n">
        <v>45364</v>
      </c>
      <c r="D432" t="inlineStr">
        <is>
          <t>NORRBOTTENS LÄN</t>
        </is>
      </c>
      <c r="E432" t="inlineStr">
        <is>
          <t>GÄLLIVARE</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43155-2022</t>
        </is>
      </c>
      <c r="B433" s="1" t="n">
        <v>44834</v>
      </c>
      <c r="C433" s="1" t="n">
        <v>45364</v>
      </c>
      <c r="D433" t="inlineStr">
        <is>
          <t>NORRBOTTENS LÄN</t>
        </is>
      </c>
      <c r="E433" t="inlineStr">
        <is>
          <t>GÄLLIVARE</t>
        </is>
      </c>
      <c r="F433" t="inlineStr">
        <is>
          <t>SCA</t>
        </is>
      </c>
      <c r="G433" t="n">
        <v>10.2</v>
      </c>
      <c r="H433" t="n">
        <v>0</v>
      </c>
      <c r="I433" t="n">
        <v>0</v>
      </c>
      <c r="J433" t="n">
        <v>0</v>
      </c>
      <c r="K433" t="n">
        <v>0</v>
      </c>
      <c r="L433" t="n">
        <v>0</v>
      </c>
      <c r="M433" t="n">
        <v>0</v>
      </c>
      <c r="N433" t="n">
        <v>0</v>
      </c>
      <c r="O433" t="n">
        <v>0</v>
      </c>
      <c r="P433" t="n">
        <v>0</v>
      </c>
      <c r="Q433" t="n">
        <v>0</v>
      </c>
      <c r="R433" s="2" t="inlineStr"/>
    </row>
    <row r="434" ht="15" customHeight="1">
      <c r="A434" t="inlineStr">
        <is>
          <t>A 43159-2022</t>
        </is>
      </c>
      <c r="B434" s="1" t="n">
        <v>44834</v>
      </c>
      <c r="C434" s="1" t="n">
        <v>45364</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43157-2022</t>
        </is>
      </c>
      <c r="B435" s="1" t="n">
        <v>44834</v>
      </c>
      <c r="C435" s="1" t="n">
        <v>45364</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43156-2022</t>
        </is>
      </c>
      <c r="B436" s="1" t="n">
        <v>44834</v>
      </c>
      <c r="C436" s="1" t="n">
        <v>45364</v>
      </c>
      <c r="D436" t="inlineStr">
        <is>
          <t>NORRBOTTENS LÄN</t>
        </is>
      </c>
      <c r="E436" t="inlineStr">
        <is>
          <t>GÄLLIVARE</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44840-2022</t>
        </is>
      </c>
      <c r="B437" s="1" t="n">
        <v>44839</v>
      </c>
      <c r="C437" s="1" t="n">
        <v>45364</v>
      </c>
      <c r="D437" t="inlineStr">
        <is>
          <t>NORRBOTTENS LÄN</t>
        </is>
      </c>
      <c r="E437" t="inlineStr">
        <is>
          <t>GÄLLIVARE</t>
        </is>
      </c>
      <c r="F437" t="inlineStr">
        <is>
          <t>Övriga statliga verk och myndigheter</t>
        </is>
      </c>
      <c r="G437" t="n">
        <v>20.9</v>
      </c>
      <c r="H437" t="n">
        <v>0</v>
      </c>
      <c r="I437" t="n">
        <v>0</v>
      </c>
      <c r="J437" t="n">
        <v>0</v>
      </c>
      <c r="K437" t="n">
        <v>0</v>
      </c>
      <c r="L437" t="n">
        <v>0</v>
      </c>
      <c r="M437" t="n">
        <v>0</v>
      </c>
      <c r="N437" t="n">
        <v>0</v>
      </c>
      <c r="O437" t="n">
        <v>0</v>
      </c>
      <c r="P437" t="n">
        <v>0</v>
      </c>
      <c r="Q437" t="n">
        <v>0</v>
      </c>
      <c r="R437" s="2" t="inlineStr"/>
    </row>
    <row r="438" ht="15" customHeight="1">
      <c r="A438" t="inlineStr">
        <is>
          <t>A 47780-2022</t>
        </is>
      </c>
      <c r="B438" s="1" t="n">
        <v>44854</v>
      </c>
      <c r="C438" s="1" t="n">
        <v>45364</v>
      </c>
      <c r="D438" t="inlineStr">
        <is>
          <t>NORRBOTTENS LÄN</t>
        </is>
      </c>
      <c r="E438" t="inlineStr">
        <is>
          <t>GÄLLIVARE</t>
        </is>
      </c>
      <c r="G438" t="n">
        <v>5.4</v>
      </c>
      <c r="H438" t="n">
        <v>0</v>
      </c>
      <c r="I438" t="n">
        <v>0</v>
      </c>
      <c r="J438" t="n">
        <v>0</v>
      </c>
      <c r="K438" t="n">
        <v>0</v>
      </c>
      <c r="L438" t="n">
        <v>0</v>
      </c>
      <c r="M438" t="n">
        <v>0</v>
      </c>
      <c r="N438" t="n">
        <v>0</v>
      </c>
      <c r="O438" t="n">
        <v>0</v>
      </c>
      <c r="P438" t="n">
        <v>0</v>
      </c>
      <c r="Q438" t="n">
        <v>0</v>
      </c>
      <c r="R438" s="2" t="inlineStr"/>
    </row>
    <row r="439" ht="15" customHeight="1">
      <c r="A439" t="inlineStr">
        <is>
          <t>A 47793-2022</t>
        </is>
      </c>
      <c r="B439" s="1" t="n">
        <v>44854</v>
      </c>
      <c r="C439" s="1" t="n">
        <v>45364</v>
      </c>
      <c r="D439" t="inlineStr">
        <is>
          <t>NORRBOTTENS LÄN</t>
        </is>
      </c>
      <c r="E439" t="inlineStr">
        <is>
          <t>GÄLLIVARE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47795-2022</t>
        </is>
      </c>
      <c r="B440" s="1" t="n">
        <v>44854</v>
      </c>
      <c r="C440" s="1" t="n">
        <v>45364</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47805-2022</t>
        </is>
      </c>
      <c r="B441" s="1" t="n">
        <v>44854</v>
      </c>
      <c r="C441" s="1" t="n">
        <v>45364</v>
      </c>
      <c r="D441" t="inlineStr">
        <is>
          <t>NORRBOTTENS LÄN</t>
        </is>
      </c>
      <c r="E441" t="inlineStr">
        <is>
          <t>GÄLLIVARE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47779-2022</t>
        </is>
      </c>
      <c r="B442" s="1" t="n">
        <v>44854</v>
      </c>
      <c r="C442" s="1" t="n">
        <v>45364</v>
      </c>
      <c r="D442" t="inlineStr">
        <is>
          <t>NORRBOTTENS LÄN</t>
        </is>
      </c>
      <c r="E442" t="inlineStr">
        <is>
          <t>GÄLLIVARE</t>
        </is>
      </c>
      <c r="G442" t="n">
        <v>0.6</v>
      </c>
      <c r="H442" t="n">
        <v>0</v>
      </c>
      <c r="I442" t="n">
        <v>0</v>
      </c>
      <c r="J442" t="n">
        <v>0</v>
      </c>
      <c r="K442" t="n">
        <v>0</v>
      </c>
      <c r="L442" t="n">
        <v>0</v>
      </c>
      <c r="M442" t="n">
        <v>0</v>
      </c>
      <c r="N442" t="n">
        <v>0</v>
      </c>
      <c r="O442" t="n">
        <v>0</v>
      </c>
      <c r="P442" t="n">
        <v>0</v>
      </c>
      <c r="Q442" t="n">
        <v>0</v>
      </c>
      <c r="R442" s="2" t="inlineStr"/>
    </row>
    <row r="443" ht="15" customHeight="1">
      <c r="A443" t="inlineStr">
        <is>
          <t>A 47808-2022</t>
        </is>
      </c>
      <c r="B443" s="1" t="n">
        <v>44854</v>
      </c>
      <c r="C443" s="1" t="n">
        <v>45364</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47796-2022</t>
        </is>
      </c>
      <c r="B444" s="1" t="n">
        <v>44854</v>
      </c>
      <c r="C444" s="1" t="n">
        <v>45364</v>
      </c>
      <c r="D444" t="inlineStr">
        <is>
          <t>NORRBOTTENS LÄN</t>
        </is>
      </c>
      <c r="E444" t="inlineStr">
        <is>
          <t>GÄLLIVARE</t>
        </is>
      </c>
      <c r="F444" t="inlineStr">
        <is>
          <t>SCA</t>
        </is>
      </c>
      <c r="G444" t="n">
        <v>17.9</v>
      </c>
      <c r="H444" t="n">
        <v>0</v>
      </c>
      <c r="I444" t="n">
        <v>0</v>
      </c>
      <c r="J444" t="n">
        <v>0</v>
      </c>
      <c r="K444" t="n">
        <v>0</v>
      </c>
      <c r="L444" t="n">
        <v>0</v>
      </c>
      <c r="M444" t="n">
        <v>0</v>
      </c>
      <c r="N444" t="n">
        <v>0</v>
      </c>
      <c r="O444" t="n">
        <v>0</v>
      </c>
      <c r="P444" t="n">
        <v>0</v>
      </c>
      <c r="Q444" t="n">
        <v>0</v>
      </c>
      <c r="R444" s="2" t="inlineStr"/>
    </row>
    <row r="445" ht="15" customHeight="1">
      <c r="A445" t="inlineStr">
        <is>
          <t>A 47802-2022</t>
        </is>
      </c>
      <c r="B445" s="1" t="n">
        <v>44854</v>
      </c>
      <c r="C445" s="1" t="n">
        <v>45364</v>
      </c>
      <c r="D445" t="inlineStr">
        <is>
          <t>NORRBOTTENS LÄN</t>
        </is>
      </c>
      <c r="E445" t="inlineStr">
        <is>
          <t>GÄLLIVARE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49190-2022</t>
        </is>
      </c>
      <c r="B446" s="1" t="n">
        <v>44861</v>
      </c>
      <c r="C446" s="1" t="n">
        <v>45364</v>
      </c>
      <c r="D446" t="inlineStr">
        <is>
          <t>NORRBOTTENS LÄN</t>
        </is>
      </c>
      <c r="E446" t="inlineStr">
        <is>
          <t>GÄLLIVARE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49326-2022</t>
        </is>
      </c>
      <c r="B447" s="1" t="n">
        <v>44861</v>
      </c>
      <c r="C447" s="1" t="n">
        <v>45364</v>
      </c>
      <c r="D447" t="inlineStr">
        <is>
          <t>NORRBOTTENS LÄN</t>
        </is>
      </c>
      <c r="E447" t="inlineStr">
        <is>
          <t>GÄLLIVARE</t>
        </is>
      </c>
      <c r="F447" t="inlineStr">
        <is>
          <t>Sveaskog</t>
        </is>
      </c>
      <c r="G447" t="n">
        <v>23.3</v>
      </c>
      <c r="H447" t="n">
        <v>0</v>
      </c>
      <c r="I447" t="n">
        <v>0</v>
      </c>
      <c r="J447" t="n">
        <v>0</v>
      </c>
      <c r="K447" t="n">
        <v>0</v>
      </c>
      <c r="L447" t="n">
        <v>0</v>
      </c>
      <c r="M447" t="n">
        <v>0</v>
      </c>
      <c r="N447" t="n">
        <v>0</v>
      </c>
      <c r="O447" t="n">
        <v>0</v>
      </c>
      <c r="P447" t="n">
        <v>0</v>
      </c>
      <c r="Q447" t="n">
        <v>0</v>
      </c>
      <c r="R447" s="2" t="inlineStr"/>
    </row>
    <row r="448" ht="15" customHeight="1">
      <c r="A448" t="inlineStr">
        <is>
          <t>A 49869-2022</t>
        </is>
      </c>
      <c r="B448" s="1" t="n">
        <v>44862</v>
      </c>
      <c r="C448" s="1" t="n">
        <v>45364</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49862-2022</t>
        </is>
      </c>
      <c r="B449" s="1" t="n">
        <v>44862</v>
      </c>
      <c r="C449" s="1" t="n">
        <v>45364</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49870-2022</t>
        </is>
      </c>
      <c r="B450" s="1" t="n">
        <v>44862</v>
      </c>
      <c r="C450" s="1" t="n">
        <v>45364</v>
      </c>
      <c r="D450" t="inlineStr">
        <is>
          <t>NORRBOTTENS LÄN</t>
        </is>
      </c>
      <c r="E450" t="inlineStr">
        <is>
          <t>GÄLLIVARE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50729-2022</t>
        </is>
      </c>
      <c r="B451" s="1" t="n">
        <v>44862</v>
      </c>
      <c r="C451" s="1" t="n">
        <v>45364</v>
      </c>
      <c r="D451" t="inlineStr">
        <is>
          <t>NORRBOTTENS LÄN</t>
        </is>
      </c>
      <c r="E451" t="inlineStr">
        <is>
          <t>GÄLLIVARE</t>
        </is>
      </c>
      <c r="F451" t="inlineStr">
        <is>
          <t>SCA</t>
        </is>
      </c>
      <c r="G451" t="n">
        <v>19.8</v>
      </c>
      <c r="H451" t="n">
        <v>0</v>
      </c>
      <c r="I451" t="n">
        <v>0</v>
      </c>
      <c r="J451" t="n">
        <v>0</v>
      </c>
      <c r="K451" t="n">
        <v>0</v>
      </c>
      <c r="L451" t="n">
        <v>0</v>
      </c>
      <c r="M451" t="n">
        <v>0</v>
      </c>
      <c r="N451" t="n">
        <v>0</v>
      </c>
      <c r="O451" t="n">
        <v>0</v>
      </c>
      <c r="P451" t="n">
        <v>0</v>
      </c>
      <c r="Q451" t="n">
        <v>0</v>
      </c>
      <c r="R451" s="2" t="inlineStr"/>
    </row>
    <row r="452" ht="15" customHeight="1">
      <c r="A452" t="inlineStr">
        <is>
          <t>A 50513-2022</t>
        </is>
      </c>
      <c r="B452" s="1" t="n">
        <v>44866</v>
      </c>
      <c r="C452" s="1" t="n">
        <v>45364</v>
      </c>
      <c r="D452" t="inlineStr">
        <is>
          <t>NORRBOTTENS LÄN</t>
        </is>
      </c>
      <c r="E452" t="inlineStr">
        <is>
          <t>GÄLLIVARE</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45364</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54842-2022</t>
        </is>
      </c>
      <c r="B454" s="1" t="n">
        <v>44883</v>
      </c>
      <c r="C454" s="1" t="n">
        <v>45364</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55221-2022</t>
        </is>
      </c>
      <c r="B455" s="1" t="n">
        <v>44886</v>
      </c>
      <c r="C455" s="1" t="n">
        <v>45364</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55226-2022</t>
        </is>
      </c>
      <c r="B456" s="1" t="n">
        <v>44887</v>
      </c>
      <c r="C456" s="1" t="n">
        <v>45364</v>
      </c>
      <c r="D456" t="inlineStr">
        <is>
          <t>NORRBOTTENS LÄN</t>
        </is>
      </c>
      <c r="E456" t="inlineStr">
        <is>
          <t>GÄLLIVARE</t>
        </is>
      </c>
      <c r="F456" t="inlineStr">
        <is>
          <t>SCA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55223-2022</t>
        </is>
      </c>
      <c r="B457" s="1" t="n">
        <v>44886</v>
      </c>
      <c r="C457" s="1" t="n">
        <v>45364</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55239-2022</t>
        </is>
      </c>
      <c r="B458" s="1" t="n">
        <v>44886</v>
      </c>
      <c r="C458" s="1" t="n">
        <v>45364</v>
      </c>
      <c r="D458" t="inlineStr">
        <is>
          <t>NORRBOTTENS LÄN</t>
        </is>
      </c>
      <c r="E458" t="inlineStr">
        <is>
          <t>GÄLLIVARE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55222-2022</t>
        </is>
      </c>
      <c r="B459" s="1" t="n">
        <v>44887</v>
      </c>
      <c r="C459" s="1" t="n">
        <v>45364</v>
      </c>
      <c r="D459" t="inlineStr">
        <is>
          <t>NORRBOTTENS LÄN</t>
        </is>
      </c>
      <c r="E459" t="inlineStr">
        <is>
          <t>GÄLLIVARE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55220-2022</t>
        </is>
      </c>
      <c r="B460" s="1" t="n">
        <v>44887</v>
      </c>
      <c r="C460" s="1" t="n">
        <v>45364</v>
      </c>
      <c r="D460" t="inlineStr">
        <is>
          <t>NORRBOTTENS LÄN</t>
        </is>
      </c>
      <c r="E460" t="inlineStr">
        <is>
          <t>GÄLLIVARE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55224-2022</t>
        </is>
      </c>
      <c r="B461" s="1" t="n">
        <v>44887</v>
      </c>
      <c r="C461" s="1" t="n">
        <v>45364</v>
      </c>
      <c r="D461" t="inlineStr">
        <is>
          <t>NORRBOTTENS LÄN</t>
        </is>
      </c>
      <c r="E461" t="inlineStr">
        <is>
          <t>GÄLLIVARE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58601-2022</t>
        </is>
      </c>
      <c r="B462" s="1" t="n">
        <v>44895</v>
      </c>
      <c r="C462" s="1" t="n">
        <v>45364</v>
      </c>
      <c r="D462" t="inlineStr">
        <is>
          <t>NORRBOTTENS LÄN</t>
        </is>
      </c>
      <c r="E462" t="inlineStr">
        <is>
          <t>GÄLLIVARE</t>
        </is>
      </c>
      <c r="G462" t="n">
        <v>19.4</v>
      </c>
      <c r="H462" t="n">
        <v>0</v>
      </c>
      <c r="I462" t="n">
        <v>0</v>
      </c>
      <c r="J462" t="n">
        <v>0</v>
      </c>
      <c r="K462" t="n">
        <v>0</v>
      </c>
      <c r="L462" t="n">
        <v>0</v>
      </c>
      <c r="M462" t="n">
        <v>0</v>
      </c>
      <c r="N462" t="n">
        <v>0</v>
      </c>
      <c r="O462" t="n">
        <v>0</v>
      </c>
      <c r="P462" t="n">
        <v>0</v>
      </c>
      <c r="Q462" t="n">
        <v>0</v>
      </c>
      <c r="R462" s="2" t="inlineStr"/>
    </row>
    <row r="463" ht="15" customHeight="1">
      <c r="A463" t="inlineStr">
        <is>
          <t>A 58776-2022</t>
        </is>
      </c>
      <c r="B463" s="1" t="n">
        <v>44895</v>
      </c>
      <c r="C463" s="1" t="n">
        <v>45364</v>
      </c>
      <c r="D463" t="inlineStr">
        <is>
          <t>NORRBOTTENS LÄN</t>
        </is>
      </c>
      <c r="E463" t="inlineStr">
        <is>
          <t>GÄLLIVARE</t>
        </is>
      </c>
      <c r="G463" t="n">
        <v>12.1</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45364</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57833-2022</t>
        </is>
      </c>
      <c r="B465" s="1" t="n">
        <v>44897</v>
      </c>
      <c r="C465" s="1" t="n">
        <v>45364</v>
      </c>
      <c r="D465" t="inlineStr">
        <is>
          <t>NORRBOTTENS LÄN</t>
        </is>
      </c>
      <c r="E465" t="inlineStr">
        <is>
          <t>GÄLLIVARE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58139-2022</t>
        </is>
      </c>
      <c r="B466" s="1" t="n">
        <v>44900</v>
      </c>
      <c r="C466" s="1" t="n">
        <v>45364</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59059-2022</t>
        </is>
      </c>
      <c r="B467" s="1" t="n">
        <v>44904</v>
      </c>
      <c r="C467" s="1" t="n">
        <v>45364</v>
      </c>
      <c r="D467" t="inlineStr">
        <is>
          <t>NORRBOTTENS LÄN</t>
        </is>
      </c>
      <c r="E467" t="inlineStr">
        <is>
          <t>GÄLLIVARE</t>
        </is>
      </c>
      <c r="G467" t="n">
        <v>6.7</v>
      </c>
      <c r="H467" t="n">
        <v>0</v>
      </c>
      <c r="I467" t="n">
        <v>0</v>
      </c>
      <c r="J467" t="n">
        <v>0</v>
      </c>
      <c r="K467" t="n">
        <v>0</v>
      </c>
      <c r="L467" t="n">
        <v>0</v>
      </c>
      <c r="M467" t="n">
        <v>0</v>
      </c>
      <c r="N467" t="n">
        <v>0</v>
      </c>
      <c r="O467" t="n">
        <v>0</v>
      </c>
      <c r="P467" t="n">
        <v>0</v>
      </c>
      <c r="Q467" t="n">
        <v>0</v>
      </c>
      <c r="R467" s="2" t="inlineStr"/>
    </row>
    <row r="468" ht="15" customHeight="1">
      <c r="A468" t="inlineStr">
        <is>
          <t>A 59068-2022</t>
        </is>
      </c>
      <c r="B468" s="1" t="n">
        <v>44904</v>
      </c>
      <c r="C468" s="1" t="n">
        <v>45364</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59172-2022</t>
        </is>
      </c>
      <c r="B469" s="1" t="n">
        <v>44904</v>
      </c>
      <c r="C469" s="1" t="n">
        <v>45364</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59189-2022</t>
        </is>
      </c>
      <c r="B470" s="1" t="n">
        <v>44904</v>
      </c>
      <c r="C470" s="1" t="n">
        <v>45364</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59177-2022</t>
        </is>
      </c>
      <c r="B471" s="1" t="n">
        <v>44904</v>
      </c>
      <c r="C471" s="1" t="n">
        <v>45364</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59194-2022</t>
        </is>
      </c>
      <c r="B472" s="1" t="n">
        <v>44904</v>
      </c>
      <c r="C472" s="1" t="n">
        <v>45364</v>
      </c>
      <c r="D472" t="inlineStr">
        <is>
          <t>NORRBOTTENS LÄN</t>
        </is>
      </c>
      <c r="E472" t="inlineStr">
        <is>
          <t>GÄLLIVARE</t>
        </is>
      </c>
      <c r="G472" t="n">
        <v>3.4</v>
      </c>
      <c r="H472" t="n">
        <v>0</v>
      </c>
      <c r="I472" t="n">
        <v>0</v>
      </c>
      <c r="J472" t="n">
        <v>0</v>
      </c>
      <c r="K472" t="n">
        <v>0</v>
      </c>
      <c r="L472" t="n">
        <v>0</v>
      </c>
      <c r="M472" t="n">
        <v>0</v>
      </c>
      <c r="N472" t="n">
        <v>0</v>
      </c>
      <c r="O472" t="n">
        <v>0</v>
      </c>
      <c r="P472" t="n">
        <v>0</v>
      </c>
      <c r="Q472" t="n">
        <v>0</v>
      </c>
      <c r="R472" s="2" t="inlineStr"/>
    </row>
    <row r="473" ht="15" customHeight="1">
      <c r="A473" t="inlineStr">
        <is>
          <t>A 61679-2022</t>
        </is>
      </c>
      <c r="B473" s="1" t="n">
        <v>44909</v>
      </c>
      <c r="C473" s="1" t="n">
        <v>45364</v>
      </c>
      <c r="D473" t="inlineStr">
        <is>
          <t>NORRBOTTENS LÄN</t>
        </is>
      </c>
      <c r="E473" t="inlineStr">
        <is>
          <t>GÄLLIVARE</t>
        </is>
      </c>
      <c r="G473" t="n">
        <v>5.7</v>
      </c>
      <c r="H473" t="n">
        <v>0</v>
      </c>
      <c r="I473" t="n">
        <v>0</v>
      </c>
      <c r="J473" t="n">
        <v>0</v>
      </c>
      <c r="K473" t="n">
        <v>0</v>
      </c>
      <c r="L473" t="n">
        <v>0</v>
      </c>
      <c r="M473" t="n">
        <v>0</v>
      </c>
      <c r="N473" t="n">
        <v>0</v>
      </c>
      <c r="O473" t="n">
        <v>0</v>
      </c>
      <c r="P473" t="n">
        <v>0</v>
      </c>
      <c r="Q473" t="n">
        <v>0</v>
      </c>
      <c r="R473" s="2" t="inlineStr"/>
    </row>
    <row r="474" ht="15" customHeight="1">
      <c r="A474" t="inlineStr">
        <is>
          <t>A 61795-2022</t>
        </is>
      </c>
      <c r="B474" s="1" t="n">
        <v>44911</v>
      </c>
      <c r="C474" s="1" t="n">
        <v>45364</v>
      </c>
      <c r="D474" t="inlineStr">
        <is>
          <t>NORRBOTTENS LÄN</t>
        </is>
      </c>
      <c r="E474" t="inlineStr">
        <is>
          <t>GÄLLIVARE</t>
        </is>
      </c>
      <c r="G474" t="n">
        <v>2.5</v>
      </c>
      <c r="H474" t="n">
        <v>0</v>
      </c>
      <c r="I474" t="n">
        <v>0</v>
      </c>
      <c r="J474" t="n">
        <v>0</v>
      </c>
      <c r="K474" t="n">
        <v>0</v>
      </c>
      <c r="L474" t="n">
        <v>0</v>
      </c>
      <c r="M474" t="n">
        <v>0</v>
      </c>
      <c r="N474" t="n">
        <v>0</v>
      </c>
      <c r="O474" t="n">
        <v>0</v>
      </c>
      <c r="P474" t="n">
        <v>0</v>
      </c>
      <c r="Q474" t="n">
        <v>0</v>
      </c>
      <c r="R474" s="2" t="inlineStr"/>
    </row>
    <row r="475" ht="15" customHeight="1">
      <c r="A475" t="inlineStr">
        <is>
          <t>A 61644-2022</t>
        </is>
      </c>
      <c r="B475" s="1" t="n">
        <v>44916</v>
      </c>
      <c r="C475" s="1" t="n">
        <v>45364</v>
      </c>
      <c r="D475" t="inlineStr">
        <is>
          <t>NORRBOTTENS LÄN</t>
        </is>
      </c>
      <c r="E475" t="inlineStr">
        <is>
          <t>GÄLLIVARE</t>
        </is>
      </c>
      <c r="G475" t="n">
        <v>0.3</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45364</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62160-2022</t>
        </is>
      </c>
      <c r="B477" s="1" t="n">
        <v>44922</v>
      </c>
      <c r="C477" s="1" t="n">
        <v>45364</v>
      </c>
      <c r="D477" t="inlineStr">
        <is>
          <t>NORRBOTTENS LÄN</t>
        </is>
      </c>
      <c r="E477" t="inlineStr">
        <is>
          <t>GÄLLIVARE</t>
        </is>
      </c>
      <c r="G477" t="n">
        <v>19.6</v>
      </c>
      <c r="H477" t="n">
        <v>0</v>
      </c>
      <c r="I477" t="n">
        <v>0</v>
      </c>
      <c r="J477" t="n">
        <v>0</v>
      </c>
      <c r="K477" t="n">
        <v>0</v>
      </c>
      <c r="L477" t="n">
        <v>0</v>
      </c>
      <c r="M477" t="n">
        <v>0</v>
      </c>
      <c r="N477" t="n">
        <v>0</v>
      </c>
      <c r="O477" t="n">
        <v>0</v>
      </c>
      <c r="P477" t="n">
        <v>0</v>
      </c>
      <c r="Q477" t="n">
        <v>0</v>
      </c>
      <c r="R477" s="2" t="inlineStr"/>
    </row>
    <row r="478" ht="15" customHeight="1">
      <c r="A478" t="inlineStr">
        <is>
          <t>A 62258-2022</t>
        </is>
      </c>
      <c r="B478" s="1" t="n">
        <v>44922</v>
      </c>
      <c r="C478" s="1" t="n">
        <v>45364</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45364</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62580-2022</t>
        </is>
      </c>
      <c r="B480" s="1" t="n">
        <v>44924</v>
      </c>
      <c r="C480" s="1" t="n">
        <v>45364</v>
      </c>
      <c r="D480" t="inlineStr">
        <is>
          <t>NORRBOTTENS LÄN</t>
        </is>
      </c>
      <c r="E480" t="inlineStr">
        <is>
          <t>GÄLLIVARE</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1312-2023</t>
        </is>
      </c>
      <c r="B481" s="1" t="n">
        <v>44931</v>
      </c>
      <c r="C481" s="1" t="n">
        <v>45364</v>
      </c>
      <c r="D481" t="inlineStr">
        <is>
          <t>NORRBOTTENS LÄN</t>
        </is>
      </c>
      <c r="E481" t="inlineStr">
        <is>
          <t>GÄLLIVARE</t>
        </is>
      </c>
      <c r="G481" t="n">
        <v>3.3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45364</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45364</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2237-2023</t>
        </is>
      </c>
      <c r="B484" s="1" t="n">
        <v>44942</v>
      </c>
      <c r="C484" s="1" t="n">
        <v>45364</v>
      </c>
      <c r="D484" t="inlineStr">
        <is>
          <t>NORRBOTTENS LÄN</t>
        </is>
      </c>
      <c r="E484" t="inlineStr">
        <is>
          <t>GÄLLIVARE</t>
        </is>
      </c>
      <c r="G484" t="n">
        <v>7</v>
      </c>
      <c r="H484" t="n">
        <v>0</v>
      </c>
      <c r="I484" t="n">
        <v>0</v>
      </c>
      <c r="J484" t="n">
        <v>0</v>
      </c>
      <c r="K484" t="n">
        <v>0</v>
      </c>
      <c r="L484" t="n">
        <v>0</v>
      </c>
      <c r="M484" t="n">
        <v>0</v>
      </c>
      <c r="N484" t="n">
        <v>0</v>
      </c>
      <c r="O484" t="n">
        <v>0</v>
      </c>
      <c r="P484" t="n">
        <v>0</v>
      </c>
      <c r="Q484" t="n">
        <v>0</v>
      </c>
      <c r="R484" s="2" t="inlineStr"/>
    </row>
    <row r="485" ht="15" customHeight="1">
      <c r="A485" t="inlineStr">
        <is>
          <t>A 2276-2023</t>
        </is>
      </c>
      <c r="B485" s="1" t="n">
        <v>44942</v>
      </c>
      <c r="C485" s="1" t="n">
        <v>45364</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2621-2023</t>
        </is>
      </c>
      <c r="B486" s="1" t="n">
        <v>44942</v>
      </c>
      <c r="C486" s="1" t="n">
        <v>45364</v>
      </c>
      <c r="D486" t="inlineStr">
        <is>
          <t>NORRBOTTENS LÄN</t>
        </is>
      </c>
      <c r="E486" t="inlineStr">
        <is>
          <t>GÄLLIVARE</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4185-2023</t>
        </is>
      </c>
      <c r="B487" s="1" t="n">
        <v>44953</v>
      </c>
      <c r="C487" s="1" t="n">
        <v>45364</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4768-2023</t>
        </is>
      </c>
      <c r="B488" s="1" t="n">
        <v>44953</v>
      </c>
      <c r="C488" s="1" t="n">
        <v>45364</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4756-2023</t>
        </is>
      </c>
      <c r="B489" s="1" t="n">
        <v>44953</v>
      </c>
      <c r="C489" s="1" t="n">
        <v>45364</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4773-2023</t>
        </is>
      </c>
      <c r="B490" s="1" t="n">
        <v>44953</v>
      </c>
      <c r="C490" s="1" t="n">
        <v>45364</v>
      </c>
      <c r="D490" t="inlineStr">
        <is>
          <t>NORRBOTTENS LÄN</t>
        </is>
      </c>
      <c r="E490" t="inlineStr">
        <is>
          <t>GÄLLIVARE</t>
        </is>
      </c>
      <c r="G490" t="n">
        <v>8.6</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45364</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5454-2023</t>
        </is>
      </c>
      <c r="B492" s="1" t="n">
        <v>44959</v>
      </c>
      <c r="C492" s="1" t="n">
        <v>45364</v>
      </c>
      <c r="D492" t="inlineStr">
        <is>
          <t>NORRBOTTENS LÄN</t>
        </is>
      </c>
      <c r="E492" t="inlineStr">
        <is>
          <t>GÄLLIVARE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5456-2023</t>
        </is>
      </c>
      <c r="B493" s="1" t="n">
        <v>44959</v>
      </c>
      <c r="C493" s="1" t="n">
        <v>45364</v>
      </c>
      <c r="D493" t="inlineStr">
        <is>
          <t>NORRBOTTENS LÄN</t>
        </is>
      </c>
      <c r="E493" t="inlineStr">
        <is>
          <t>GÄLLIVARE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5695-2023</t>
        </is>
      </c>
      <c r="B494" s="1" t="n">
        <v>44960</v>
      </c>
      <c r="C494" s="1" t="n">
        <v>45364</v>
      </c>
      <c r="D494" t="inlineStr">
        <is>
          <t>NORRBOTTENS LÄN</t>
        </is>
      </c>
      <c r="E494" t="inlineStr">
        <is>
          <t>GÄLLIVARE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5704-2023</t>
        </is>
      </c>
      <c r="B495" s="1" t="n">
        <v>44960</v>
      </c>
      <c r="C495" s="1" t="n">
        <v>45364</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5708-2023</t>
        </is>
      </c>
      <c r="B496" s="1" t="n">
        <v>44960</v>
      </c>
      <c r="C496" s="1" t="n">
        <v>45364</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5709-2023</t>
        </is>
      </c>
      <c r="B497" s="1" t="n">
        <v>44960</v>
      </c>
      <c r="C497" s="1" t="n">
        <v>45364</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6459-2023</t>
        </is>
      </c>
      <c r="B498" s="1" t="n">
        <v>44965</v>
      </c>
      <c r="C498" s="1" t="n">
        <v>45364</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6783-2023</t>
        </is>
      </c>
      <c r="B499" s="1" t="n">
        <v>44966</v>
      </c>
      <c r="C499" s="1" t="n">
        <v>45364</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6781-2023</t>
        </is>
      </c>
      <c r="B500" s="1" t="n">
        <v>44966</v>
      </c>
      <c r="C500" s="1" t="n">
        <v>45364</v>
      </c>
      <c r="D500" t="inlineStr">
        <is>
          <t>NORRBOTTENS LÄN</t>
        </is>
      </c>
      <c r="E500" t="inlineStr">
        <is>
          <t>GÄLLIVARE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10149-2023</t>
        </is>
      </c>
      <c r="B501" s="1" t="n">
        <v>44980</v>
      </c>
      <c r="C501" s="1" t="n">
        <v>45364</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10183-2023</t>
        </is>
      </c>
      <c r="B502" s="1" t="n">
        <v>44980</v>
      </c>
      <c r="C502" s="1" t="n">
        <v>45364</v>
      </c>
      <c r="D502" t="inlineStr">
        <is>
          <t>NORRBOTTENS LÄN</t>
        </is>
      </c>
      <c r="E502" t="inlineStr">
        <is>
          <t>GÄLLIVARE</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10153-2023</t>
        </is>
      </c>
      <c r="B503" s="1" t="n">
        <v>44980</v>
      </c>
      <c r="C503" s="1" t="n">
        <v>45364</v>
      </c>
      <c r="D503" t="inlineStr">
        <is>
          <t>NORRBOTTENS LÄN</t>
        </is>
      </c>
      <c r="E503" t="inlineStr">
        <is>
          <t>GÄLLIVARE</t>
        </is>
      </c>
      <c r="F503" t="inlineStr">
        <is>
          <t>Allmännings- och besparingsskogar</t>
        </is>
      </c>
      <c r="G503" t="n">
        <v>35.1</v>
      </c>
      <c r="H503" t="n">
        <v>0</v>
      </c>
      <c r="I503" t="n">
        <v>0</v>
      </c>
      <c r="J503" t="n">
        <v>0</v>
      </c>
      <c r="K503" t="n">
        <v>0</v>
      </c>
      <c r="L503" t="n">
        <v>0</v>
      </c>
      <c r="M503" t="n">
        <v>0</v>
      </c>
      <c r="N503" t="n">
        <v>0</v>
      </c>
      <c r="O503" t="n">
        <v>0</v>
      </c>
      <c r="P503" t="n">
        <v>0</v>
      </c>
      <c r="Q503" t="n">
        <v>0</v>
      </c>
      <c r="R503" s="2" t="inlineStr"/>
    </row>
    <row r="504" ht="15" customHeight="1">
      <c r="A504" t="inlineStr">
        <is>
          <t>A 10139-2023</t>
        </is>
      </c>
      <c r="B504" s="1" t="n">
        <v>44980</v>
      </c>
      <c r="C504" s="1" t="n">
        <v>45364</v>
      </c>
      <c r="D504" t="inlineStr">
        <is>
          <t>NORRBOTTENS LÄN</t>
        </is>
      </c>
      <c r="E504" t="inlineStr">
        <is>
          <t>GÄLLIVARE</t>
        </is>
      </c>
      <c r="F504" t="inlineStr">
        <is>
          <t>Allmännings- och besparingsskogar</t>
        </is>
      </c>
      <c r="G504" t="n">
        <v>12.5</v>
      </c>
      <c r="H504" t="n">
        <v>0</v>
      </c>
      <c r="I504" t="n">
        <v>0</v>
      </c>
      <c r="J504" t="n">
        <v>0</v>
      </c>
      <c r="K504" t="n">
        <v>0</v>
      </c>
      <c r="L504" t="n">
        <v>0</v>
      </c>
      <c r="M504" t="n">
        <v>0</v>
      </c>
      <c r="N504" t="n">
        <v>0</v>
      </c>
      <c r="O504" t="n">
        <v>0</v>
      </c>
      <c r="P504" t="n">
        <v>0</v>
      </c>
      <c r="Q504" t="n">
        <v>0</v>
      </c>
      <c r="R504" s="2" t="inlineStr"/>
    </row>
    <row r="505" ht="15" customHeight="1">
      <c r="A505" t="inlineStr">
        <is>
          <t>A 10166-2023</t>
        </is>
      </c>
      <c r="B505" s="1" t="n">
        <v>44980</v>
      </c>
      <c r="C505" s="1" t="n">
        <v>45364</v>
      </c>
      <c r="D505" t="inlineStr">
        <is>
          <t>NORRBOTTENS LÄN</t>
        </is>
      </c>
      <c r="E505" t="inlineStr">
        <is>
          <t>GÄLLIVARE</t>
        </is>
      </c>
      <c r="F505" t="inlineStr">
        <is>
          <t>Allmännings- och besparingsskogar</t>
        </is>
      </c>
      <c r="G505" t="n">
        <v>18.6</v>
      </c>
      <c r="H505" t="n">
        <v>0</v>
      </c>
      <c r="I505" t="n">
        <v>0</v>
      </c>
      <c r="J505" t="n">
        <v>0</v>
      </c>
      <c r="K505" t="n">
        <v>0</v>
      </c>
      <c r="L505" t="n">
        <v>0</v>
      </c>
      <c r="M505" t="n">
        <v>0</v>
      </c>
      <c r="N505" t="n">
        <v>0</v>
      </c>
      <c r="O505" t="n">
        <v>0</v>
      </c>
      <c r="P505" t="n">
        <v>0</v>
      </c>
      <c r="Q505" t="n">
        <v>0</v>
      </c>
      <c r="R505" s="2" t="inlineStr"/>
    </row>
    <row r="506" ht="15" customHeight="1">
      <c r="A506" t="inlineStr">
        <is>
          <t>A 10151-2023</t>
        </is>
      </c>
      <c r="B506" s="1" t="n">
        <v>44980</v>
      </c>
      <c r="C506" s="1" t="n">
        <v>45364</v>
      </c>
      <c r="D506" t="inlineStr">
        <is>
          <t>NORRBOTTENS LÄN</t>
        </is>
      </c>
      <c r="E506" t="inlineStr">
        <is>
          <t>GÄLLIVARE</t>
        </is>
      </c>
      <c r="F506" t="inlineStr">
        <is>
          <t>Allmännings- och besparingsskogar</t>
        </is>
      </c>
      <c r="G506" t="n">
        <v>25.9</v>
      </c>
      <c r="H506" t="n">
        <v>0</v>
      </c>
      <c r="I506" t="n">
        <v>0</v>
      </c>
      <c r="J506" t="n">
        <v>0</v>
      </c>
      <c r="K506" t="n">
        <v>0</v>
      </c>
      <c r="L506" t="n">
        <v>0</v>
      </c>
      <c r="M506" t="n">
        <v>0</v>
      </c>
      <c r="N506" t="n">
        <v>0</v>
      </c>
      <c r="O506" t="n">
        <v>0</v>
      </c>
      <c r="P506" t="n">
        <v>0</v>
      </c>
      <c r="Q506" t="n">
        <v>0</v>
      </c>
      <c r="R506" s="2" t="inlineStr"/>
    </row>
    <row r="507" ht="15" customHeight="1">
      <c r="A507" t="inlineStr">
        <is>
          <t>A 10187-2023</t>
        </is>
      </c>
      <c r="B507" s="1" t="n">
        <v>44980</v>
      </c>
      <c r="C507" s="1" t="n">
        <v>45364</v>
      </c>
      <c r="D507" t="inlineStr">
        <is>
          <t>NORRBOTTENS LÄN</t>
        </is>
      </c>
      <c r="E507" t="inlineStr">
        <is>
          <t>GÄLLIVARE</t>
        </is>
      </c>
      <c r="F507" t="inlineStr">
        <is>
          <t>Allmännings- och besparingsskogar</t>
        </is>
      </c>
      <c r="G507" t="n">
        <v>33.5</v>
      </c>
      <c r="H507" t="n">
        <v>0</v>
      </c>
      <c r="I507" t="n">
        <v>0</v>
      </c>
      <c r="J507" t="n">
        <v>0</v>
      </c>
      <c r="K507" t="n">
        <v>0</v>
      </c>
      <c r="L507" t="n">
        <v>0</v>
      </c>
      <c r="M507" t="n">
        <v>0</v>
      </c>
      <c r="N507" t="n">
        <v>0</v>
      </c>
      <c r="O507" t="n">
        <v>0</v>
      </c>
      <c r="P507" t="n">
        <v>0</v>
      </c>
      <c r="Q507" t="n">
        <v>0</v>
      </c>
      <c r="R507" s="2" t="inlineStr"/>
    </row>
    <row r="508" ht="15" customHeight="1">
      <c r="A508" t="inlineStr">
        <is>
          <t>A 9556-2023</t>
        </is>
      </c>
      <c r="B508" s="1" t="n">
        <v>44981</v>
      </c>
      <c r="C508" s="1" t="n">
        <v>45364</v>
      </c>
      <c r="D508" t="inlineStr">
        <is>
          <t>NORRBOTTENS LÄN</t>
        </is>
      </c>
      <c r="E508" t="inlineStr">
        <is>
          <t>GÄLLIVARE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45364</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11290-2023</t>
        </is>
      </c>
      <c r="B510" s="1" t="n">
        <v>44992</v>
      </c>
      <c r="C510" s="1" t="n">
        <v>45364</v>
      </c>
      <c r="D510" t="inlineStr">
        <is>
          <t>NORRBOTTENS LÄN</t>
        </is>
      </c>
      <c r="E510" t="inlineStr">
        <is>
          <t>GÄLLIVARE</t>
        </is>
      </c>
      <c r="G510" t="n">
        <v>2</v>
      </c>
      <c r="H510" t="n">
        <v>0</v>
      </c>
      <c r="I510" t="n">
        <v>0</v>
      </c>
      <c r="J510" t="n">
        <v>0</v>
      </c>
      <c r="K510" t="n">
        <v>0</v>
      </c>
      <c r="L510" t="n">
        <v>0</v>
      </c>
      <c r="M510" t="n">
        <v>0</v>
      </c>
      <c r="N510" t="n">
        <v>0</v>
      </c>
      <c r="O510" t="n">
        <v>0</v>
      </c>
      <c r="P510" t="n">
        <v>0</v>
      </c>
      <c r="Q510" t="n">
        <v>0</v>
      </c>
      <c r="R510" s="2" t="inlineStr"/>
    </row>
    <row r="511" ht="15" customHeight="1">
      <c r="A511" t="inlineStr">
        <is>
          <t>A 13250-2023</t>
        </is>
      </c>
      <c r="B511" s="1" t="n">
        <v>45002</v>
      </c>
      <c r="C511" s="1" t="n">
        <v>45364</v>
      </c>
      <c r="D511" t="inlineStr">
        <is>
          <t>NORRBOTTENS LÄN</t>
        </is>
      </c>
      <c r="E511" t="inlineStr">
        <is>
          <t>GÄLLIVARE</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13251-2023</t>
        </is>
      </c>
      <c r="B512" s="1" t="n">
        <v>45002</v>
      </c>
      <c r="C512" s="1" t="n">
        <v>45364</v>
      </c>
      <c r="D512" t="inlineStr">
        <is>
          <t>NORRBOTTENS LÄN</t>
        </is>
      </c>
      <c r="E512" t="inlineStr">
        <is>
          <t>GÄLLIVARE</t>
        </is>
      </c>
      <c r="F512" t="inlineStr">
        <is>
          <t>SCA</t>
        </is>
      </c>
      <c r="G512" t="n">
        <v>23.6</v>
      </c>
      <c r="H512" t="n">
        <v>0</v>
      </c>
      <c r="I512" t="n">
        <v>0</v>
      </c>
      <c r="J512" t="n">
        <v>0</v>
      </c>
      <c r="K512" t="n">
        <v>0</v>
      </c>
      <c r="L512" t="n">
        <v>0</v>
      </c>
      <c r="M512" t="n">
        <v>0</v>
      </c>
      <c r="N512" t="n">
        <v>0</v>
      </c>
      <c r="O512" t="n">
        <v>0</v>
      </c>
      <c r="P512" t="n">
        <v>0</v>
      </c>
      <c r="Q512" t="n">
        <v>0</v>
      </c>
      <c r="R512" s="2" t="inlineStr"/>
    </row>
    <row r="513" ht="15" customHeight="1">
      <c r="A513" t="inlineStr">
        <is>
          <t>A 15072-2023</t>
        </is>
      </c>
      <c r="B513" s="1" t="n">
        <v>45015</v>
      </c>
      <c r="C513" s="1" t="n">
        <v>45364</v>
      </c>
      <c r="D513" t="inlineStr">
        <is>
          <t>NORRBOTTENS LÄN</t>
        </is>
      </c>
      <c r="E513" t="inlineStr">
        <is>
          <t>GÄLLIVARE</t>
        </is>
      </c>
      <c r="G513" t="n">
        <v>0.5</v>
      </c>
      <c r="H513" t="n">
        <v>0</v>
      </c>
      <c r="I513" t="n">
        <v>0</v>
      </c>
      <c r="J513" t="n">
        <v>0</v>
      </c>
      <c r="K513" t="n">
        <v>0</v>
      </c>
      <c r="L513" t="n">
        <v>0</v>
      </c>
      <c r="M513" t="n">
        <v>0</v>
      </c>
      <c r="N513" t="n">
        <v>0</v>
      </c>
      <c r="O513" t="n">
        <v>0</v>
      </c>
      <c r="P513" t="n">
        <v>0</v>
      </c>
      <c r="Q513" t="n">
        <v>0</v>
      </c>
      <c r="R513" s="2" t="inlineStr"/>
    </row>
    <row r="514" ht="15" customHeight="1">
      <c r="A514" t="inlineStr">
        <is>
          <t>A 16068-2023</t>
        </is>
      </c>
      <c r="B514" s="1" t="n">
        <v>45027</v>
      </c>
      <c r="C514" s="1" t="n">
        <v>45364</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16754-2023</t>
        </is>
      </c>
      <c r="B515" s="1" t="n">
        <v>45030</v>
      </c>
      <c r="C515" s="1" t="n">
        <v>45364</v>
      </c>
      <c r="D515" t="inlineStr">
        <is>
          <t>NORRBOTTENS LÄN</t>
        </is>
      </c>
      <c r="E515" t="inlineStr">
        <is>
          <t>GÄLLIVARE</t>
        </is>
      </c>
      <c r="G515" t="n">
        <v>9.1</v>
      </c>
      <c r="H515" t="n">
        <v>0</v>
      </c>
      <c r="I515" t="n">
        <v>0</v>
      </c>
      <c r="J515" t="n">
        <v>0</v>
      </c>
      <c r="K515" t="n">
        <v>0</v>
      </c>
      <c r="L515" t="n">
        <v>0</v>
      </c>
      <c r="M515" t="n">
        <v>0</v>
      </c>
      <c r="N515" t="n">
        <v>0</v>
      </c>
      <c r="O515" t="n">
        <v>0</v>
      </c>
      <c r="P515" t="n">
        <v>0</v>
      </c>
      <c r="Q515" t="n">
        <v>0</v>
      </c>
      <c r="R515" s="2" t="inlineStr"/>
    </row>
    <row r="516" ht="15" customHeight="1">
      <c r="A516" t="inlineStr">
        <is>
          <t>A 16973-2023</t>
        </is>
      </c>
      <c r="B516" s="1" t="n">
        <v>45033</v>
      </c>
      <c r="C516" s="1" t="n">
        <v>45364</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16952-2023</t>
        </is>
      </c>
      <c r="B517" s="1" t="n">
        <v>45033</v>
      </c>
      <c r="C517" s="1" t="n">
        <v>45364</v>
      </c>
      <c r="D517" t="inlineStr">
        <is>
          <t>NORRBOTTENS LÄN</t>
        </is>
      </c>
      <c r="E517" t="inlineStr">
        <is>
          <t>GÄLLIVARE</t>
        </is>
      </c>
      <c r="G517" t="n">
        <v>0.5</v>
      </c>
      <c r="H517" t="n">
        <v>0</v>
      </c>
      <c r="I517" t="n">
        <v>0</v>
      </c>
      <c r="J517" t="n">
        <v>0</v>
      </c>
      <c r="K517" t="n">
        <v>0</v>
      </c>
      <c r="L517" t="n">
        <v>0</v>
      </c>
      <c r="M517" t="n">
        <v>0</v>
      </c>
      <c r="N517" t="n">
        <v>0</v>
      </c>
      <c r="O517" t="n">
        <v>0</v>
      </c>
      <c r="P517" t="n">
        <v>0</v>
      </c>
      <c r="Q517" t="n">
        <v>0</v>
      </c>
      <c r="R517" s="2" t="inlineStr"/>
    </row>
    <row r="518" ht="15" customHeight="1">
      <c r="A518" t="inlineStr">
        <is>
          <t>A 19619-2023</t>
        </is>
      </c>
      <c r="B518" s="1" t="n">
        <v>45050</v>
      </c>
      <c r="C518" s="1" t="n">
        <v>45364</v>
      </c>
      <c r="D518" t="inlineStr">
        <is>
          <t>NORRBOTTENS LÄN</t>
        </is>
      </c>
      <c r="E518" t="inlineStr">
        <is>
          <t>GÄLLIVARE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20126-2023</t>
        </is>
      </c>
      <c r="B519" s="1" t="n">
        <v>45051</v>
      </c>
      <c r="C519" s="1" t="n">
        <v>45364</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21159-2023</t>
        </is>
      </c>
      <c r="B520" s="1" t="n">
        <v>45062</v>
      </c>
      <c r="C520" s="1" t="n">
        <v>45364</v>
      </c>
      <c r="D520" t="inlineStr">
        <is>
          <t>NORRBOTTENS LÄN</t>
        </is>
      </c>
      <c r="E520" t="inlineStr">
        <is>
          <t>GÄLLIVARE</t>
        </is>
      </c>
      <c r="F520" t="inlineStr">
        <is>
          <t>Sveaskog</t>
        </is>
      </c>
      <c r="G520" t="n">
        <v>111</v>
      </c>
      <c r="H520" t="n">
        <v>0</v>
      </c>
      <c r="I520" t="n">
        <v>0</v>
      </c>
      <c r="J520" t="n">
        <v>0</v>
      </c>
      <c r="K520" t="n">
        <v>0</v>
      </c>
      <c r="L520" t="n">
        <v>0</v>
      </c>
      <c r="M520" t="n">
        <v>0</v>
      </c>
      <c r="N520" t="n">
        <v>0</v>
      </c>
      <c r="O520" t="n">
        <v>0</v>
      </c>
      <c r="P520" t="n">
        <v>0</v>
      </c>
      <c r="Q520" t="n">
        <v>0</v>
      </c>
      <c r="R520" s="2" t="inlineStr"/>
    </row>
    <row r="521" ht="15" customHeight="1">
      <c r="A521" t="inlineStr">
        <is>
          <t>A 21556-2023</t>
        </is>
      </c>
      <c r="B521" s="1" t="n">
        <v>45063</v>
      </c>
      <c r="C521" s="1" t="n">
        <v>45364</v>
      </c>
      <c r="D521" t="inlineStr">
        <is>
          <t>NORRBOTTENS LÄN</t>
        </is>
      </c>
      <c r="E521" t="inlineStr">
        <is>
          <t>GÄLLIVARE</t>
        </is>
      </c>
      <c r="G521" t="n">
        <v>6.8</v>
      </c>
      <c r="H521" t="n">
        <v>0</v>
      </c>
      <c r="I521" t="n">
        <v>0</v>
      </c>
      <c r="J521" t="n">
        <v>0</v>
      </c>
      <c r="K521" t="n">
        <v>0</v>
      </c>
      <c r="L521" t="n">
        <v>0</v>
      </c>
      <c r="M521" t="n">
        <v>0</v>
      </c>
      <c r="N521" t="n">
        <v>0</v>
      </c>
      <c r="O521" t="n">
        <v>0</v>
      </c>
      <c r="P521" t="n">
        <v>0</v>
      </c>
      <c r="Q521" t="n">
        <v>0</v>
      </c>
      <c r="R521" s="2" t="inlineStr"/>
    </row>
    <row r="522" ht="15" customHeight="1">
      <c r="A522" t="inlineStr">
        <is>
          <t>A 21785-2023</t>
        </is>
      </c>
      <c r="B522" s="1" t="n">
        <v>45065</v>
      </c>
      <c r="C522" s="1" t="n">
        <v>45364</v>
      </c>
      <c r="D522" t="inlineStr">
        <is>
          <t>NORRBOTTENS LÄN</t>
        </is>
      </c>
      <c r="E522" t="inlineStr">
        <is>
          <t>GÄLLIVARE</t>
        </is>
      </c>
      <c r="G522" t="n">
        <v>22.4</v>
      </c>
      <c r="H522" t="n">
        <v>0</v>
      </c>
      <c r="I522" t="n">
        <v>0</v>
      </c>
      <c r="J522" t="n">
        <v>0</v>
      </c>
      <c r="K522" t="n">
        <v>0</v>
      </c>
      <c r="L522" t="n">
        <v>0</v>
      </c>
      <c r="M522" t="n">
        <v>0</v>
      </c>
      <c r="N522" t="n">
        <v>0</v>
      </c>
      <c r="O522" t="n">
        <v>0</v>
      </c>
      <c r="P522" t="n">
        <v>0</v>
      </c>
      <c r="Q522" t="n">
        <v>0</v>
      </c>
      <c r="R522" s="2" t="inlineStr"/>
    </row>
    <row r="523" ht="15" customHeight="1">
      <c r="A523" t="inlineStr">
        <is>
          <t>A 22744-2023</t>
        </is>
      </c>
      <c r="B523" s="1" t="n">
        <v>45072</v>
      </c>
      <c r="C523" s="1" t="n">
        <v>45364</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22743-2023</t>
        </is>
      </c>
      <c r="B524" s="1" t="n">
        <v>45072</v>
      </c>
      <c r="C524" s="1" t="n">
        <v>45364</v>
      </c>
      <c r="D524" t="inlineStr">
        <is>
          <t>NORRBOTTENS LÄN</t>
        </is>
      </c>
      <c r="E524" t="inlineStr">
        <is>
          <t>GÄLLIVARE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23489-2023</t>
        </is>
      </c>
      <c r="B525" s="1" t="n">
        <v>45072</v>
      </c>
      <c r="C525" s="1" t="n">
        <v>45364</v>
      </c>
      <c r="D525" t="inlineStr">
        <is>
          <t>NORRBOTTENS LÄN</t>
        </is>
      </c>
      <c r="E525" t="inlineStr">
        <is>
          <t>GÄLLIVARE</t>
        </is>
      </c>
      <c r="G525" t="n">
        <v>4.2</v>
      </c>
      <c r="H525" t="n">
        <v>0</v>
      </c>
      <c r="I525" t="n">
        <v>0</v>
      </c>
      <c r="J525" t="n">
        <v>0</v>
      </c>
      <c r="K525" t="n">
        <v>0</v>
      </c>
      <c r="L525" t="n">
        <v>0</v>
      </c>
      <c r="M525" t="n">
        <v>0</v>
      </c>
      <c r="N525" t="n">
        <v>0</v>
      </c>
      <c r="O525" t="n">
        <v>0</v>
      </c>
      <c r="P525" t="n">
        <v>0</v>
      </c>
      <c r="Q525" t="n">
        <v>0</v>
      </c>
      <c r="R525" s="2" t="inlineStr"/>
    </row>
    <row r="526" ht="15" customHeight="1">
      <c r="A526" t="inlineStr">
        <is>
          <t>A 23774-2023</t>
        </is>
      </c>
      <c r="B526" s="1" t="n">
        <v>45077</v>
      </c>
      <c r="C526" s="1" t="n">
        <v>45364</v>
      </c>
      <c r="D526" t="inlineStr">
        <is>
          <t>NORRBOTTENS LÄN</t>
        </is>
      </c>
      <c r="E526" t="inlineStr">
        <is>
          <t>GÄLLIVARE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24094-2023</t>
        </is>
      </c>
      <c r="B527" s="1" t="n">
        <v>45079</v>
      </c>
      <c r="C527" s="1" t="n">
        <v>45364</v>
      </c>
      <c r="D527" t="inlineStr">
        <is>
          <t>NORRBOTTENS LÄN</t>
        </is>
      </c>
      <c r="E527" t="inlineStr">
        <is>
          <t>GÄLLIVARE</t>
        </is>
      </c>
      <c r="G527" t="n">
        <v>3.6</v>
      </c>
      <c r="H527" t="n">
        <v>0</v>
      </c>
      <c r="I527" t="n">
        <v>0</v>
      </c>
      <c r="J527" t="n">
        <v>0</v>
      </c>
      <c r="K527" t="n">
        <v>0</v>
      </c>
      <c r="L527" t="n">
        <v>0</v>
      </c>
      <c r="M527" t="n">
        <v>0</v>
      </c>
      <c r="N527" t="n">
        <v>0</v>
      </c>
      <c r="O527" t="n">
        <v>0</v>
      </c>
      <c r="P527" t="n">
        <v>0</v>
      </c>
      <c r="Q527" t="n">
        <v>0</v>
      </c>
      <c r="R527" s="2" t="inlineStr"/>
    </row>
    <row r="528" ht="15" customHeight="1">
      <c r="A528" t="inlineStr">
        <is>
          <t>A 24117-2023</t>
        </is>
      </c>
      <c r="B528" s="1" t="n">
        <v>45079</v>
      </c>
      <c r="C528" s="1" t="n">
        <v>45364</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25197-2023</t>
        </is>
      </c>
      <c r="B529" s="1" t="n">
        <v>45086</v>
      </c>
      <c r="C529" s="1" t="n">
        <v>45364</v>
      </c>
      <c r="D529" t="inlineStr">
        <is>
          <t>NORRBOTTENS LÄN</t>
        </is>
      </c>
      <c r="E529" t="inlineStr">
        <is>
          <t>GÄLLIVARE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25195-2023</t>
        </is>
      </c>
      <c r="B530" s="1" t="n">
        <v>45086</v>
      </c>
      <c r="C530" s="1" t="n">
        <v>45364</v>
      </c>
      <c r="D530" t="inlineStr">
        <is>
          <t>NORRBOTTENS LÄN</t>
        </is>
      </c>
      <c r="E530" t="inlineStr">
        <is>
          <t>GÄLLIVARE</t>
        </is>
      </c>
      <c r="F530" t="inlineStr">
        <is>
          <t>Sveaskog</t>
        </is>
      </c>
      <c r="G530" t="n">
        <v>6.1</v>
      </c>
      <c r="H530" t="n">
        <v>0</v>
      </c>
      <c r="I530" t="n">
        <v>0</v>
      </c>
      <c r="J530" t="n">
        <v>0</v>
      </c>
      <c r="K530" t="n">
        <v>0</v>
      </c>
      <c r="L530" t="n">
        <v>0</v>
      </c>
      <c r="M530" t="n">
        <v>0</v>
      </c>
      <c r="N530" t="n">
        <v>0</v>
      </c>
      <c r="O530" t="n">
        <v>0</v>
      </c>
      <c r="P530" t="n">
        <v>0</v>
      </c>
      <c r="Q530" t="n">
        <v>0</v>
      </c>
      <c r="R530" s="2" t="inlineStr"/>
    </row>
    <row r="531" ht="15" customHeight="1">
      <c r="A531" t="inlineStr">
        <is>
          <t>A 25191-2023</t>
        </is>
      </c>
      <c r="B531" s="1" t="n">
        <v>45086</v>
      </c>
      <c r="C531" s="1" t="n">
        <v>45364</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25681-2023</t>
        </is>
      </c>
      <c r="B532" s="1" t="n">
        <v>45089</v>
      </c>
      <c r="C532" s="1" t="n">
        <v>45364</v>
      </c>
      <c r="D532" t="inlineStr">
        <is>
          <t>NORRBOTTENS LÄN</t>
        </is>
      </c>
      <c r="E532" t="inlineStr">
        <is>
          <t>GÄLLIVARE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28600-2023</t>
        </is>
      </c>
      <c r="B533" s="1" t="n">
        <v>45096</v>
      </c>
      <c r="C533" s="1" t="n">
        <v>45364</v>
      </c>
      <c r="D533" t="inlineStr">
        <is>
          <t>NORRBOTTENS LÄN</t>
        </is>
      </c>
      <c r="E533" t="inlineStr">
        <is>
          <t>GÄLLIVARE</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28646-2023</t>
        </is>
      </c>
      <c r="B534" s="1" t="n">
        <v>45096</v>
      </c>
      <c r="C534" s="1" t="n">
        <v>45364</v>
      </c>
      <c r="D534" t="inlineStr">
        <is>
          <t>NORRBOTTENS LÄN</t>
        </is>
      </c>
      <c r="E534" t="inlineStr">
        <is>
          <t>GÄLLIVARE</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28619-2023</t>
        </is>
      </c>
      <c r="B535" s="1" t="n">
        <v>45096</v>
      </c>
      <c r="C535" s="1" t="n">
        <v>45364</v>
      </c>
      <c r="D535" t="inlineStr">
        <is>
          <t>NORRBOTTENS LÄN</t>
        </is>
      </c>
      <c r="E535" t="inlineStr">
        <is>
          <t>GÄLLIVARE</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28624-2023</t>
        </is>
      </c>
      <c r="B536" s="1" t="n">
        <v>45096</v>
      </c>
      <c r="C536" s="1" t="n">
        <v>45364</v>
      </c>
      <c r="D536" t="inlineStr">
        <is>
          <t>NORRBOTTENS LÄN</t>
        </is>
      </c>
      <c r="E536" t="inlineStr">
        <is>
          <t>GÄLLIVARE</t>
        </is>
      </c>
      <c r="F536" t="inlineStr">
        <is>
          <t>Allmännings- och besparingsskogar</t>
        </is>
      </c>
      <c r="G536" t="n">
        <v>44.7</v>
      </c>
      <c r="H536" t="n">
        <v>0</v>
      </c>
      <c r="I536" t="n">
        <v>0</v>
      </c>
      <c r="J536" t="n">
        <v>0</v>
      </c>
      <c r="K536" t="n">
        <v>0</v>
      </c>
      <c r="L536" t="n">
        <v>0</v>
      </c>
      <c r="M536" t="n">
        <v>0</v>
      </c>
      <c r="N536" t="n">
        <v>0</v>
      </c>
      <c r="O536" t="n">
        <v>0</v>
      </c>
      <c r="P536" t="n">
        <v>0</v>
      </c>
      <c r="Q536" t="n">
        <v>0</v>
      </c>
      <c r="R536" s="2" t="inlineStr"/>
    </row>
    <row r="537" ht="15" customHeight="1">
      <c r="A537" t="inlineStr">
        <is>
          <t>A 28177-2023</t>
        </is>
      </c>
      <c r="B537" s="1" t="n">
        <v>45099</v>
      </c>
      <c r="C537" s="1" t="n">
        <v>45364</v>
      </c>
      <c r="D537" t="inlineStr">
        <is>
          <t>NORRBOTTENS LÄN</t>
        </is>
      </c>
      <c r="E537" t="inlineStr">
        <is>
          <t>GÄLLIVARE</t>
        </is>
      </c>
      <c r="G537" t="n">
        <v>3.2</v>
      </c>
      <c r="H537" t="n">
        <v>0</v>
      </c>
      <c r="I537" t="n">
        <v>0</v>
      </c>
      <c r="J537" t="n">
        <v>0</v>
      </c>
      <c r="K537" t="n">
        <v>0</v>
      </c>
      <c r="L537" t="n">
        <v>0</v>
      </c>
      <c r="M537" t="n">
        <v>0</v>
      </c>
      <c r="N537" t="n">
        <v>0</v>
      </c>
      <c r="O537" t="n">
        <v>0</v>
      </c>
      <c r="P537" t="n">
        <v>0</v>
      </c>
      <c r="Q537" t="n">
        <v>0</v>
      </c>
      <c r="R537" s="2" t="inlineStr"/>
    </row>
    <row r="538" ht="15" customHeight="1">
      <c r="A538" t="inlineStr">
        <is>
          <t>A 30765-2023</t>
        </is>
      </c>
      <c r="B538" s="1" t="n">
        <v>45103</v>
      </c>
      <c r="C538" s="1" t="n">
        <v>45364</v>
      </c>
      <c r="D538" t="inlineStr">
        <is>
          <t>NORRBOTTENS LÄN</t>
        </is>
      </c>
      <c r="E538" t="inlineStr">
        <is>
          <t>GÄLLIVARE</t>
        </is>
      </c>
      <c r="F538" t="inlineStr">
        <is>
          <t>Allmännings- och besparingsskogar</t>
        </is>
      </c>
      <c r="G538" t="n">
        <v>10.8</v>
      </c>
      <c r="H538" t="n">
        <v>0</v>
      </c>
      <c r="I538" t="n">
        <v>0</v>
      </c>
      <c r="J538" t="n">
        <v>0</v>
      </c>
      <c r="K538" t="n">
        <v>0</v>
      </c>
      <c r="L538" t="n">
        <v>0</v>
      </c>
      <c r="M538" t="n">
        <v>0</v>
      </c>
      <c r="N538" t="n">
        <v>0</v>
      </c>
      <c r="O538" t="n">
        <v>0</v>
      </c>
      <c r="P538" t="n">
        <v>0</v>
      </c>
      <c r="Q538" t="n">
        <v>0</v>
      </c>
      <c r="R538" s="2" t="inlineStr"/>
    </row>
    <row r="539" ht="15" customHeight="1">
      <c r="A539" t="inlineStr">
        <is>
          <t>A 28837-2023</t>
        </is>
      </c>
      <c r="B539" s="1" t="n">
        <v>45104</v>
      </c>
      <c r="C539" s="1" t="n">
        <v>45364</v>
      </c>
      <c r="D539" t="inlineStr">
        <is>
          <t>NORRBOTTENS LÄN</t>
        </is>
      </c>
      <c r="E539" t="inlineStr">
        <is>
          <t>GÄLLIVARE</t>
        </is>
      </c>
      <c r="F539" t="inlineStr">
        <is>
          <t>Sveaskog</t>
        </is>
      </c>
      <c r="G539" t="n">
        <v>22.4</v>
      </c>
      <c r="H539" t="n">
        <v>0</v>
      </c>
      <c r="I539" t="n">
        <v>0</v>
      </c>
      <c r="J539" t="n">
        <v>0</v>
      </c>
      <c r="K539" t="n">
        <v>0</v>
      </c>
      <c r="L539" t="n">
        <v>0</v>
      </c>
      <c r="M539" t="n">
        <v>0</v>
      </c>
      <c r="N539" t="n">
        <v>0</v>
      </c>
      <c r="O539" t="n">
        <v>0</v>
      </c>
      <c r="P539" t="n">
        <v>0</v>
      </c>
      <c r="Q539" t="n">
        <v>0</v>
      </c>
      <c r="R539" s="2" t="inlineStr"/>
    </row>
    <row r="540" ht="15" customHeight="1">
      <c r="A540" t="inlineStr">
        <is>
          <t>A 29634-2023</t>
        </is>
      </c>
      <c r="B540" s="1" t="n">
        <v>45107</v>
      </c>
      <c r="C540" s="1" t="n">
        <v>45364</v>
      </c>
      <c r="D540" t="inlineStr">
        <is>
          <t>NORRBOTTENS LÄN</t>
        </is>
      </c>
      <c r="E540" t="inlineStr">
        <is>
          <t>GÄLLIVARE</t>
        </is>
      </c>
      <c r="F540" t="inlineStr">
        <is>
          <t>SCA</t>
        </is>
      </c>
      <c r="G540" t="n">
        <v>12.1</v>
      </c>
      <c r="H540" t="n">
        <v>0</v>
      </c>
      <c r="I540" t="n">
        <v>0</v>
      </c>
      <c r="J540" t="n">
        <v>0</v>
      </c>
      <c r="K540" t="n">
        <v>0</v>
      </c>
      <c r="L540" t="n">
        <v>0</v>
      </c>
      <c r="M540" t="n">
        <v>0</v>
      </c>
      <c r="N540" t="n">
        <v>0</v>
      </c>
      <c r="O540" t="n">
        <v>0</v>
      </c>
      <c r="P540" t="n">
        <v>0</v>
      </c>
      <c r="Q540" t="n">
        <v>0</v>
      </c>
      <c r="R540" s="2" t="inlineStr"/>
    </row>
    <row r="541" ht="15" customHeight="1">
      <c r="A541" t="inlineStr">
        <is>
          <t>A 30020-2023</t>
        </is>
      </c>
      <c r="B541" s="1" t="n">
        <v>45110</v>
      </c>
      <c r="C541" s="1" t="n">
        <v>45364</v>
      </c>
      <c r="D541" t="inlineStr">
        <is>
          <t>NORRBOTTENS LÄN</t>
        </is>
      </c>
      <c r="E541" t="inlineStr">
        <is>
          <t>GÄLLIVARE</t>
        </is>
      </c>
      <c r="F541" t="inlineStr">
        <is>
          <t>Sveaskog</t>
        </is>
      </c>
      <c r="G541" t="n">
        <v>19.6</v>
      </c>
      <c r="H541" t="n">
        <v>0</v>
      </c>
      <c r="I541" t="n">
        <v>0</v>
      </c>
      <c r="J541" t="n">
        <v>0</v>
      </c>
      <c r="K541" t="n">
        <v>0</v>
      </c>
      <c r="L541" t="n">
        <v>0</v>
      </c>
      <c r="M541" t="n">
        <v>0</v>
      </c>
      <c r="N541" t="n">
        <v>0</v>
      </c>
      <c r="O541" t="n">
        <v>0</v>
      </c>
      <c r="P541" t="n">
        <v>0</v>
      </c>
      <c r="Q541" t="n">
        <v>0</v>
      </c>
      <c r="R541" s="2" t="inlineStr"/>
    </row>
    <row r="542" ht="15" customHeight="1">
      <c r="A542" t="inlineStr">
        <is>
          <t>A 30026-2023</t>
        </is>
      </c>
      <c r="B542" s="1" t="n">
        <v>45110</v>
      </c>
      <c r="C542" s="1" t="n">
        <v>45364</v>
      </c>
      <c r="D542" t="inlineStr">
        <is>
          <t>NORRBOTTENS LÄN</t>
        </is>
      </c>
      <c r="E542" t="inlineStr">
        <is>
          <t>GÄLLIVARE</t>
        </is>
      </c>
      <c r="F542" t="inlineStr">
        <is>
          <t>Sveaskog</t>
        </is>
      </c>
      <c r="G542" t="n">
        <v>13.1</v>
      </c>
      <c r="H542" t="n">
        <v>0</v>
      </c>
      <c r="I542" t="n">
        <v>0</v>
      </c>
      <c r="J542" t="n">
        <v>0</v>
      </c>
      <c r="K542" t="n">
        <v>0</v>
      </c>
      <c r="L542" t="n">
        <v>0</v>
      </c>
      <c r="M542" t="n">
        <v>0</v>
      </c>
      <c r="N542" t="n">
        <v>0</v>
      </c>
      <c r="O542" t="n">
        <v>0</v>
      </c>
      <c r="P542" t="n">
        <v>0</v>
      </c>
      <c r="Q542" t="n">
        <v>0</v>
      </c>
      <c r="R542" s="2" t="inlineStr"/>
    </row>
    <row r="543" ht="15" customHeight="1">
      <c r="A543" t="inlineStr">
        <is>
          <t>A 30384-2023</t>
        </is>
      </c>
      <c r="B543" s="1" t="n">
        <v>45111</v>
      </c>
      <c r="C543" s="1" t="n">
        <v>45364</v>
      </c>
      <c r="D543" t="inlineStr">
        <is>
          <t>NORRBOTTENS LÄN</t>
        </is>
      </c>
      <c r="E543" t="inlineStr">
        <is>
          <t>GÄLLIVARE</t>
        </is>
      </c>
      <c r="G543" t="n">
        <v>1.6</v>
      </c>
      <c r="H543" t="n">
        <v>0</v>
      </c>
      <c r="I543" t="n">
        <v>0</v>
      </c>
      <c r="J543" t="n">
        <v>0</v>
      </c>
      <c r="K543" t="n">
        <v>0</v>
      </c>
      <c r="L543" t="n">
        <v>0</v>
      </c>
      <c r="M543" t="n">
        <v>0</v>
      </c>
      <c r="N543" t="n">
        <v>0</v>
      </c>
      <c r="O543" t="n">
        <v>0</v>
      </c>
      <c r="P543" t="n">
        <v>0</v>
      </c>
      <c r="Q543" t="n">
        <v>0</v>
      </c>
      <c r="R543" s="2" t="inlineStr"/>
    </row>
    <row r="544" ht="15" customHeight="1">
      <c r="A544" t="inlineStr">
        <is>
          <t>A 30383-2023</t>
        </is>
      </c>
      <c r="B544" s="1" t="n">
        <v>45111</v>
      </c>
      <c r="C544" s="1" t="n">
        <v>45364</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45364</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30851-2023</t>
        </is>
      </c>
      <c r="B546" s="1" t="n">
        <v>45112</v>
      </c>
      <c r="C546" s="1" t="n">
        <v>45364</v>
      </c>
      <c r="D546" t="inlineStr">
        <is>
          <t>NORRBOTTENS LÄN</t>
        </is>
      </c>
      <c r="E546" t="inlineStr">
        <is>
          <t>GÄLLIVARE</t>
        </is>
      </c>
      <c r="F546" t="inlineStr">
        <is>
          <t>SCA</t>
        </is>
      </c>
      <c r="G546" t="n">
        <v>28.4</v>
      </c>
      <c r="H546" t="n">
        <v>0</v>
      </c>
      <c r="I546" t="n">
        <v>0</v>
      </c>
      <c r="J546" t="n">
        <v>0</v>
      </c>
      <c r="K546" t="n">
        <v>0</v>
      </c>
      <c r="L546" t="n">
        <v>0</v>
      </c>
      <c r="M546" t="n">
        <v>0</v>
      </c>
      <c r="N546" t="n">
        <v>0</v>
      </c>
      <c r="O546" t="n">
        <v>0</v>
      </c>
      <c r="P546" t="n">
        <v>0</v>
      </c>
      <c r="Q546" t="n">
        <v>0</v>
      </c>
      <c r="R546" s="2" t="inlineStr"/>
    </row>
    <row r="547" ht="15" customHeight="1">
      <c r="A547" t="inlineStr">
        <is>
          <t>A 33382-2023</t>
        </is>
      </c>
      <c r="B547" s="1" t="n">
        <v>45117</v>
      </c>
      <c r="C547" s="1" t="n">
        <v>45364</v>
      </c>
      <c r="D547" t="inlineStr">
        <is>
          <t>NORRBOTTENS LÄN</t>
        </is>
      </c>
      <c r="E547" t="inlineStr">
        <is>
          <t>GÄLLIVARE</t>
        </is>
      </c>
      <c r="F547" t="inlineStr">
        <is>
          <t>Allmännings- och besparingsskogar</t>
        </is>
      </c>
      <c r="G547" t="n">
        <v>9.1</v>
      </c>
      <c r="H547" t="n">
        <v>0</v>
      </c>
      <c r="I547" t="n">
        <v>0</v>
      </c>
      <c r="J547" t="n">
        <v>0</v>
      </c>
      <c r="K547" t="n">
        <v>0</v>
      </c>
      <c r="L547" t="n">
        <v>0</v>
      </c>
      <c r="M547" t="n">
        <v>0</v>
      </c>
      <c r="N547" t="n">
        <v>0</v>
      </c>
      <c r="O547" t="n">
        <v>0</v>
      </c>
      <c r="P547" t="n">
        <v>0</v>
      </c>
      <c r="Q547" t="n">
        <v>0</v>
      </c>
      <c r="R547" s="2" t="inlineStr"/>
    </row>
    <row r="548" ht="15" customHeight="1">
      <c r="A548" t="inlineStr">
        <is>
          <t>A 33373-2023</t>
        </is>
      </c>
      <c r="B548" s="1" t="n">
        <v>45117</v>
      </c>
      <c r="C548" s="1" t="n">
        <v>45364</v>
      </c>
      <c r="D548" t="inlineStr">
        <is>
          <t>NORRBOTTENS LÄN</t>
        </is>
      </c>
      <c r="E548" t="inlineStr">
        <is>
          <t>GÄLLIVARE</t>
        </is>
      </c>
      <c r="F548" t="inlineStr">
        <is>
          <t>Allmännings- och besparingsskogar</t>
        </is>
      </c>
      <c r="G548" t="n">
        <v>3</v>
      </c>
      <c r="H548" t="n">
        <v>0</v>
      </c>
      <c r="I548" t="n">
        <v>0</v>
      </c>
      <c r="J548" t="n">
        <v>0</v>
      </c>
      <c r="K548" t="n">
        <v>0</v>
      </c>
      <c r="L548" t="n">
        <v>0</v>
      </c>
      <c r="M548" t="n">
        <v>0</v>
      </c>
      <c r="N548" t="n">
        <v>0</v>
      </c>
      <c r="O548" t="n">
        <v>0</v>
      </c>
      <c r="P548" t="n">
        <v>0</v>
      </c>
      <c r="Q548" t="n">
        <v>0</v>
      </c>
      <c r="R548" s="2" t="inlineStr"/>
    </row>
    <row r="549" ht="15" customHeight="1">
      <c r="A549" t="inlineStr">
        <is>
          <t>A 33392-2023</t>
        </is>
      </c>
      <c r="B549" s="1" t="n">
        <v>45117</v>
      </c>
      <c r="C549" s="1" t="n">
        <v>45364</v>
      </c>
      <c r="D549" t="inlineStr">
        <is>
          <t>NORRBOTTENS LÄN</t>
        </is>
      </c>
      <c r="E549" t="inlineStr">
        <is>
          <t>GÄLLIVARE</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33390-2023</t>
        </is>
      </c>
      <c r="B550" s="1" t="n">
        <v>45117</v>
      </c>
      <c r="C550" s="1" t="n">
        <v>45364</v>
      </c>
      <c r="D550" t="inlineStr">
        <is>
          <t>NORRBOTTENS LÄN</t>
        </is>
      </c>
      <c r="E550" t="inlineStr">
        <is>
          <t>GÄLLIVARE</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33847-2023</t>
        </is>
      </c>
      <c r="B551" s="1" t="n">
        <v>45121</v>
      </c>
      <c r="C551" s="1" t="n">
        <v>45364</v>
      </c>
      <c r="D551" t="inlineStr">
        <is>
          <t>NORRBOTTENS LÄN</t>
        </is>
      </c>
      <c r="E551" t="inlineStr">
        <is>
          <t>GÄLLIVARE</t>
        </is>
      </c>
      <c r="F551" t="inlineStr">
        <is>
          <t>Övriga statliga verk och myndigheter</t>
        </is>
      </c>
      <c r="G551" t="n">
        <v>3</v>
      </c>
      <c r="H551" t="n">
        <v>0</v>
      </c>
      <c r="I551" t="n">
        <v>0</v>
      </c>
      <c r="J551" t="n">
        <v>0</v>
      </c>
      <c r="K551" t="n">
        <v>0</v>
      </c>
      <c r="L551" t="n">
        <v>0</v>
      </c>
      <c r="M551" t="n">
        <v>0</v>
      </c>
      <c r="N551" t="n">
        <v>0</v>
      </c>
      <c r="O551" t="n">
        <v>0</v>
      </c>
      <c r="P551" t="n">
        <v>0</v>
      </c>
      <c r="Q551" t="n">
        <v>0</v>
      </c>
      <c r="R551" s="2" t="inlineStr"/>
    </row>
    <row r="552" ht="15" customHeight="1">
      <c r="A552" t="inlineStr">
        <is>
          <t>A 33182-2023</t>
        </is>
      </c>
      <c r="B552" s="1" t="n">
        <v>45127</v>
      </c>
      <c r="C552" s="1" t="n">
        <v>45364</v>
      </c>
      <c r="D552" t="inlineStr">
        <is>
          <t>NORRBOTTENS LÄN</t>
        </is>
      </c>
      <c r="E552" t="inlineStr">
        <is>
          <t>GÄLLIVARE</t>
        </is>
      </c>
      <c r="F552" t="inlineStr">
        <is>
          <t>Sveaskog</t>
        </is>
      </c>
      <c r="G552" t="n">
        <v>40.3</v>
      </c>
      <c r="H552" t="n">
        <v>0</v>
      </c>
      <c r="I552" t="n">
        <v>0</v>
      </c>
      <c r="J552" t="n">
        <v>0</v>
      </c>
      <c r="K552" t="n">
        <v>0</v>
      </c>
      <c r="L552" t="n">
        <v>0</v>
      </c>
      <c r="M552" t="n">
        <v>0</v>
      </c>
      <c r="N552" t="n">
        <v>0</v>
      </c>
      <c r="O552" t="n">
        <v>0</v>
      </c>
      <c r="P552" t="n">
        <v>0</v>
      </c>
      <c r="Q552" t="n">
        <v>0</v>
      </c>
      <c r="R552" s="2" t="inlineStr"/>
    </row>
    <row r="553" ht="15" customHeight="1">
      <c r="A553" t="inlineStr">
        <is>
          <t>A 34139-2023</t>
        </is>
      </c>
      <c r="B553" s="1" t="n">
        <v>45136</v>
      </c>
      <c r="C553" s="1" t="n">
        <v>45364</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34173-2023</t>
        </is>
      </c>
      <c r="B554" s="1" t="n">
        <v>45138</v>
      </c>
      <c r="C554" s="1" t="n">
        <v>45364</v>
      </c>
      <c r="D554" t="inlineStr">
        <is>
          <t>NORRBOTTENS LÄN</t>
        </is>
      </c>
      <c r="E554" t="inlineStr">
        <is>
          <t>GÄLLIVARE</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34625-2023</t>
        </is>
      </c>
      <c r="B555" s="1" t="n">
        <v>45140</v>
      </c>
      <c r="C555" s="1" t="n">
        <v>45364</v>
      </c>
      <c r="D555" t="inlineStr">
        <is>
          <t>NORRBOTTENS LÄN</t>
        </is>
      </c>
      <c r="E555" t="inlineStr">
        <is>
          <t>GÄLLIVARE</t>
        </is>
      </c>
      <c r="F555" t="inlineStr">
        <is>
          <t>Sveaskog</t>
        </is>
      </c>
      <c r="G555" t="n">
        <v>22.6</v>
      </c>
      <c r="H555" t="n">
        <v>0</v>
      </c>
      <c r="I555" t="n">
        <v>0</v>
      </c>
      <c r="J555" t="n">
        <v>0</v>
      </c>
      <c r="K555" t="n">
        <v>0</v>
      </c>
      <c r="L555" t="n">
        <v>0</v>
      </c>
      <c r="M555" t="n">
        <v>0</v>
      </c>
      <c r="N555" t="n">
        <v>0</v>
      </c>
      <c r="O555" t="n">
        <v>0</v>
      </c>
      <c r="P555" t="n">
        <v>0</v>
      </c>
      <c r="Q555" t="n">
        <v>0</v>
      </c>
      <c r="R555" s="2" t="inlineStr"/>
    </row>
    <row r="556" ht="15" customHeight="1">
      <c r="A556" t="inlineStr">
        <is>
          <t>A 34622-2023</t>
        </is>
      </c>
      <c r="B556" s="1" t="n">
        <v>45140</v>
      </c>
      <c r="C556" s="1" t="n">
        <v>45364</v>
      </c>
      <c r="D556" t="inlineStr">
        <is>
          <t>NORRBOTTENS LÄN</t>
        </is>
      </c>
      <c r="E556" t="inlineStr">
        <is>
          <t>GÄLLIVARE</t>
        </is>
      </c>
      <c r="F556" t="inlineStr">
        <is>
          <t>Sveaskog</t>
        </is>
      </c>
      <c r="G556" t="n">
        <v>31.4</v>
      </c>
      <c r="H556" t="n">
        <v>0</v>
      </c>
      <c r="I556" t="n">
        <v>0</v>
      </c>
      <c r="J556" t="n">
        <v>0</v>
      </c>
      <c r="K556" t="n">
        <v>0</v>
      </c>
      <c r="L556" t="n">
        <v>0</v>
      </c>
      <c r="M556" t="n">
        <v>0</v>
      </c>
      <c r="N556" t="n">
        <v>0</v>
      </c>
      <c r="O556" t="n">
        <v>0</v>
      </c>
      <c r="P556" t="n">
        <v>0</v>
      </c>
      <c r="Q556" t="n">
        <v>0</v>
      </c>
      <c r="R556" s="2" t="inlineStr"/>
    </row>
    <row r="557" ht="15" customHeight="1">
      <c r="A557" t="inlineStr">
        <is>
          <t>A 34900-2023</t>
        </is>
      </c>
      <c r="B557" s="1" t="n">
        <v>45142</v>
      </c>
      <c r="C557" s="1" t="n">
        <v>45364</v>
      </c>
      <c r="D557" t="inlineStr">
        <is>
          <t>NORRBOTTENS LÄN</t>
        </is>
      </c>
      <c r="E557" t="inlineStr">
        <is>
          <t>GÄLLIVARE</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35362-2023</t>
        </is>
      </c>
      <c r="B558" s="1" t="n">
        <v>45146</v>
      </c>
      <c r="C558" s="1" t="n">
        <v>45364</v>
      </c>
      <c r="D558" t="inlineStr">
        <is>
          <t>NORRBOTTENS LÄN</t>
        </is>
      </c>
      <c r="E558" t="inlineStr">
        <is>
          <t>GÄLLIVARE</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35730-2023</t>
        </is>
      </c>
      <c r="B559" s="1" t="n">
        <v>45147</v>
      </c>
      <c r="C559" s="1" t="n">
        <v>45364</v>
      </c>
      <c r="D559" t="inlineStr">
        <is>
          <t>NORRBOTTENS LÄN</t>
        </is>
      </c>
      <c r="E559" t="inlineStr">
        <is>
          <t>GÄLLIVARE</t>
        </is>
      </c>
      <c r="G559" t="n">
        <v>0.4</v>
      </c>
      <c r="H559" t="n">
        <v>0</v>
      </c>
      <c r="I559" t="n">
        <v>0</v>
      </c>
      <c r="J559" t="n">
        <v>0</v>
      </c>
      <c r="K559" t="n">
        <v>0</v>
      </c>
      <c r="L559" t="n">
        <v>0</v>
      </c>
      <c r="M559" t="n">
        <v>0</v>
      </c>
      <c r="N559" t="n">
        <v>0</v>
      </c>
      <c r="O559" t="n">
        <v>0</v>
      </c>
      <c r="P559" t="n">
        <v>0</v>
      </c>
      <c r="Q559" t="n">
        <v>0</v>
      </c>
      <c r="R559" s="2" t="inlineStr"/>
    </row>
    <row r="560" ht="15" customHeight="1">
      <c r="A560" t="inlineStr">
        <is>
          <t>A 36014-2023</t>
        </is>
      </c>
      <c r="B560" s="1" t="n">
        <v>45148</v>
      </c>
      <c r="C560" s="1" t="n">
        <v>45364</v>
      </c>
      <c r="D560" t="inlineStr">
        <is>
          <t>NORRBOTTENS LÄN</t>
        </is>
      </c>
      <c r="E560" t="inlineStr">
        <is>
          <t>GÄLLIVARE</t>
        </is>
      </c>
      <c r="F560" t="inlineStr">
        <is>
          <t>Allmännings- och besparingsskogar</t>
        </is>
      </c>
      <c r="G560" t="n">
        <v>9.9</v>
      </c>
      <c r="H560" t="n">
        <v>0</v>
      </c>
      <c r="I560" t="n">
        <v>0</v>
      </c>
      <c r="J560" t="n">
        <v>0</v>
      </c>
      <c r="K560" t="n">
        <v>0</v>
      </c>
      <c r="L560" t="n">
        <v>0</v>
      </c>
      <c r="M560" t="n">
        <v>0</v>
      </c>
      <c r="N560" t="n">
        <v>0</v>
      </c>
      <c r="O560" t="n">
        <v>0</v>
      </c>
      <c r="P560" t="n">
        <v>0</v>
      </c>
      <c r="Q560" t="n">
        <v>0</v>
      </c>
      <c r="R560" s="2" t="inlineStr"/>
    </row>
    <row r="561" ht="15" customHeight="1">
      <c r="A561" t="inlineStr">
        <is>
          <t>A 36039-2023</t>
        </is>
      </c>
      <c r="B561" s="1" t="n">
        <v>45148</v>
      </c>
      <c r="C561" s="1" t="n">
        <v>45364</v>
      </c>
      <c r="D561" t="inlineStr">
        <is>
          <t>NORRBOTTENS LÄN</t>
        </is>
      </c>
      <c r="E561" t="inlineStr">
        <is>
          <t>GÄLLIVARE</t>
        </is>
      </c>
      <c r="F561" t="inlineStr">
        <is>
          <t>Allmännings- och besparingsskogar</t>
        </is>
      </c>
      <c r="G561" t="n">
        <v>24.3</v>
      </c>
      <c r="H561" t="n">
        <v>0</v>
      </c>
      <c r="I561" t="n">
        <v>0</v>
      </c>
      <c r="J561" t="n">
        <v>0</v>
      </c>
      <c r="K561" t="n">
        <v>0</v>
      </c>
      <c r="L561" t="n">
        <v>0</v>
      </c>
      <c r="M561" t="n">
        <v>0</v>
      </c>
      <c r="N561" t="n">
        <v>0</v>
      </c>
      <c r="O561" t="n">
        <v>0</v>
      </c>
      <c r="P561" t="n">
        <v>0</v>
      </c>
      <c r="Q561" t="n">
        <v>0</v>
      </c>
      <c r="R561" s="2" t="inlineStr"/>
    </row>
    <row r="562" ht="15" customHeight="1">
      <c r="A562" t="inlineStr">
        <is>
          <t>A 36245-2023</t>
        </is>
      </c>
      <c r="B562" s="1" t="n">
        <v>45150</v>
      </c>
      <c r="C562" s="1" t="n">
        <v>45364</v>
      </c>
      <c r="D562" t="inlineStr">
        <is>
          <t>NORRBOTTENS LÄN</t>
        </is>
      </c>
      <c r="E562" t="inlineStr">
        <is>
          <t>GÄLLIVARE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45151</v>
      </c>
      <c r="C563" s="1" t="n">
        <v>45364</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36242-2023</t>
        </is>
      </c>
      <c r="B564" s="1" t="n">
        <v>45150</v>
      </c>
      <c r="C564" s="1" t="n">
        <v>45364</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36247-2023</t>
        </is>
      </c>
      <c r="B565" s="1" t="n">
        <v>45151</v>
      </c>
      <c r="C565" s="1" t="n">
        <v>45364</v>
      </c>
      <c r="D565" t="inlineStr">
        <is>
          <t>NORRBOTTENS LÄN</t>
        </is>
      </c>
      <c r="E565" t="inlineStr">
        <is>
          <t>GÄLLIVARE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36251-2023</t>
        </is>
      </c>
      <c r="B566" s="1" t="n">
        <v>45151</v>
      </c>
      <c r="C566" s="1" t="n">
        <v>45364</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36244-2023</t>
        </is>
      </c>
      <c r="B567" s="1" t="n">
        <v>45150</v>
      </c>
      <c r="C567" s="1" t="n">
        <v>45364</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36246-2023</t>
        </is>
      </c>
      <c r="B568" s="1" t="n">
        <v>45150</v>
      </c>
      <c r="C568" s="1" t="n">
        <v>45364</v>
      </c>
      <c r="D568" t="inlineStr">
        <is>
          <t>NORRBOTTENS LÄN</t>
        </is>
      </c>
      <c r="E568" t="inlineStr">
        <is>
          <t>GÄLLIVARE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36250-2023</t>
        </is>
      </c>
      <c r="B569" s="1" t="n">
        <v>45151</v>
      </c>
      <c r="C569" s="1" t="n">
        <v>45364</v>
      </c>
      <c r="D569" t="inlineStr">
        <is>
          <t>NORRBOTTENS LÄN</t>
        </is>
      </c>
      <c r="E569" t="inlineStr">
        <is>
          <t>GÄLLIVARE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36322-2023</t>
        </is>
      </c>
      <c r="B570" s="1" t="n">
        <v>45152</v>
      </c>
      <c r="C570" s="1" t="n">
        <v>45364</v>
      </c>
      <c r="D570" t="inlineStr">
        <is>
          <t>NORRBOTTENS LÄN</t>
        </is>
      </c>
      <c r="E570" t="inlineStr">
        <is>
          <t>GÄLLIVARE</t>
        </is>
      </c>
      <c r="F570" t="inlineStr">
        <is>
          <t>Allmännings- och besparingsskogar</t>
        </is>
      </c>
      <c r="G570" t="n">
        <v>36.8</v>
      </c>
      <c r="H570" t="n">
        <v>0</v>
      </c>
      <c r="I570" t="n">
        <v>0</v>
      </c>
      <c r="J570" t="n">
        <v>0</v>
      </c>
      <c r="K570" t="n">
        <v>0</v>
      </c>
      <c r="L570" t="n">
        <v>0</v>
      </c>
      <c r="M570" t="n">
        <v>0</v>
      </c>
      <c r="N570" t="n">
        <v>0</v>
      </c>
      <c r="O570" t="n">
        <v>0</v>
      </c>
      <c r="P570" t="n">
        <v>0</v>
      </c>
      <c r="Q570" t="n">
        <v>0</v>
      </c>
      <c r="R570" s="2" t="inlineStr"/>
    </row>
    <row r="571" ht="15" customHeight="1">
      <c r="A571" t="inlineStr">
        <is>
          <t>A 36587-2023</t>
        </is>
      </c>
      <c r="B571" s="1" t="n">
        <v>45153</v>
      </c>
      <c r="C571" s="1" t="n">
        <v>45364</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36612-2023</t>
        </is>
      </c>
      <c r="B572" s="1" t="n">
        <v>45153</v>
      </c>
      <c r="C572" s="1" t="n">
        <v>45364</v>
      </c>
      <c r="D572" t="inlineStr">
        <is>
          <t>NORRBOTTENS LÄN</t>
        </is>
      </c>
      <c r="E572" t="inlineStr">
        <is>
          <t>GÄLLIVARE</t>
        </is>
      </c>
      <c r="F572" t="inlineStr">
        <is>
          <t>Sveaskog</t>
        </is>
      </c>
      <c r="G572" t="n">
        <v>27.5</v>
      </c>
      <c r="H572" t="n">
        <v>0</v>
      </c>
      <c r="I572" t="n">
        <v>0</v>
      </c>
      <c r="J572" t="n">
        <v>0</v>
      </c>
      <c r="K572" t="n">
        <v>0</v>
      </c>
      <c r="L572" t="n">
        <v>0</v>
      </c>
      <c r="M572" t="n">
        <v>0</v>
      </c>
      <c r="N572" t="n">
        <v>0</v>
      </c>
      <c r="O572" t="n">
        <v>0</v>
      </c>
      <c r="P572" t="n">
        <v>0</v>
      </c>
      <c r="Q572" t="n">
        <v>0</v>
      </c>
      <c r="R572" s="2" t="inlineStr"/>
    </row>
    <row r="573" ht="15" customHeight="1">
      <c r="A573" t="inlineStr">
        <is>
          <t>A 36591-2023</t>
        </is>
      </c>
      <c r="B573" s="1" t="n">
        <v>45153</v>
      </c>
      <c r="C573" s="1" t="n">
        <v>45364</v>
      </c>
      <c r="D573" t="inlineStr">
        <is>
          <t>NORRBOTTENS LÄN</t>
        </is>
      </c>
      <c r="E573" t="inlineStr">
        <is>
          <t>GÄLLIVARE</t>
        </is>
      </c>
      <c r="F573" t="inlineStr">
        <is>
          <t>Sveaskog</t>
        </is>
      </c>
      <c r="G573" t="n">
        <v>8.5</v>
      </c>
      <c r="H573" t="n">
        <v>0</v>
      </c>
      <c r="I573" t="n">
        <v>0</v>
      </c>
      <c r="J573" t="n">
        <v>0</v>
      </c>
      <c r="K573" t="n">
        <v>0</v>
      </c>
      <c r="L573" t="n">
        <v>0</v>
      </c>
      <c r="M573" t="n">
        <v>0</v>
      </c>
      <c r="N573" t="n">
        <v>0</v>
      </c>
      <c r="O573" t="n">
        <v>0</v>
      </c>
      <c r="P573" t="n">
        <v>0</v>
      </c>
      <c r="Q573" t="n">
        <v>0</v>
      </c>
      <c r="R573" s="2" t="inlineStr"/>
    </row>
    <row r="574" ht="15" customHeight="1">
      <c r="A574" t="inlineStr">
        <is>
          <t>A 36602-2023</t>
        </is>
      </c>
      <c r="B574" s="1" t="n">
        <v>45153</v>
      </c>
      <c r="C574" s="1" t="n">
        <v>45364</v>
      </c>
      <c r="D574" t="inlineStr">
        <is>
          <t>NORRBOTTENS LÄN</t>
        </is>
      </c>
      <c r="E574" t="inlineStr">
        <is>
          <t>GÄLLIVARE</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36881-2023</t>
        </is>
      </c>
      <c r="B575" s="1" t="n">
        <v>45154</v>
      </c>
      <c r="C575" s="1" t="n">
        <v>45364</v>
      </c>
      <c r="D575" t="inlineStr">
        <is>
          <t>NORRBOTTENS LÄN</t>
        </is>
      </c>
      <c r="E575" t="inlineStr">
        <is>
          <t>GÄLLIVARE</t>
        </is>
      </c>
      <c r="G575" t="n">
        <v>3.8</v>
      </c>
      <c r="H575" t="n">
        <v>0</v>
      </c>
      <c r="I575" t="n">
        <v>0</v>
      </c>
      <c r="J575" t="n">
        <v>0</v>
      </c>
      <c r="K575" t="n">
        <v>0</v>
      </c>
      <c r="L575" t="n">
        <v>0</v>
      </c>
      <c r="M575" t="n">
        <v>0</v>
      </c>
      <c r="N575" t="n">
        <v>0</v>
      </c>
      <c r="O575" t="n">
        <v>0</v>
      </c>
      <c r="P575" t="n">
        <v>0</v>
      </c>
      <c r="Q575" t="n">
        <v>0</v>
      </c>
      <c r="R575" s="2" t="inlineStr"/>
    </row>
    <row r="576" ht="15" customHeight="1">
      <c r="A576" t="inlineStr">
        <is>
          <t>A 36969-2023</t>
        </is>
      </c>
      <c r="B576" s="1" t="n">
        <v>45155</v>
      </c>
      <c r="C576" s="1" t="n">
        <v>45364</v>
      </c>
      <c r="D576" t="inlineStr">
        <is>
          <t>NORRBOTTENS LÄN</t>
        </is>
      </c>
      <c r="E576" t="inlineStr">
        <is>
          <t>GÄLLIVARE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36980-2023</t>
        </is>
      </c>
      <c r="B577" s="1" t="n">
        <v>45155</v>
      </c>
      <c r="C577" s="1" t="n">
        <v>45364</v>
      </c>
      <c r="D577" t="inlineStr">
        <is>
          <t>NORRBOTTENS LÄN</t>
        </is>
      </c>
      <c r="E577" t="inlineStr">
        <is>
          <t>GÄLLIVARE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36981-2023</t>
        </is>
      </c>
      <c r="B578" s="1" t="n">
        <v>45154</v>
      </c>
      <c r="C578" s="1" t="n">
        <v>45364</v>
      </c>
      <c r="D578" t="inlineStr">
        <is>
          <t>NORRBOTTENS LÄN</t>
        </is>
      </c>
      <c r="E578" t="inlineStr">
        <is>
          <t>GÄLLIVARE</t>
        </is>
      </c>
      <c r="F578" t="inlineStr">
        <is>
          <t>SCA</t>
        </is>
      </c>
      <c r="G578" t="n">
        <v>18.9</v>
      </c>
      <c r="H578" t="n">
        <v>0</v>
      </c>
      <c r="I578" t="n">
        <v>0</v>
      </c>
      <c r="J578" t="n">
        <v>0</v>
      </c>
      <c r="K578" t="n">
        <v>0</v>
      </c>
      <c r="L578" t="n">
        <v>0</v>
      </c>
      <c r="M578" t="n">
        <v>0</v>
      </c>
      <c r="N578" t="n">
        <v>0</v>
      </c>
      <c r="O578" t="n">
        <v>0</v>
      </c>
      <c r="P578" t="n">
        <v>0</v>
      </c>
      <c r="Q578" t="n">
        <v>0</v>
      </c>
      <c r="R578" s="2" t="inlineStr"/>
    </row>
    <row r="579" ht="15" customHeight="1">
      <c r="A579" t="inlineStr">
        <is>
          <t>A 36984-2023</t>
        </is>
      </c>
      <c r="B579" s="1" t="n">
        <v>45155</v>
      </c>
      <c r="C579" s="1" t="n">
        <v>45364</v>
      </c>
      <c r="D579" t="inlineStr">
        <is>
          <t>NORRBOTTENS LÄN</t>
        </is>
      </c>
      <c r="E579" t="inlineStr">
        <is>
          <t>GÄLLIVARE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36978-2023</t>
        </is>
      </c>
      <c r="B580" s="1" t="n">
        <v>45155</v>
      </c>
      <c r="C580" s="1" t="n">
        <v>45364</v>
      </c>
      <c r="D580" t="inlineStr">
        <is>
          <t>NORRBOTTENS LÄN</t>
        </is>
      </c>
      <c r="E580" t="inlineStr">
        <is>
          <t>GÄLLIVARE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36979-2023</t>
        </is>
      </c>
      <c r="B581" s="1" t="n">
        <v>45155</v>
      </c>
      <c r="C581" s="1" t="n">
        <v>45364</v>
      </c>
      <c r="D581" t="inlineStr">
        <is>
          <t>NORRBOTTENS LÄN</t>
        </is>
      </c>
      <c r="E581" t="inlineStr">
        <is>
          <t>GÄLLIVARE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36983-2023</t>
        </is>
      </c>
      <c r="B582" s="1" t="n">
        <v>45155</v>
      </c>
      <c r="C582" s="1" t="n">
        <v>45364</v>
      </c>
      <c r="D582" t="inlineStr">
        <is>
          <t>NORRBOTTENS LÄN</t>
        </is>
      </c>
      <c r="E582" t="inlineStr">
        <is>
          <t>GÄLLIVARE</t>
        </is>
      </c>
      <c r="F582" t="inlineStr">
        <is>
          <t>SCA</t>
        </is>
      </c>
      <c r="G582" t="n">
        <v>8</v>
      </c>
      <c r="H582" t="n">
        <v>0</v>
      </c>
      <c r="I582" t="n">
        <v>0</v>
      </c>
      <c r="J582" t="n">
        <v>0</v>
      </c>
      <c r="K582" t="n">
        <v>0</v>
      </c>
      <c r="L582" t="n">
        <v>0</v>
      </c>
      <c r="M582" t="n">
        <v>0</v>
      </c>
      <c r="N582" t="n">
        <v>0</v>
      </c>
      <c r="O582" t="n">
        <v>0</v>
      </c>
      <c r="P582" t="n">
        <v>0</v>
      </c>
      <c r="Q582" t="n">
        <v>0</v>
      </c>
      <c r="R582" s="2" t="inlineStr"/>
    </row>
    <row r="583" ht="15" customHeight="1">
      <c r="A583" t="inlineStr">
        <is>
          <t>A 37819-2023</t>
        </is>
      </c>
      <c r="B583" s="1" t="n">
        <v>45160</v>
      </c>
      <c r="C583" s="1" t="n">
        <v>45364</v>
      </c>
      <c r="D583" t="inlineStr">
        <is>
          <t>NORRBOTTENS LÄN</t>
        </is>
      </c>
      <c r="E583" t="inlineStr">
        <is>
          <t>GÄLLIVARE</t>
        </is>
      </c>
      <c r="F583" t="inlineStr">
        <is>
          <t>Sveaskog</t>
        </is>
      </c>
      <c r="G583" t="n">
        <v>30.4</v>
      </c>
      <c r="H583" t="n">
        <v>0</v>
      </c>
      <c r="I583" t="n">
        <v>0</v>
      </c>
      <c r="J583" t="n">
        <v>0</v>
      </c>
      <c r="K583" t="n">
        <v>0</v>
      </c>
      <c r="L583" t="n">
        <v>0</v>
      </c>
      <c r="M583" t="n">
        <v>0</v>
      </c>
      <c r="N583" t="n">
        <v>0</v>
      </c>
      <c r="O583" t="n">
        <v>0</v>
      </c>
      <c r="P583" t="n">
        <v>0</v>
      </c>
      <c r="Q583" t="n">
        <v>0</v>
      </c>
      <c r="R583" s="2" t="inlineStr"/>
    </row>
    <row r="584" ht="15" customHeight="1">
      <c r="A584" t="inlineStr">
        <is>
          <t>A 37818-2023</t>
        </is>
      </c>
      <c r="B584" s="1" t="n">
        <v>45160</v>
      </c>
      <c r="C584" s="1" t="n">
        <v>45364</v>
      </c>
      <c r="D584" t="inlineStr">
        <is>
          <t>NORRBOTTENS LÄN</t>
        </is>
      </c>
      <c r="E584" t="inlineStr">
        <is>
          <t>GÄLLIVARE</t>
        </is>
      </c>
      <c r="F584" t="inlineStr">
        <is>
          <t>Sveaskog</t>
        </is>
      </c>
      <c r="G584" t="n">
        <v>6.9</v>
      </c>
      <c r="H584" t="n">
        <v>0</v>
      </c>
      <c r="I584" t="n">
        <v>0</v>
      </c>
      <c r="J584" t="n">
        <v>0</v>
      </c>
      <c r="K584" t="n">
        <v>0</v>
      </c>
      <c r="L584" t="n">
        <v>0</v>
      </c>
      <c r="M584" t="n">
        <v>0</v>
      </c>
      <c r="N584" t="n">
        <v>0</v>
      </c>
      <c r="O584" t="n">
        <v>0</v>
      </c>
      <c r="P584" t="n">
        <v>0</v>
      </c>
      <c r="Q584" t="n">
        <v>0</v>
      </c>
      <c r="R584" s="2" t="inlineStr"/>
    </row>
    <row r="585" ht="15" customHeight="1">
      <c r="A585" t="inlineStr">
        <is>
          <t>A 38426-2023</t>
        </is>
      </c>
      <c r="B585" s="1" t="n">
        <v>45162</v>
      </c>
      <c r="C585" s="1" t="n">
        <v>45364</v>
      </c>
      <c r="D585" t="inlineStr">
        <is>
          <t>NORRBOTTENS LÄN</t>
        </is>
      </c>
      <c r="E585" t="inlineStr">
        <is>
          <t>GÄLLIVARE</t>
        </is>
      </c>
      <c r="F585" t="inlineStr">
        <is>
          <t>Sveaskog</t>
        </is>
      </c>
      <c r="G585" t="n">
        <v>13.9</v>
      </c>
      <c r="H585" t="n">
        <v>0</v>
      </c>
      <c r="I585" t="n">
        <v>0</v>
      </c>
      <c r="J585" t="n">
        <v>0</v>
      </c>
      <c r="K585" t="n">
        <v>0</v>
      </c>
      <c r="L585" t="n">
        <v>0</v>
      </c>
      <c r="M585" t="n">
        <v>0</v>
      </c>
      <c r="N585" t="n">
        <v>0</v>
      </c>
      <c r="O585" t="n">
        <v>0</v>
      </c>
      <c r="P585" t="n">
        <v>0</v>
      </c>
      <c r="Q585" t="n">
        <v>0</v>
      </c>
      <c r="R585" s="2" t="inlineStr"/>
    </row>
    <row r="586" ht="15" customHeight="1">
      <c r="A586" t="inlineStr">
        <is>
          <t>A 38406-2023</t>
        </is>
      </c>
      <c r="B586" s="1" t="n">
        <v>45162</v>
      </c>
      <c r="C586" s="1" t="n">
        <v>45364</v>
      </c>
      <c r="D586" t="inlineStr">
        <is>
          <t>NORRBOTTENS LÄN</t>
        </is>
      </c>
      <c r="E586" t="inlineStr">
        <is>
          <t>GÄLLIVARE</t>
        </is>
      </c>
      <c r="F586" t="inlineStr">
        <is>
          <t>Sveaskog</t>
        </is>
      </c>
      <c r="G586" t="n">
        <v>24.6</v>
      </c>
      <c r="H586" t="n">
        <v>0</v>
      </c>
      <c r="I586" t="n">
        <v>0</v>
      </c>
      <c r="J586" t="n">
        <v>0</v>
      </c>
      <c r="K586" t="n">
        <v>0</v>
      </c>
      <c r="L586" t="n">
        <v>0</v>
      </c>
      <c r="M586" t="n">
        <v>0</v>
      </c>
      <c r="N586" t="n">
        <v>0</v>
      </c>
      <c r="O586" t="n">
        <v>0</v>
      </c>
      <c r="P586" t="n">
        <v>0</v>
      </c>
      <c r="Q586" t="n">
        <v>0</v>
      </c>
      <c r="R586" s="2" t="inlineStr"/>
    </row>
    <row r="587" ht="15" customHeight="1">
      <c r="A587" t="inlineStr">
        <is>
          <t>A 38598-2023</t>
        </is>
      </c>
      <c r="B587" s="1" t="n">
        <v>45162</v>
      </c>
      <c r="C587" s="1" t="n">
        <v>45364</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39057-2023</t>
        </is>
      </c>
      <c r="B588" s="1" t="n">
        <v>45163</v>
      </c>
      <c r="C588" s="1" t="n">
        <v>45364</v>
      </c>
      <c r="D588" t="inlineStr">
        <is>
          <t>NORRBOTTENS LÄN</t>
        </is>
      </c>
      <c r="E588" t="inlineStr">
        <is>
          <t>GÄLLIVARE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39056-2023</t>
        </is>
      </c>
      <c r="B589" s="1" t="n">
        <v>45163</v>
      </c>
      <c r="C589" s="1" t="n">
        <v>45364</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39060-2023</t>
        </is>
      </c>
      <c r="B590" s="1" t="n">
        <v>45163</v>
      </c>
      <c r="C590" s="1" t="n">
        <v>45364</v>
      </c>
      <c r="D590" t="inlineStr">
        <is>
          <t>NORRBOTTENS LÄN</t>
        </is>
      </c>
      <c r="E590" t="inlineStr">
        <is>
          <t>GÄLLIVARE</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40498-2023</t>
        </is>
      </c>
      <c r="B591" s="1" t="n">
        <v>45170</v>
      </c>
      <c r="C591" s="1" t="n">
        <v>45364</v>
      </c>
      <c r="D591" t="inlineStr">
        <is>
          <t>NORRBOTTENS LÄN</t>
        </is>
      </c>
      <c r="E591" t="inlineStr">
        <is>
          <t>GÄLLIVARE</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40492-2023</t>
        </is>
      </c>
      <c r="B592" s="1" t="n">
        <v>45170</v>
      </c>
      <c r="C592" s="1" t="n">
        <v>45364</v>
      </c>
      <c r="D592" t="inlineStr">
        <is>
          <t>NORRBOTTENS LÄN</t>
        </is>
      </c>
      <c r="E592" t="inlineStr">
        <is>
          <t>GÄLLIVARE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40816-2023</t>
        </is>
      </c>
      <c r="B593" s="1" t="n">
        <v>45171</v>
      </c>
      <c r="C593" s="1" t="n">
        <v>45364</v>
      </c>
      <c r="D593" t="inlineStr">
        <is>
          <t>NORRBOTTENS LÄN</t>
        </is>
      </c>
      <c r="E593" t="inlineStr">
        <is>
          <t>GÄLLIVARE</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40819-2023</t>
        </is>
      </c>
      <c r="B594" s="1" t="n">
        <v>45171</v>
      </c>
      <c r="C594" s="1" t="n">
        <v>45364</v>
      </c>
      <c r="D594" t="inlineStr">
        <is>
          <t>NORRBOTTENS LÄN</t>
        </is>
      </c>
      <c r="E594" t="inlineStr">
        <is>
          <t>GÄLLIVARE</t>
        </is>
      </c>
      <c r="F594" t="inlineStr">
        <is>
          <t>Sveaskog</t>
        </is>
      </c>
      <c r="G594" t="n">
        <v>10</v>
      </c>
      <c r="H594" t="n">
        <v>0</v>
      </c>
      <c r="I594" t="n">
        <v>0</v>
      </c>
      <c r="J594" t="n">
        <v>0</v>
      </c>
      <c r="K594" t="n">
        <v>0</v>
      </c>
      <c r="L594" t="n">
        <v>0</v>
      </c>
      <c r="M594" t="n">
        <v>0</v>
      </c>
      <c r="N594" t="n">
        <v>0</v>
      </c>
      <c r="O594" t="n">
        <v>0</v>
      </c>
      <c r="P594" t="n">
        <v>0</v>
      </c>
      <c r="Q594" t="n">
        <v>0</v>
      </c>
      <c r="R594" s="2" t="inlineStr"/>
    </row>
    <row r="595" ht="15" customHeight="1">
      <c r="A595" t="inlineStr">
        <is>
          <t>A 40818-2023</t>
        </is>
      </c>
      <c r="B595" s="1" t="n">
        <v>45171</v>
      </c>
      <c r="C595" s="1" t="n">
        <v>45364</v>
      </c>
      <c r="D595" t="inlineStr">
        <is>
          <t>NORRBOTTENS LÄN</t>
        </is>
      </c>
      <c r="E595" t="inlineStr">
        <is>
          <t>GÄLLIVARE</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40817-2023</t>
        </is>
      </c>
      <c r="B596" s="1" t="n">
        <v>45171</v>
      </c>
      <c r="C596" s="1" t="n">
        <v>45364</v>
      </c>
      <c r="D596" t="inlineStr">
        <is>
          <t>NORRBOTTENS LÄN</t>
        </is>
      </c>
      <c r="E596" t="inlineStr">
        <is>
          <t>GÄLLIVARE</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40974-2023</t>
        </is>
      </c>
      <c r="B597" s="1" t="n">
        <v>45173</v>
      </c>
      <c r="C597" s="1" t="n">
        <v>45364</v>
      </c>
      <c r="D597" t="inlineStr">
        <is>
          <t>NORRBOTTENS LÄN</t>
        </is>
      </c>
      <c r="E597" t="inlineStr">
        <is>
          <t>GÄLLIVARE</t>
        </is>
      </c>
      <c r="G597" t="n">
        <v>3</v>
      </c>
      <c r="H597" t="n">
        <v>0</v>
      </c>
      <c r="I597" t="n">
        <v>0</v>
      </c>
      <c r="J597" t="n">
        <v>0</v>
      </c>
      <c r="K597" t="n">
        <v>0</v>
      </c>
      <c r="L597" t="n">
        <v>0</v>
      </c>
      <c r="M597" t="n">
        <v>0</v>
      </c>
      <c r="N597" t="n">
        <v>0</v>
      </c>
      <c r="O597" t="n">
        <v>0</v>
      </c>
      <c r="P597" t="n">
        <v>0</v>
      </c>
      <c r="Q597" t="n">
        <v>0</v>
      </c>
      <c r="R597" s="2" t="inlineStr"/>
    </row>
    <row r="598" ht="15" customHeight="1">
      <c r="A598" t="inlineStr">
        <is>
          <t>A 41547-2023</t>
        </is>
      </c>
      <c r="B598" s="1" t="n">
        <v>45173</v>
      </c>
      <c r="C598" s="1" t="n">
        <v>45364</v>
      </c>
      <c r="D598" t="inlineStr">
        <is>
          <t>NORRBOTTENS LÄN</t>
        </is>
      </c>
      <c r="E598" t="inlineStr">
        <is>
          <t>GÄLLIVARE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41560-2023</t>
        </is>
      </c>
      <c r="B599" s="1" t="n">
        <v>45173</v>
      </c>
      <c r="C599" s="1" t="n">
        <v>45364</v>
      </c>
      <c r="D599" t="inlineStr">
        <is>
          <t>NORRBOTTENS LÄN</t>
        </is>
      </c>
      <c r="E599" t="inlineStr">
        <is>
          <t>GÄLLIVARE</t>
        </is>
      </c>
      <c r="G599" t="n">
        <v>9</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45176</v>
      </c>
      <c r="C600" s="1" t="n">
        <v>45364</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42612-2023</t>
        </is>
      </c>
      <c r="B601" s="1" t="n">
        <v>45176</v>
      </c>
      <c r="C601" s="1" t="n">
        <v>45364</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42158-2023</t>
        </is>
      </c>
      <c r="B602" s="1" t="n">
        <v>45178</v>
      </c>
      <c r="C602" s="1" t="n">
        <v>45364</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42157-2023</t>
        </is>
      </c>
      <c r="B603" s="1" t="n">
        <v>45178</v>
      </c>
      <c r="C603" s="1" t="n">
        <v>45364</v>
      </c>
      <c r="D603" t="inlineStr">
        <is>
          <t>NORRBOTTENS LÄN</t>
        </is>
      </c>
      <c r="E603" t="inlineStr">
        <is>
          <t>GÄLLIVARE</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42546-2023</t>
        </is>
      </c>
      <c r="B604" s="1" t="n">
        <v>45181</v>
      </c>
      <c r="C604" s="1" t="n">
        <v>45364</v>
      </c>
      <c r="D604" t="inlineStr">
        <is>
          <t>NORRBOTTENS LÄN</t>
        </is>
      </c>
      <c r="E604" t="inlineStr">
        <is>
          <t>GÄLLIVARE</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42562-2023</t>
        </is>
      </c>
      <c r="B605" s="1" t="n">
        <v>45181</v>
      </c>
      <c r="C605" s="1" t="n">
        <v>45364</v>
      </c>
      <c r="D605" t="inlineStr">
        <is>
          <t>NORRBOTTENS LÄN</t>
        </is>
      </c>
      <c r="E605" t="inlineStr">
        <is>
          <t>GÄLLIVARE</t>
        </is>
      </c>
      <c r="F605" t="inlineStr">
        <is>
          <t>Sveaskog</t>
        </is>
      </c>
      <c r="G605" t="n">
        <v>32.4</v>
      </c>
      <c r="H605" t="n">
        <v>0</v>
      </c>
      <c r="I605" t="n">
        <v>0</v>
      </c>
      <c r="J605" t="n">
        <v>0</v>
      </c>
      <c r="K605" t="n">
        <v>0</v>
      </c>
      <c r="L605" t="n">
        <v>0</v>
      </c>
      <c r="M605" t="n">
        <v>0</v>
      </c>
      <c r="N605" t="n">
        <v>0</v>
      </c>
      <c r="O605" t="n">
        <v>0</v>
      </c>
      <c r="P605" t="n">
        <v>0</v>
      </c>
      <c r="Q605" t="n">
        <v>0</v>
      </c>
      <c r="R605" s="2" t="inlineStr"/>
    </row>
    <row r="606" ht="15" customHeight="1">
      <c r="A606" t="inlineStr">
        <is>
          <t>A 42568-2023</t>
        </is>
      </c>
      <c r="B606" s="1" t="n">
        <v>45181</v>
      </c>
      <c r="C606" s="1" t="n">
        <v>45364</v>
      </c>
      <c r="D606" t="inlineStr">
        <is>
          <t>NORRBOTTENS LÄN</t>
        </is>
      </c>
      <c r="E606" t="inlineStr">
        <is>
          <t>GÄLLIVARE</t>
        </is>
      </c>
      <c r="F606" t="inlineStr">
        <is>
          <t>Sveaskog</t>
        </is>
      </c>
      <c r="G606" t="n">
        <v>24.6</v>
      </c>
      <c r="H606" t="n">
        <v>0</v>
      </c>
      <c r="I606" t="n">
        <v>0</v>
      </c>
      <c r="J606" t="n">
        <v>0</v>
      </c>
      <c r="K606" t="n">
        <v>0</v>
      </c>
      <c r="L606" t="n">
        <v>0</v>
      </c>
      <c r="M606" t="n">
        <v>0</v>
      </c>
      <c r="N606" t="n">
        <v>0</v>
      </c>
      <c r="O606" t="n">
        <v>0</v>
      </c>
      <c r="P606" t="n">
        <v>0</v>
      </c>
      <c r="Q606" t="n">
        <v>0</v>
      </c>
      <c r="R606" s="2" t="inlineStr"/>
    </row>
    <row r="607" ht="15" customHeight="1">
      <c r="A607" t="inlineStr">
        <is>
          <t>A 43109-2023</t>
        </is>
      </c>
      <c r="B607" s="1" t="n">
        <v>45183</v>
      </c>
      <c r="C607" s="1" t="n">
        <v>45364</v>
      </c>
      <c r="D607" t="inlineStr">
        <is>
          <t>NORRBOTTENS LÄN</t>
        </is>
      </c>
      <c r="E607" t="inlineStr">
        <is>
          <t>GÄLLIVARE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43407-2023</t>
        </is>
      </c>
      <c r="B608" s="1" t="n">
        <v>45184</v>
      </c>
      <c r="C608" s="1" t="n">
        <v>45364</v>
      </c>
      <c r="D608" t="inlineStr">
        <is>
          <t>NORRBOTTENS LÄN</t>
        </is>
      </c>
      <c r="E608" t="inlineStr">
        <is>
          <t>GÄLLIVARE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43408-2023</t>
        </is>
      </c>
      <c r="B609" s="1" t="n">
        <v>45183</v>
      </c>
      <c r="C609" s="1" t="n">
        <v>45364</v>
      </c>
      <c r="D609" t="inlineStr">
        <is>
          <t>NORRBOTTENS LÄN</t>
        </is>
      </c>
      <c r="E609" t="inlineStr">
        <is>
          <t>GÄLLIVARE</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43477-2023</t>
        </is>
      </c>
      <c r="B610" s="1" t="n">
        <v>45184</v>
      </c>
      <c r="C610" s="1" t="n">
        <v>45364</v>
      </c>
      <c r="D610" t="inlineStr">
        <is>
          <t>NORRBOTTENS LÄN</t>
        </is>
      </c>
      <c r="E610" t="inlineStr">
        <is>
          <t>GÄLLIVARE</t>
        </is>
      </c>
      <c r="F610" t="inlineStr">
        <is>
          <t>Sveaskog</t>
        </is>
      </c>
      <c r="G610" t="n">
        <v>29.1</v>
      </c>
      <c r="H610" t="n">
        <v>0</v>
      </c>
      <c r="I610" t="n">
        <v>0</v>
      </c>
      <c r="J610" t="n">
        <v>0</v>
      </c>
      <c r="K610" t="n">
        <v>0</v>
      </c>
      <c r="L610" t="n">
        <v>0</v>
      </c>
      <c r="M610" t="n">
        <v>0</v>
      </c>
      <c r="N610" t="n">
        <v>0</v>
      </c>
      <c r="O610" t="n">
        <v>0</v>
      </c>
      <c r="P610" t="n">
        <v>0</v>
      </c>
      <c r="Q610" t="n">
        <v>0</v>
      </c>
      <c r="R610" s="2" t="inlineStr"/>
    </row>
    <row r="611" ht="15" customHeight="1">
      <c r="A611" t="inlineStr">
        <is>
          <t>A 43988-2023</t>
        </is>
      </c>
      <c r="B611" s="1" t="n">
        <v>45187</v>
      </c>
      <c r="C611" s="1" t="n">
        <v>45364</v>
      </c>
      <c r="D611" t="inlineStr">
        <is>
          <t>NORRBOTTENS LÄN</t>
        </is>
      </c>
      <c r="E611" t="inlineStr">
        <is>
          <t>GÄLLIVARE</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44398-2023</t>
        </is>
      </c>
      <c r="B612" s="1" t="n">
        <v>45188</v>
      </c>
      <c r="C612" s="1" t="n">
        <v>45364</v>
      </c>
      <c r="D612" t="inlineStr">
        <is>
          <t>NORRBOTTENS LÄN</t>
        </is>
      </c>
      <c r="E612" t="inlineStr">
        <is>
          <t>GÄLLIVARE</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44689-2023</t>
        </is>
      </c>
      <c r="B613" s="1" t="n">
        <v>45189</v>
      </c>
      <c r="C613" s="1" t="n">
        <v>45364</v>
      </c>
      <c r="D613" t="inlineStr">
        <is>
          <t>NORRBOTTENS LÄN</t>
        </is>
      </c>
      <c r="E613" t="inlineStr">
        <is>
          <t>GÄLLIVARE</t>
        </is>
      </c>
      <c r="G613" t="n">
        <v>26.1</v>
      </c>
      <c r="H613" t="n">
        <v>0</v>
      </c>
      <c r="I613" t="n">
        <v>0</v>
      </c>
      <c r="J613" t="n">
        <v>0</v>
      </c>
      <c r="K613" t="n">
        <v>0</v>
      </c>
      <c r="L613" t="n">
        <v>0</v>
      </c>
      <c r="M613" t="n">
        <v>0</v>
      </c>
      <c r="N613" t="n">
        <v>0</v>
      </c>
      <c r="O613" t="n">
        <v>0</v>
      </c>
      <c r="P613" t="n">
        <v>0</v>
      </c>
      <c r="Q613" t="n">
        <v>0</v>
      </c>
      <c r="R613" s="2" t="inlineStr"/>
    </row>
    <row r="614" ht="15" customHeight="1">
      <c r="A614" t="inlineStr">
        <is>
          <t>A 44686-2023</t>
        </is>
      </c>
      <c r="B614" s="1" t="n">
        <v>45189</v>
      </c>
      <c r="C614" s="1" t="n">
        <v>45364</v>
      </c>
      <c r="D614" t="inlineStr">
        <is>
          <t>NORRBOTTENS LÄN</t>
        </is>
      </c>
      <c r="E614" t="inlineStr">
        <is>
          <t>GÄLLIVARE</t>
        </is>
      </c>
      <c r="G614" t="n">
        <v>19.4</v>
      </c>
      <c r="H614" t="n">
        <v>0</v>
      </c>
      <c r="I614" t="n">
        <v>0</v>
      </c>
      <c r="J614" t="n">
        <v>0</v>
      </c>
      <c r="K614" t="n">
        <v>0</v>
      </c>
      <c r="L614" t="n">
        <v>0</v>
      </c>
      <c r="M614" t="n">
        <v>0</v>
      </c>
      <c r="N614" t="n">
        <v>0</v>
      </c>
      <c r="O614" t="n">
        <v>0</v>
      </c>
      <c r="P614" t="n">
        <v>0</v>
      </c>
      <c r="Q614" t="n">
        <v>0</v>
      </c>
      <c r="R614" s="2" t="inlineStr"/>
    </row>
    <row r="615" ht="15" customHeight="1">
      <c r="A615" t="inlineStr">
        <is>
          <t>A 44690-2023</t>
        </is>
      </c>
      <c r="B615" s="1" t="n">
        <v>45189</v>
      </c>
      <c r="C615" s="1" t="n">
        <v>45364</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44691-2023</t>
        </is>
      </c>
      <c r="B616" s="1" t="n">
        <v>45189</v>
      </c>
      <c r="C616" s="1" t="n">
        <v>45364</v>
      </c>
      <c r="D616" t="inlineStr">
        <is>
          <t>NORRBOTTENS LÄN</t>
        </is>
      </c>
      <c r="E616" t="inlineStr">
        <is>
          <t>GÄLLIVARE</t>
        </is>
      </c>
      <c r="G616" t="n">
        <v>18.8</v>
      </c>
      <c r="H616" t="n">
        <v>0</v>
      </c>
      <c r="I616" t="n">
        <v>0</v>
      </c>
      <c r="J616" t="n">
        <v>0</v>
      </c>
      <c r="K616" t="n">
        <v>0</v>
      </c>
      <c r="L616" t="n">
        <v>0</v>
      </c>
      <c r="M616" t="n">
        <v>0</v>
      </c>
      <c r="N616" t="n">
        <v>0</v>
      </c>
      <c r="O616" t="n">
        <v>0</v>
      </c>
      <c r="P616" t="n">
        <v>0</v>
      </c>
      <c r="Q616" t="n">
        <v>0</v>
      </c>
      <c r="R616" s="2" t="inlineStr"/>
    </row>
    <row r="617" ht="15" customHeight="1">
      <c r="A617" t="inlineStr">
        <is>
          <t>A 44983-2023</t>
        </is>
      </c>
      <c r="B617" s="1" t="n">
        <v>45190</v>
      </c>
      <c r="C617" s="1" t="n">
        <v>45364</v>
      </c>
      <c r="D617" t="inlineStr">
        <is>
          <t>NORRBOTTENS LÄN</t>
        </is>
      </c>
      <c r="E617" t="inlineStr">
        <is>
          <t>GÄLLIVARE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44982-2023</t>
        </is>
      </c>
      <c r="B618" s="1" t="n">
        <v>45191</v>
      </c>
      <c r="C618" s="1" t="n">
        <v>45364</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45026-2023</t>
        </is>
      </c>
      <c r="B619" s="1" t="n">
        <v>45191</v>
      </c>
      <c r="C619" s="1" t="n">
        <v>45364</v>
      </c>
      <c r="D619" t="inlineStr">
        <is>
          <t>NORRBOTTENS LÄN</t>
        </is>
      </c>
      <c r="E619" t="inlineStr">
        <is>
          <t>GÄLLIVARE</t>
        </is>
      </c>
      <c r="F619" t="inlineStr">
        <is>
          <t>SCA</t>
        </is>
      </c>
      <c r="G619" t="n">
        <v>12.6</v>
      </c>
      <c r="H619" t="n">
        <v>0</v>
      </c>
      <c r="I619" t="n">
        <v>0</v>
      </c>
      <c r="J619" t="n">
        <v>0</v>
      </c>
      <c r="K619" t="n">
        <v>0</v>
      </c>
      <c r="L619" t="n">
        <v>0</v>
      </c>
      <c r="M619" t="n">
        <v>0</v>
      </c>
      <c r="N619" t="n">
        <v>0</v>
      </c>
      <c r="O619" t="n">
        <v>0</v>
      </c>
      <c r="P619" t="n">
        <v>0</v>
      </c>
      <c r="Q619" t="n">
        <v>0</v>
      </c>
      <c r="R619" s="2" t="inlineStr"/>
    </row>
    <row r="620" ht="15" customHeight="1">
      <c r="A620" t="inlineStr">
        <is>
          <t>A 44981-2023</t>
        </is>
      </c>
      <c r="B620" s="1" t="n">
        <v>45191</v>
      </c>
      <c r="C620" s="1" t="n">
        <v>45364</v>
      </c>
      <c r="D620" t="inlineStr">
        <is>
          <t>NORRBOTTENS LÄN</t>
        </is>
      </c>
      <c r="E620" t="inlineStr">
        <is>
          <t>GÄLLIVARE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44985-2023</t>
        </is>
      </c>
      <c r="B621" s="1" t="n">
        <v>45191</v>
      </c>
      <c r="C621" s="1" t="n">
        <v>45364</v>
      </c>
      <c r="D621" t="inlineStr">
        <is>
          <t>NORRBOTTENS LÄN</t>
        </is>
      </c>
      <c r="E621" t="inlineStr">
        <is>
          <t>GÄLLIVARE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46056-2023</t>
        </is>
      </c>
      <c r="B622" s="1" t="n">
        <v>45196</v>
      </c>
      <c r="C622" s="1" t="n">
        <v>45364</v>
      </c>
      <c r="D622" t="inlineStr">
        <is>
          <t>NORRBOTTENS LÄN</t>
        </is>
      </c>
      <c r="E622" t="inlineStr">
        <is>
          <t>GÄLLIVARE</t>
        </is>
      </c>
      <c r="G622" t="n">
        <v>3.9</v>
      </c>
      <c r="H622" t="n">
        <v>0</v>
      </c>
      <c r="I622" t="n">
        <v>0</v>
      </c>
      <c r="J622" t="n">
        <v>0</v>
      </c>
      <c r="K622" t="n">
        <v>0</v>
      </c>
      <c r="L622" t="n">
        <v>0</v>
      </c>
      <c r="M622" t="n">
        <v>0</v>
      </c>
      <c r="N622" t="n">
        <v>0</v>
      </c>
      <c r="O622" t="n">
        <v>0</v>
      </c>
      <c r="P622" t="n">
        <v>0</v>
      </c>
      <c r="Q622" t="n">
        <v>0</v>
      </c>
      <c r="R622" s="2" t="inlineStr"/>
    </row>
    <row r="623" ht="15" customHeight="1">
      <c r="A623" t="inlineStr">
        <is>
          <t>A 46271-2023</t>
        </is>
      </c>
      <c r="B623" s="1" t="n">
        <v>45196</v>
      </c>
      <c r="C623" s="1" t="n">
        <v>45364</v>
      </c>
      <c r="D623" t="inlineStr">
        <is>
          <t>NORRBOTTENS LÄN</t>
        </is>
      </c>
      <c r="E623" t="inlineStr">
        <is>
          <t>GÄLLIVARE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47239-2023</t>
        </is>
      </c>
      <c r="B624" s="1" t="n">
        <v>45196</v>
      </c>
      <c r="C624" s="1" t="n">
        <v>45364</v>
      </c>
      <c r="D624" t="inlineStr">
        <is>
          <t>NORRBOTTENS LÄN</t>
        </is>
      </c>
      <c r="E624" t="inlineStr">
        <is>
          <t>GÄLLIVARE</t>
        </is>
      </c>
      <c r="F624" t="inlineStr">
        <is>
          <t>Övriga statliga verk och myndigheter</t>
        </is>
      </c>
      <c r="G624" t="n">
        <v>146</v>
      </c>
      <c r="H624" t="n">
        <v>0</v>
      </c>
      <c r="I624" t="n">
        <v>0</v>
      </c>
      <c r="J624" t="n">
        <v>0</v>
      </c>
      <c r="K624" t="n">
        <v>0</v>
      </c>
      <c r="L624" t="n">
        <v>0</v>
      </c>
      <c r="M624" t="n">
        <v>0</v>
      </c>
      <c r="N624" t="n">
        <v>0</v>
      </c>
      <c r="O624" t="n">
        <v>0</v>
      </c>
      <c r="P624" t="n">
        <v>0</v>
      </c>
      <c r="Q624" t="n">
        <v>0</v>
      </c>
      <c r="R624" s="2" t="inlineStr"/>
    </row>
    <row r="625" ht="15" customHeight="1">
      <c r="A625" t="inlineStr">
        <is>
          <t>A 46334-2023</t>
        </is>
      </c>
      <c r="B625" s="1" t="n">
        <v>45197</v>
      </c>
      <c r="C625" s="1" t="n">
        <v>45364</v>
      </c>
      <c r="D625" t="inlineStr">
        <is>
          <t>NORRBOTTENS LÄN</t>
        </is>
      </c>
      <c r="E625" t="inlineStr">
        <is>
          <t>GÄLLIVARE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46478-2023</t>
        </is>
      </c>
      <c r="B626" s="1" t="n">
        <v>45197</v>
      </c>
      <c r="C626" s="1" t="n">
        <v>45364</v>
      </c>
      <c r="D626" t="inlineStr">
        <is>
          <t>NORRBOTTENS LÄN</t>
        </is>
      </c>
      <c r="E626" t="inlineStr">
        <is>
          <t>GÄLLIVARE</t>
        </is>
      </c>
      <c r="G626" t="n">
        <v>8.4</v>
      </c>
      <c r="H626" t="n">
        <v>0</v>
      </c>
      <c r="I626" t="n">
        <v>0</v>
      </c>
      <c r="J626" t="n">
        <v>0</v>
      </c>
      <c r="K626" t="n">
        <v>0</v>
      </c>
      <c r="L626" t="n">
        <v>0</v>
      </c>
      <c r="M626" t="n">
        <v>0</v>
      </c>
      <c r="N626" t="n">
        <v>0</v>
      </c>
      <c r="O626" t="n">
        <v>0</v>
      </c>
      <c r="P626" t="n">
        <v>0</v>
      </c>
      <c r="Q626" t="n">
        <v>0</v>
      </c>
      <c r="R626" s="2" t="inlineStr"/>
    </row>
    <row r="627" ht="15" customHeight="1">
      <c r="A627" t="inlineStr">
        <is>
          <t>A 46474-2023</t>
        </is>
      </c>
      <c r="B627" s="1" t="n">
        <v>45197</v>
      </c>
      <c r="C627" s="1" t="n">
        <v>45364</v>
      </c>
      <c r="D627" t="inlineStr">
        <is>
          <t>NORRBOTTENS LÄN</t>
        </is>
      </c>
      <c r="E627" t="inlineStr">
        <is>
          <t>GÄLLIVARE</t>
        </is>
      </c>
      <c r="G627" t="n">
        <v>42.7</v>
      </c>
      <c r="H627" t="n">
        <v>0</v>
      </c>
      <c r="I627" t="n">
        <v>0</v>
      </c>
      <c r="J627" t="n">
        <v>0</v>
      </c>
      <c r="K627" t="n">
        <v>0</v>
      </c>
      <c r="L627" t="n">
        <v>0</v>
      </c>
      <c r="M627" t="n">
        <v>0</v>
      </c>
      <c r="N627" t="n">
        <v>0</v>
      </c>
      <c r="O627" t="n">
        <v>0</v>
      </c>
      <c r="P627" t="n">
        <v>0</v>
      </c>
      <c r="Q627" t="n">
        <v>0</v>
      </c>
      <c r="R627" s="2" t="inlineStr"/>
    </row>
    <row r="628" ht="15" customHeight="1">
      <c r="A628" t="inlineStr">
        <is>
          <t>A 46484-2023</t>
        </is>
      </c>
      <c r="B628" s="1" t="n">
        <v>45197</v>
      </c>
      <c r="C628" s="1" t="n">
        <v>45364</v>
      </c>
      <c r="D628" t="inlineStr">
        <is>
          <t>NORRBOTTENS LÄN</t>
        </is>
      </c>
      <c r="E628" t="inlineStr">
        <is>
          <t>GÄLLIVARE</t>
        </is>
      </c>
      <c r="G628" t="n">
        <v>5.8</v>
      </c>
      <c r="H628" t="n">
        <v>0</v>
      </c>
      <c r="I628" t="n">
        <v>0</v>
      </c>
      <c r="J628" t="n">
        <v>0</v>
      </c>
      <c r="K628" t="n">
        <v>0</v>
      </c>
      <c r="L628" t="n">
        <v>0</v>
      </c>
      <c r="M628" t="n">
        <v>0</v>
      </c>
      <c r="N628" t="n">
        <v>0</v>
      </c>
      <c r="O628" t="n">
        <v>0</v>
      </c>
      <c r="P628" t="n">
        <v>0</v>
      </c>
      <c r="Q628" t="n">
        <v>0</v>
      </c>
      <c r="R628" s="2" t="inlineStr"/>
    </row>
    <row r="629" ht="15" customHeight="1">
      <c r="A629" t="inlineStr">
        <is>
          <t>A 47613-2023</t>
        </is>
      </c>
      <c r="B629" s="1" t="n">
        <v>45198</v>
      </c>
      <c r="C629" s="1" t="n">
        <v>45364</v>
      </c>
      <c r="D629" t="inlineStr">
        <is>
          <t>NORRBOTTENS LÄN</t>
        </is>
      </c>
      <c r="E629" t="inlineStr">
        <is>
          <t>GÄLLIVARE</t>
        </is>
      </c>
      <c r="G629" t="n">
        <v>1.9</v>
      </c>
      <c r="H629" t="n">
        <v>0</v>
      </c>
      <c r="I629" t="n">
        <v>0</v>
      </c>
      <c r="J629" t="n">
        <v>0</v>
      </c>
      <c r="K629" t="n">
        <v>0</v>
      </c>
      <c r="L629" t="n">
        <v>0</v>
      </c>
      <c r="M629" t="n">
        <v>0</v>
      </c>
      <c r="N629" t="n">
        <v>0</v>
      </c>
      <c r="O629" t="n">
        <v>0</v>
      </c>
      <c r="P629" t="n">
        <v>0</v>
      </c>
      <c r="Q629" t="n">
        <v>0</v>
      </c>
      <c r="R629" s="2" t="inlineStr"/>
    </row>
    <row r="630" ht="15" customHeight="1">
      <c r="A630" t="inlineStr">
        <is>
          <t>A 46853-2023</t>
        </is>
      </c>
      <c r="B630" s="1" t="n">
        <v>45199</v>
      </c>
      <c r="C630" s="1" t="n">
        <v>45364</v>
      </c>
      <c r="D630" t="inlineStr">
        <is>
          <t>NORRBOTTENS LÄN</t>
        </is>
      </c>
      <c r="E630" t="inlineStr">
        <is>
          <t>GÄLLIVARE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46854-2023</t>
        </is>
      </c>
      <c r="B631" s="1" t="n">
        <v>45199</v>
      </c>
      <c r="C631" s="1" t="n">
        <v>45364</v>
      </c>
      <c r="D631" t="inlineStr">
        <is>
          <t>NORRBOTTENS LÄN</t>
        </is>
      </c>
      <c r="E631" t="inlineStr">
        <is>
          <t>GÄLLIVARE</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46857-2023</t>
        </is>
      </c>
      <c r="B632" s="1" t="n">
        <v>45200</v>
      </c>
      <c r="C632" s="1" t="n">
        <v>45364</v>
      </c>
      <c r="D632" t="inlineStr">
        <is>
          <t>NORRBOTTENS LÄN</t>
        </is>
      </c>
      <c r="E632" t="inlineStr">
        <is>
          <t>GÄLLIVARE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46855-2023</t>
        </is>
      </c>
      <c r="B633" s="1" t="n">
        <v>45199</v>
      </c>
      <c r="C633" s="1" t="n">
        <v>45364</v>
      </c>
      <c r="D633" t="inlineStr">
        <is>
          <t>NORRBOTTENS LÄN</t>
        </is>
      </c>
      <c r="E633" t="inlineStr">
        <is>
          <t>GÄLLIVARE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47162-2023</t>
        </is>
      </c>
      <c r="B634" s="1" t="n">
        <v>45201</v>
      </c>
      <c r="C634" s="1" t="n">
        <v>45364</v>
      </c>
      <c r="D634" t="inlineStr">
        <is>
          <t>NORRBOTTENS LÄN</t>
        </is>
      </c>
      <c r="E634" t="inlineStr">
        <is>
          <t>GÄLLIVARE</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47166-2023</t>
        </is>
      </c>
      <c r="B635" s="1" t="n">
        <v>45201</v>
      </c>
      <c r="C635" s="1" t="n">
        <v>45364</v>
      </c>
      <c r="D635" t="inlineStr">
        <is>
          <t>NORRBOTTENS LÄN</t>
        </is>
      </c>
      <c r="E635" t="inlineStr">
        <is>
          <t>GÄLLIVARE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47048-2023</t>
        </is>
      </c>
      <c r="B636" s="1" t="n">
        <v>45201</v>
      </c>
      <c r="C636" s="1" t="n">
        <v>45364</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47271-2023</t>
        </is>
      </c>
      <c r="B637" s="1" t="n">
        <v>45202</v>
      </c>
      <c r="C637" s="1" t="n">
        <v>45364</v>
      </c>
      <c r="D637" t="inlineStr">
        <is>
          <t>NORRBOTTENS LÄN</t>
        </is>
      </c>
      <c r="E637" t="inlineStr">
        <is>
          <t>GÄLLIVARE</t>
        </is>
      </c>
      <c r="F637" t="inlineStr">
        <is>
          <t>Sveaskog</t>
        </is>
      </c>
      <c r="G637" t="n">
        <v>12.7</v>
      </c>
      <c r="H637" t="n">
        <v>0</v>
      </c>
      <c r="I637" t="n">
        <v>0</v>
      </c>
      <c r="J637" t="n">
        <v>0</v>
      </c>
      <c r="K637" t="n">
        <v>0</v>
      </c>
      <c r="L637" t="n">
        <v>0</v>
      </c>
      <c r="M637" t="n">
        <v>0</v>
      </c>
      <c r="N637" t="n">
        <v>0</v>
      </c>
      <c r="O637" t="n">
        <v>0</v>
      </c>
      <c r="P637" t="n">
        <v>0</v>
      </c>
      <c r="Q637" t="n">
        <v>0</v>
      </c>
      <c r="R637" s="2" t="inlineStr"/>
    </row>
    <row r="638" ht="15" customHeight="1">
      <c r="A638" t="inlineStr">
        <is>
          <t>A 49116-2023</t>
        </is>
      </c>
      <c r="B638" s="1" t="n">
        <v>45205</v>
      </c>
      <c r="C638" s="1" t="n">
        <v>45364</v>
      </c>
      <c r="D638" t="inlineStr">
        <is>
          <t>NORRBOTTENS LÄN</t>
        </is>
      </c>
      <c r="E638" t="inlineStr">
        <is>
          <t>GÄLLIVARE</t>
        </is>
      </c>
      <c r="G638" t="n">
        <v>16.2</v>
      </c>
      <c r="H638" t="n">
        <v>0</v>
      </c>
      <c r="I638" t="n">
        <v>0</v>
      </c>
      <c r="J638" t="n">
        <v>0</v>
      </c>
      <c r="K638" t="n">
        <v>0</v>
      </c>
      <c r="L638" t="n">
        <v>0</v>
      </c>
      <c r="M638" t="n">
        <v>0</v>
      </c>
      <c r="N638" t="n">
        <v>0</v>
      </c>
      <c r="O638" t="n">
        <v>0</v>
      </c>
      <c r="P638" t="n">
        <v>0</v>
      </c>
      <c r="Q638" t="n">
        <v>0</v>
      </c>
      <c r="R638" s="2" t="inlineStr"/>
    </row>
    <row r="639" ht="15" customHeight="1">
      <c r="A639" t="inlineStr">
        <is>
          <t>A 48531-2023</t>
        </is>
      </c>
      <c r="B639" s="1" t="n">
        <v>45208</v>
      </c>
      <c r="C639" s="1" t="n">
        <v>45364</v>
      </c>
      <c r="D639" t="inlineStr">
        <is>
          <t>NORRBOTTENS LÄN</t>
        </is>
      </c>
      <c r="E639" t="inlineStr">
        <is>
          <t>GÄLLIVARE</t>
        </is>
      </c>
      <c r="G639" t="n">
        <v>16.5</v>
      </c>
      <c r="H639" t="n">
        <v>0</v>
      </c>
      <c r="I639" t="n">
        <v>0</v>
      </c>
      <c r="J639" t="n">
        <v>0</v>
      </c>
      <c r="K639" t="n">
        <v>0</v>
      </c>
      <c r="L639" t="n">
        <v>0</v>
      </c>
      <c r="M639" t="n">
        <v>0</v>
      </c>
      <c r="N639" t="n">
        <v>0</v>
      </c>
      <c r="O639" t="n">
        <v>0</v>
      </c>
      <c r="P639" t="n">
        <v>0</v>
      </c>
      <c r="Q639" t="n">
        <v>0</v>
      </c>
      <c r="R639" s="2" t="inlineStr"/>
    </row>
    <row r="640" ht="15" customHeight="1">
      <c r="A640" t="inlineStr">
        <is>
          <t>A 48760-2023</t>
        </is>
      </c>
      <c r="B640" s="1" t="n">
        <v>45209</v>
      </c>
      <c r="C640" s="1" t="n">
        <v>45364</v>
      </c>
      <c r="D640" t="inlineStr">
        <is>
          <t>NORRBOTTENS LÄN</t>
        </is>
      </c>
      <c r="E640" t="inlineStr">
        <is>
          <t>GÄLLIVARE</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49092-2023</t>
        </is>
      </c>
      <c r="B641" s="1" t="n">
        <v>45210</v>
      </c>
      <c r="C641" s="1" t="n">
        <v>45364</v>
      </c>
      <c r="D641" t="inlineStr">
        <is>
          <t>NORRBOTTENS LÄN</t>
        </is>
      </c>
      <c r="E641" t="inlineStr">
        <is>
          <t>GÄLLIVARE</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49314-2023</t>
        </is>
      </c>
      <c r="B642" s="1" t="n">
        <v>45211</v>
      </c>
      <c r="C642" s="1" t="n">
        <v>45364</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49318-2023</t>
        </is>
      </c>
      <c r="B643" s="1" t="n">
        <v>45211</v>
      </c>
      <c r="C643" s="1" t="n">
        <v>45364</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49621-2023</t>
        </is>
      </c>
      <c r="B644" s="1" t="n">
        <v>45211</v>
      </c>
      <c r="C644" s="1" t="n">
        <v>45364</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49634-2023</t>
        </is>
      </c>
      <c r="B645" s="1" t="n">
        <v>45211</v>
      </c>
      <c r="C645" s="1" t="n">
        <v>45364</v>
      </c>
      <c r="D645" t="inlineStr">
        <is>
          <t>NORRBOTTENS LÄN</t>
        </is>
      </c>
      <c r="E645" t="inlineStr">
        <is>
          <t>GÄLLIVARE</t>
        </is>
      </c>
      <c r="G645" t="n">
        <v>15.4</v>
      </c>
      <c r="H645" t="n">
        <v>0</v>
      </c>
      <c r="I645" t="n">
        <v>0</v>
      </c>
      <c r="J645" t="n">
        <v>0</v>
      </c>
      <c r="K645" t="n">
        <v>0</v>
      </c>
      <c r="L645" t="n">
        <v>0</v>
      </c>
      <c r="M645" t="n">
        <v>0</v>
      </c>
      <c r="N645" t="n">
        <v>0</v>
      </c>
      <c r="O645" t="n">
        <v>0</v>
      </c>
      <c r="P645" t="n">
        <v>0</v>
      </c>
      <c r="Q645" t="n">
        <v>0</v>
      </c>
      <c r="R645" s="2" t="inlineStr"/>
    </row>
    <row r="646" ht="15" customHeight="1">
      <c r="A646" t="inlineStr">
        <is>
          <t>A 49735-2023</t>
        </is>
      </c>
      <c r="B646" s="1" t="n">
        <v>45212</v>
      </c>
      <c r="C646" s="1" t="n">
        <v>45364</v>
      </c>
      <c r="D646" t="inlineStr">
        <is>
          <t>NORRBOTTENS LÄN</t>
        </is>
      </c>
      <c r="E646" t="inlineStr">
        <is>
          <t>GÄLLIVARE</t>
        </is>
      </c>
      <c r="F646" t="inlineStr">
        <is>
          <t>Sveaskog</t>
        </is>
      </c>
      <c r="G646" t="n">
        <v>11.8</v>
      </c>
      <c r="H646" t="n">
        <v>0</v>
      </c>
      <c r="I646" t="n">
        <v>0</v>
      </c>
      <c r="J646" t="n">
        <v>0</v>
      </c>
      <c r="K646" t="n">
        <v>0</v>
      </c>
      <c r="L646" t="n">
        <v>0</v>
      </c>
      <c r="M646" t="n">
        <v>0</v>
      </c>
      <c r="N646" t="n">
        <v>0</v>
      </c>
      <c r="O646" t="n">
        <v>0</v>
      </c>
      <c r="P646" t="n">
        <v>0</v>
      </c>
      <c r="Q646" t="n">
        <v>0</v>
      </c>
      <c r="R646" s="2" t="inlineStr"/>
    </row>
    <row r="647" ht="15" customHeight="1">
      <c r="A647" t="inlineStr">
        <is>
          <t>A 49740-2023</t>
        </is>
      </c>
      <c r="B647" s="1" t="n">
        <v>45212</v>
      </c>
      <c r="C647" s="1" t="n">
        <v>45364</v>
      </c>
      <c r="D647" t="inlineStr">
        <is>
          <t>NORRBOTTENS LÄN</t>
        </is>
      </c>
      <c r="E647" t="inlineStr">
        <is>
          <t>GÄLLIVARE</t>
        </is>
      </c>
      <c r="F647" t="inlineStr">
        <is>
          <t>Sveaskog</t>
        </is>
      </c>
      <c r="G647" t="n">
        <v>6.6</v>
      </c>
      <c r="H647" t="n">
        <v>0</v>
      </c>
      <c r="I647" t="n">
        <v>0</v>
      </c>
      <c r="J647" t="n">
        <v>0</v>
      </c>
      <c r="K647" t="n">
        <v>0</v>
      </c>
      <c r="L647" t="n">
        <v>0</v>
      </c>
      <c r="M647" t="n">
        <v>0</v>
      </c>
      <c r="N647" t="n">
        <v>0</v>
      </c>
      <c r="O647" t="n">
        <v>0</v>
      </c>
      <c r="P647" t="n">
        <v>0</v>
      </c>
      <c r="Q647" t="n">
        <v>0</v>
      </c>
      <c r="R647" s="2" t="inlineStr"/>
    </row>
    <row r="648" ht="15" customHeight="1">
      <c r="A648" t="inlineStr">
        <is>
          <t>A 49739-2023</t>
        </is>
      </c>
      <c r="B648" s="1" t="n">
        <v>45212</v>
      </c>
      <c r="C648" s="1" t="n">
        <v>45364</v>
      </c>
      <c r="D648" t="inlineStr">
        <is>
          <t>NORRBOTTENS LÄN</t>
        </is>
      </c>
      <c r="E648" t="inlineStr">
        <is>
          <t>GÄLLIVARE</t>
        </is>
      </c>
      <c r="F648" t="inlineStr">
        <is>
          <t>Sveaskog</t>
        </is>
      </c>
      <c r="G648" t="n">
        <v>12.2</v>
      </c>
      <c r="H648" t="n">
        <v>0</v>
      </c>
      <c r="I648" t="n">
        <v>0</v>
      </c>
      <c r="J648" t="n">
        <v>0</v>
      </c>
      <c r="K648" t="n">
        <v>0</v>
      </c>
      <c r="L648" t="n">
        <v>0</v>
      </c>
      <c r="M648" t="n">
        <v>0</v>
      </c>
      <c r="N648" t="n">
        <v>0</v>
      </c>
      <c r="O648" t="n">
        <v>0</v>
      </c>
      <c r="P648" t="n">
        <v>0</v>
      </c>
      <c r="Q648" t="n">
        <v>0</v>
      </c>
      <c r="R648" s="2" t="inlineStr"/>
    </row>
    <row r="649" ht="15" customHeight="1">
      <c r="A649" t="inlineStr">
        <is>
          <t>A 49748-2023</t>
        </is>
      </c>
      <c r="B649" s="1" t="n">
        <v>45212</v>
      </c>
      <c r="C649" s="1" t="n">
        <v>45364</v>
      </c>
      <c r="D649" t="inlineStr">
        <is>
          <t>NORRBOTTENS LÄN</t>
        </is>
      </c>
      <c r="E649" t="inlineStr">
        <is>
          <t>GÄLLIVARE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49742-2023</t>
        </is>
      </c>
      <c r="B650" s="1" t="n">
        <v>45212</v>
      </c>
      <c r="C650" s="1" t="n">
        <v>45364</v>
      </c>
      <c r="D650" t="inlineStr">
        <is>
          <t>NORRBOTTENS LÄN</t>
        </is>
      </c>
      <c r="E650" t="inlineStr">
        <is>
          <t>GÄLLIVARE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49746-2023</t>
        </is>
      </c>
      <c r="B651" s="1" t="n">
        <v>45212</v>
      </c>
      <c r="C651" s="1" t="n">
        <v>45364</v>
      </c>
      <c r="D651" t="inlineStr">
        <is>
          <t>NORRBOTTENS LÄN</t>
        </is>
      </c>
      <c r="E651" t="inlineStr">
        <is>
          <t>GÄLLIVARE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49750-2023</t>
        </is>
      </c>
      <c r="B652" s="1" t="n">
        <v>45212</v>
      </c>
      <c r="C652" s="1" t="n">
        <v>45364</v>
      </c>
      <c r="D652" t="inlineStr">
        <is>
          <t>NORRBOTTENS LÄN</t>
        </is>
      </c>
      <c r="E652" t="inlineStr">
        <is>
          <t>GÄLLIVARE</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49873-2023</t>
        </is>
      </c>
      <c r="B653" s="1" t="n">
        <v>45212</v>
      </c>
      <c r="C653" s="1" t="n">
        <v>45364</v>
      </c>
      <c r="D653" t="inlineStr">
        <is>
          <t>NORRBOTTENS LÄN</t>
        </is>
      </c>
      <c r="E653" t="inlineStr">
        <is>
          <t>GÄLLIVARE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49877-2023</t>
        </is>
      </c>
      <c r="B654" s="1" t="n">
        <v>45213</v>
      </c>
      <c r="C654" s="1" t="n">
        <v>45364</v>
      </c>
      <c r="D654" t="inlineStr">
        <is>
          <t>NORRBOTTENS LÄN</t>
        </is>
      </c>
      <c r="E654" t="inlineStr">
        <is>
          <t>GÄLLIVARE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51243-2023</t>
        </is>
      </c>
      <c r="B655" s="1" t="n">
        <v>45212</v>
      </c>
      <c r="C655" s="1" t="n">
        <v>45364</v>
      </c>
      <c r="D655" t="inlineStr">
        <is>
          <t>NORRBOTTENS LÄN</t>
        </is>
      </c>
      <c r="E655" t="inlineStr">
        <is>
          <t>GÄLLIVARE</t>
        </is>
      </c>
      <c r="G655" t="n">
        <v>3.2</v>
      </c>
      <c r="H655" t="n">
        <v>0</v>
      </c>
      <c r="I655" t="n">
        <v>0</v>
      </c>
      <c r="J655" t="n">
        <v>0</v>
      </c>
      <c r="K655" t="n">
        <v>0</v>
      </c>
      <c r="L655" t="n">
        <v>0</v>
      </c>
      <c r="M655" t="n">
        <v>0</v>
      </c>
      <c r="N655" t="n">
        <v>0</v>
      </c>
      <c r="O655" t="n">
        <v>0</v>
      </c>
      <c r="P655" t="n">
        <v>0</v>
      </c>
      <c r="Q655" t="n">
        <v>0</v>
      </c>
      <c r="R655" s="2" t="inlineStr"/>
    </row>
    <row r="656" ht="15" customHeight="1">
      <c r="A656" t="inlineStr">
        <is>
          <t>A 51217-2023</t>
        </is>
      </c>
      <c r="B656" s="1" t="n">
        <v>45212</v>
      </c>
      <c r="C656" s="1" t="n">
        <v>45364</v>
      </c>
      <c r="D656" t="inlineStr">
        <is>
          <t>NORRBOTTENS LÄN</t>
        </is>
      </c>
      <c r="E656" t="inlineStr">
        <is>
          <t>GÄLLIVARE</t>
        </is>
      </c>
      <c r="G656" t="n">
        <v>8.6</v>
      </c>
      <c r="H656" t="n">
        <v>0</v>
      </c>
      <c r="I656" t="n">
        <v>0</v>
      </c>
      <c r="J656" t="n">
        <v>0</v>
      </c>
      <c r="K656" t="n">
        <v>0</v>
      </c>
      <c r="L656" t="n">
        <v>0</v>
      </c>
      <c r="M656" t="n">
        <v>0</v>
      </c>
      <c r="N656" t="n">
        <v>0</v>
      </c>
      <c r="O656" t="n">
        <v>0</v>
      </c>
      <c r="P656" t="n">
        <v>0</v>
      </c>
      <c r="Q656" t="n">
        <v>0</v>
      </c>
      <c r="R656" s="2" t="inlineStr"/>
    </row>
    <row r="657" ht="15" customHeight="1">
      <c r="A657" t="inlineStr">
        <is>
          <t>A 49875-2023</t>
        </is>
      </c>
      <c r="B657" s="1" t="n">
        <v>45212</v>
      </c>
      <c r="C657" s="1" t="n">
        <v>45364</v>
      </c>
      <c r="D657" t="inlineStr">
        <is>
          <t>NORRBOTTENS LÄN</t>
        </is>
      </c>
      <c r="E657" t="inlineStr">
        <is>
          <t>GÄLLIVARE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45364</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45364</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45364</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45364</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45364</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45364</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45364</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45364</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45364</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45364</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45364</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45364</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45364</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45364</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45364</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45364</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45364</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45364</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45364</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45364</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45364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45364</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45364</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45364</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45364</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45364</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45364</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45364</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45364</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45364</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45364</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45364</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45364</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45364</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45364</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45364</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45364</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45364</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45364</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45364</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45364</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45364</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45364</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45364</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45364</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45364</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45364</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45364</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45364</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45364</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45364</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45364</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45364</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45364</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45364</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45364</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45364</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45364</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45364</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45364</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45364</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45364</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45364</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45364</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45364</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45364</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45364</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45364</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5632-2024</t>
        </is>
      </c>
      <c r="B726" s="1" t="n">
        <v>45334</v>
      </c>
      <c r="C726" s="1" t="n">
        <v>45364</v>
      </c>
      <c r="D726" t="inlineStr">
        <is>
          <t>NORRBOTTENS LÄN</t>
        </is>
      </c>
      <c r="E726" t="inlineStr">
        <is>
          <t>GÄLLIVARE</t>
        </is>
      </c>
      <c r="G726" t="n">
        <v>7.3</v>
      </c>
      <c r="H726" t="n">
        <v>0</v>
      </c>
      <c r="I726" t="n">
        <v>0</v>
      </c>
      <c r="J726" t="n">
        <v>0</v>
      </c>
      <c r="K726" t="n">
        <v>0</v>
      </c>
      <c r="L726" t="n">
        <v>0</v>
      </c>
      <c r="M726" t="n">
        <v>0</v>
      </c>
      <c r="N726" t="n">
        <v>0</v>
      </c>
      <c r="O726" t="n">
        <v>0</v>
      </c>
      <c r="P726" t="n">
        <v>0</v>
      </c>
      <c r="Q726" t="n">
        <v>0</v>
      </c>
      <c r="R726" s="2" t="inlineStr"/>
    </row>
    <row r="727" ht="15" customHeight="1">
      <c r="A727" t="inlineStr">
        <is>
          <t>A 5624-2024</t>
        </is>
      </c>
      <c r="B727" s="1" t="n">
        <v>45334</v>
      </c>
      <c r="C727" s="1" t="n">
        <v>45364</v>
      </c>
      <c r="D727" t="inlineStr">
        <is>
          <t>NORRBOTTENS LÄN</t>
        </is>
      </c>
      <c r="E727" t="inlineStr">
        <is>
          <t>GÄLLIVARE</t>
        </is>
      </c>
      <c r="G727" t="n">
        <v>13.8</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45364</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45364</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45364</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45364</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45364</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45364</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8352-2024</t>
        </is>
      </c>
      <c r="B734" s="1" t="n">
        <v>45351</v>
      </c>
      <c r="C734" s="1" t="n">
        <v>45364</v>
      </c>
      <c r="D734" t="inlineStr">
        <is>
          <t>NORRBOTTENS LÄN</t>
        </is>
      </c>
      <c r="E734" t="inlineStr">
        <is>
          <t>GÄLLIVARE</t>
        </is>
      </c>
      <c r="G734" t="n">
        <v>5.6</v>
      </c>
      <c r="H734" t="n">
        <v>0</v>
      </c>
      <c r="I734" t="n">
        <v>0</v>
      </c>
      <c r="J734" t="n">
        <v>0</v>
      </c>
      <c r="K734" t="n">
        <v>0</v>
      </c>
      <c r="L734" t="n">
        <v>0</v>
      </c>
      <c r="M734" t="n">
        <v>0</v>
      </c>
      <c r="N734" t="n">
        <v>0</v>
      </c>
      <c r="O734" t="n">
        <v>0</v>
      </c>
      <c r="P734" t="n">
        <v>0</v>
      </c>
      <c r="Q734" t="n">
        <v>0</v>
      </c>
      <c r="R734" s="2" t="inlineStr"/>
    </row>
    <row r="735" ht="15" customHeight="1">
      <c r="A735" t="inlineStr">
        <is>
          <t>A 8348-2024</t>
        </is>
      </c>
      <c r="B735" s="1" t="n">
        <v>45351</v>
      </c>
      <c r="C735" s="1" t="n">
        <v>45364</v>
      </c>
      <c r="D735" t="inlineStr">
        <is>
          <t>NORRBOTTENS LÄN</t>
        </is>
      </c>
      <c r="E735" t="inlineStr">
        <is>
          <t>GÄLLIVARE</t>
        </is>
      </c>
      <c r="G735" t="n">
        <v>2.7</v>
      </c>
      <c r="H735" t="n">
        <v>0</v>
      </c>
      <c r="I735" t="n">
        <v>0</v>
      </c>
      <c r="J735" t="n">
        <v>0</v>
      </c>
      <c r="K735" t="n">
        <v>0</v>
      </c>
      <c r="L735" t="n">
        <v>0</v>
      </c>
      <c r="M735" t="n">
        <v>0</v>
      </c>
      <c r="N735" t="n">
        <v>0</v>
      </c>
      <c r="O735" t="n">
        <v>0</v>
      </c>
      <c r="P735" t="n">
        <v>0</v>
      </c>
      <c r="Q735" t="n">
        <v>0</v>
      </c>
      <c r="R735" s="2" t="inlineStr"/>
    </row>
    <row r="736" ht="15" customHeight="1">
      <c r="A736" t="inlineStr">
        <is>
          <t>A 8359-2024</t>
        </is>
      </c>
      <c r="B736" s="1" t="n">
        <v>45351</v>
      </c>
      <c r="C736" s="1" t="n">
        <v>45364</v>
      </c>
      <c r="D736" t="inlineStr">
        <is>
          <t>NORRBOTTENS LÄN</t>
        </is>
      </c>
      <c r="E736" t="inlineStr">
        <is>
          <t>GÄLLIVARE</t>
        </is>
      </c>
      <c r="G736" t="n">
        <v>7.8</v>
      </c>
      <c r="H736" t="n">
        <v>0</v>
      </c>
      <c r="I736" t="n">
        <v>0</v>
      </c>
      <c r="J736" t="n">
        <v>0</v>
      </c>
      <c r="K736" t="n">
        <v>0</v>
      </c>
      <c r="L736" t="n">
        <v>0</v>
      </c>
      <c r="M736" t="n">
        <v>0</v>
      </c>
      <c r="N736" t="n">
        <v>0</v>
      </c>
      <c r="O736" t="n">
        <v>0</v>
      </c>
      <c r="P736" t="n">
        <v>0</v>
      </c>
      <c r="Q736" t="n">
        <v>0</v>
      </c>
      <c r="R736" s="2" t="inlineStr"/>
    </row>
    <row r="737" ht="15" customHeight="1">
      <c r="A737" t="inlineStr">
        <is>
          <t>A 8937-2024</t>
        </is>
      </c>
      <c r="B737" s="1" t="n">
        <v>45357</v>
      </c>
      <c r="C737" s="1" t="n">
        <v>45364</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row r="738" ht="15" customHeight="1">
      <c r="A738" t="inlineStr">
        <is>
          <t>A 9650-2024</t>
        </is>
      </c>
      <c r="B738" s="1" t="n">
        <v>45362</v>
      </c>
      <c r="C738" s="1" t="n">
        <v>45364</v>
      </c>
      <c r="D738" t="inlineStr">
        <is>
          <t>NORRBOTTENS LÄN</t>
        </is>
      </c>
      <c r="E738" t="inlineStr">
        <is>
          <t>GÄLLIVARE</t>
        </is>
      </c>
      <c r="F738" t="inlineStr">
        <is>
          <t>Sveaskog</t>
        </is>
      </c>
      <c r="G738" t="n">
        <v>17</v>
      </c>
      <c r="H738" t="n">
        <v>0</v>
      </c>
      <c r="I738" t="n">
        <v>0</v>
      </c>
      <c r="J738" t="n">
        <v>0</v>
      </c>
      <c r="K738" t="n">
        <v>0</v>
      </c>
      <c r="L738" t="n">
        <v>0</v>
      </c>
      <c r="M738" t="n">
        <v>0</v>
      </c>
      <c r="N738" t="n">
        <v>0</v>
      </c>
      <c r="O738" t="n">
        <v>0</v>
      </c>
      <c r="P738" t="n">
        <v>0</v>
      </c>
      <c r="Q738" t="n">
        <v>0</v>
      </c>
      <c r="R738" s="2" t="inlineStr"/>
    </row>
    <row r="739">
      <c r="A739" t="inlineStr">
        <is>
          <t>A 9655-2024</t>
        </is>
      </c>
      <c r="B739" s="1" t="n">
        <v>45362</v>
      </c>
      <c r="C739" s="1" t="n">
        <v>45364</v>
      </c>
      <c r="D739" t="inlineStr">
        <is>
          <t>NORRBOTTENS LÄN</t>
        </is>
      </c>
      <c r="E739" t="inlineStr">
        <is>
          <t>GÄLLIVARE</t>
        </is>
      </c>
      <c r="F739" t="inlineStr">
        <is>
          <t>Sveaskog</t>
        </is>
      </c>
      <c r="G739" t="n">
        <v>9.1</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2024-03-13T13:56:30Z</dcterms:created>
  <dcterms:modified xmlns:dcterms="http://purl.org/dc/terms/" xmlns:xsi="http://www.w3.org/2001/XMLSchema-instance" xsi:type="dcterms:W3CDTF">2024-03-13T13:56:31Z</dcterms:modified>
</cp:coreProperties>
</file>