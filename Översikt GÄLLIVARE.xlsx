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45345</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45345</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45345</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45345</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45345</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45345</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45345</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45345</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45345</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45345</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45345</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45345</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45345</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45345</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45345</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45345</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45345</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45345</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45345</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45345</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45345</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45345</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45345</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45345</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45345</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45345</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45345</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45345</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45345</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45345</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45345</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45345</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45345</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45345</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45345</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45345</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48274-2020</t>
        </is>
      </c>
      <c r="B38" s="1" t="n">
        <v>44102</v>
      </c>
      <c r="C38" s="1" t="n">
        <v>45345</v>
      </c>
      <c r="D38" t="inlineStr">
        <is>
          <t>NORRBOTTENS LÄN</t>
        </is>
      </c>
      <c r="E38" t="inlineStr">
        <is>
          <t>GÄLLIVARE</t>
        </is>
      </c>
      <c r="F38" t="inlineStr">
        <is>
          <t>Sveaskog</t>
        </is>
      </c>
      <c r="G38" t="n">
        <v>14.2</v>
      </c>
      <c r="H38" t="n">
        <v>2</v>
      </c>
      <c r="I38" t="n">
        <v>0</v>
      </c>
      <c r="J38" t="n">
        <v>1</v>
      </c>
      <c r="K38" t="n">
        <v>1</v>
      </c>
      <c r="L38" t="n">
        <v>0</v>
      </c>
      <c r="M38" t="n">
        <v>0</v>
      </c>
      <c r="N38" t="n">
        <v>0</v>
      </c>
      <c r="O38" t="n">
        <v>2</v>
      </c>
      <c r="P38" t="n">
        <v>1</v>
      </c>
      <c r="Q38" t="n">
        <v>2</v>
      </c>
      <c r="R38" s="2" t="inlineStr">
        <is>
          <t>Kricka
Svartvit flugsnappare</t>
        </is>
      </c>
      <c r="S38">
        <f>HYPERLINK("https://klasma.github.io/Logging_2523/artfynd/A 48274-2020 artfynd.xlsx", "A 48274-2020")</f>
        <v/>
      </c>
      <c r="T38">
        <f>HYPERLINK("https://klasma.github.io/Logging_2523/kartor/A 48274-2020 karta.png", "A 48274-2020")</f>
        <v/>
      </c>
      <c r="V38">
        <f>HYPERLINK("https://klasma.github.io/Logging_2523/klagomål/A 48274-2020 FSC-klagomål.docx", "A 48274-2020")</f>
        <v/>
      </c>
      <c r="W38">
        <f>HYPERLINK("https://klasma.github.io/Logging_2523/klagomålsmail/A 48274-2020 FSC-klagomål mail.docx", "A 48274-2020")</f>
        <v/>
      </c>
      <c r="X38">
        <f>HYPERLINK("https://klasma.github.io/Logging_2523/tillsyn/A 48274-2020 tillsynsbegäran.docx", "A 48274-2020")</f>
        <v/>
      </c>
      <c r="Y38">
        <f>HYPERLINK("https://klasma.github.io/Logging_2523/tillsynsmail/A 48274-2020 tillsynsbegäran mail.docx", "A 48274-2020")</f>
        <v/>
      </c>
    </row>
    <row r="39" ht="15" customHeight="1">
      <c r="A39" t="inlineStr">
        <is>
          <t>A 8351-2021</t>
        </is>
      </c>
      <c r="B39" s="1" t="n">
        <v>44244</v>
      </c>
      <c r="C39" s="1" t="n">
        <v>45345</v>
      </c>
      <c r="D39" t="inlineStr">
        <is>
          <t>NORRBOTTENS LÄN</t>
        </is>
      </c>
      <c r="E39" t="inlineStr">
        <is>
          <t>GÄLLIVARE</t>
        </is>
      </c>
      <c r="F39" t="inlineStr">
        <is>
          <t>SCA</t>
        </is>
      </c>
      <c r="G39" t="n">
        <v>57.3</v>
      </c>
      <c r="H39" t="n">
        <v>0</v>
      </c>
      <c r="I39" t="n">
        <v>0</v>
      </c>
      <c r="J39" t="n">
        <v>0</v>
      </c>
      <c r="K39" t="n">
        <v>2</v>
      </c>
      <c r="L39" t="n">
        <v>0</v>
      </c>
      <c r="M39" t="n">
        <v>0</v>
      </c>
      <c r="N39" t="n">
        <v>0</v>
      </c>
      <c r="O39" t="n">
        <v>2</v>
      </c>
      <c r="P39" t="n">
        <v>2</v>
      </c>
      <c r="Q39" t="n">
        <v>2</v>
      </c>
      <c r="R39" s="2" t="inlineStr">
        <is>
          <t>Fläckporing
Tallstocksticka</t>
        </is>
      </c>
      <c r="S39">
        <f>HYPERLINK("https://klasma.github.io/Logging_2523/artfynd/A 8351-2021 artfynd.xlsx", "A 8351-2021")</f>
        <v/>
      </c>
      <c r="T39">
        <f>HYPERLINK("https://klasma.github.io/Logging_2523/kartor/A 8351-2021 karta.png", "A 8351-2021")</f>
        <v/>
      </c>
      <c r="V39">
        <f>HYPERLINK("https://klasma.github.io/Logging_2523/klagomål/A 8351-2021 FSC-klagomål.docx", "A 8351-2021")</f>
        <v/>
      </c>
      <c r="W39">
        <f>HYPERLINK("https://klasma.github.io/Logging_2523/klagomålsmail/A 8351-2021 FSC-klagomål mail.docx", "A 8351-2021")</f>
        <v/>
      </c>
      <c r="X39">
        <f>HYPERLINK("https://klasma.github.io/Logging_2523/tillsyn/A 8351-2021 tillsynsbegäran.docx", "A 8351-2021")</f>
        <v/>
      </c>
      <c r="Y39">
        <f>HYPERLINK("https://klasma.github.io/Logging_2523/tillsynsmail/A 8351-2021 tillsynsbegäran mail.docx", "A 8351-2021")</f>
        <v/>
      </c>
    </row>
    <row r="40" ht="15" customHeight="1">
      <c r="A40" t="inlineStr">
        <is>
          <t>A 42548-2021</t>
        </is>
      </c>
      <c r="B40" s="1" t="n">
        <v>44427</v>
      </c>
      <c r="C40" s="1" t="n">
        <v>45345</v>
      </c>
      <c r="D40" t="inlineStr">
        <is>
          <t>NORRBOTTENS LÄN</t>
        </is>
      </c>
      <c r="E40" t="inlineStr">
        <is>
          <t>GÄLLIVARE</t>
        </is>
      </c>
      <c r="F40" t="inlineStr">
        <is>
          <t>SCA</t>
        </is>
      </c>
      <c r="G40" t="n">
        <v>3.2</v>
      </c>
      <c r="H40" t="n">
        <v>0</v>
      </c>
      <c r="I40" t="n">
        <v>0</v>
      </c>
      <c r="J40" t="n">
        <v>2</v>
      </c>
      <c r="K40" t="n">
        <v>0</v>
      </c>
      <c r="L40" t="n">
        <v>0</v>
      </c>
      <c r="M40" t="n">
        <v>0</v>
      </c>
      <c r="N40" t="n">
        <v>0</v>
      </c>
      <c r="O40" t="n">
        <v>2</v>
      </c>
      <c r="P40" t="n">
        <v>0</v>
      </c>
      <c r="Q40" t="n">
        <v>2</v>
      </c>
      <c r="R40" s="2" t="inlineStr">
        <is>
          <t>Orange taggsvamp
Svart taggsvamp</t>
        </is>
      </c>
      <c r="S40">
        <f>HYPERLINK("https://klasma.github.io/Logging_2523/artfynd/A 42548-2021 artfynd.xlsx", "A 42548-2021")</f>
        <v/>
      </c>
      <c r="T40">
        <f>HYPERLINK("https://klasma.github.io/Logging_2523/kartor/A 42548-2021 karta.png", "A 42548-2021")</f>
        <v/>
      </c>
      <c r="V40">
        <f>HYPERLINK("https://klasma.github.io/Logging_2523/klagomål/A 42548-2021 FSC-klagomål.docx", "A 42548-2021")</f>
        <v/>
      </c>
      <c r="W40">
        <f>HYPERLINK("https://klasma.github.io/Logging_2523/klagomålsmail/A 42548-2021 FSC-klagomål mail.docx", "A 42548-2021")</f>
        <v/>
      </c>
      <c r="X40">
        <f>HYPERLINK("https://klasma.github.io/Logging_2523/tillsyn/A 42548-2021 tillsynsbegäran.docx", "A 42548-2021")</f>
        <v/>
      </c>
      <c r="Y40">
        <f>HYPERLINK("https://klasma.github.io/Logging_2523/tillsynsmail/A 42548-2021 tillsynsbegäran mail.docx", "A 42548-2021")</f>
        <v/>
      </c>
    </row>
    <row r="41" ht="15" customHeight="1">
      <c r="A41" t="inlineStr">
        <is>
          <t>A 5288-2023</t>
        </is>
      </c>
      <c r="B41" s="1" t="n">
        <v>44959</v>
      </c>
      <c r="C41" s="1" t="n">
        <v>45345</v>
      </c>
      <c r="D41" t="inlineStr">
        <is>
          <t>NORRBOTTENS LÄN</t>
        </is>
      </c>
      <c r="E41" t="inlineStr">
        <is>
          <t>GÄLLIVARE</t>
        </is>
      </c>
      <c r="F41" t="inlineStr">
        <is>
          <t>SCA</t>
        </is>
      </c>
      <c r="G41" t="n">
        <v>12.2</v>
      </c>
      <c r="H41" t="n">
        <v>0</v>
      </c>
      <c r="I41" t="n">
        <v>0</v>
      </c>
      <c r="J41" t="n">
        <v>0</v>
      </c>
      <c r="K41" t="n">
        <v>2</v>
      </c>
      <c r="L41" t="n">
        <v>0</v>
      </c>
      <c r="M41" t="n">
        <v>0</v>
      </c>
      <c r="N41" t="n">
        <v>0</v>
      </c>
      <c r="O41" t="n">
        <v>2</v>
      </c>
      <c r="P41" t="n">
        <v>2</v>
      </c>
      <c r="Q41" t="n">
        <v>2</v>
      </c>
      <c r="R41" s="2" t="inlineStr">
        <is>
          <t>Smultronkantarell
Tallstocksticka</t>
        </is>
      </c>
      <c r="S41">
        <f>HYPERLINK("https://klasma.github.io/Logging_2523/artfynd/A 5288-2023 artfynd.xlsx", "A 5288-2023")</f>
        <v/>
      </c>
      <c r="T41">
        <f>HYPERLINK("https://klasma.github.io/Logging_2523/kartor/A 5288-2023 karta.png", "A 5288-2023")</f>
        <v/>
      </c>
      <c r="V41">
        <f>HYPERLINK("https://klasma.github.io/Logging_2523/klagomål/A 5288-2023 FSC-klagomål.docx", "A 5288-2023")</f>
        <v/>
      </c>
      <c r="W41">
        <f>HYPERLINK("https://klasma.github.io/Logging_2523/klagomålsmail/A 5288-2023 FSC-klagomål mail.docx", "A 5288-2023")</f>
        <v/>
      </c>
      <c r="X41">
        <f>HYPERLINK("https://klasma.github.io/Logging_2523/tillsyn/A 5288-2023 tillsynsbegäran.docx", "A 5288-2023")</f>
        <v/>
      </c>
      <c r="Y41">
        <f>HYPERLINK("https://klasma.github.io/Logging_2523/tillsynsmail/A 5288-2023 tillsynsbegäran mail.docx", "A 5288-2023")</f>
        <v/>
      </c>
    </row>
    <row r="42" ht="15" customHeight="1">
      <c r="A42" t="inlineStr">
        <is>
          <t>A 36248-2023</t>
        </is>
      </c>
      <c r="B42" s="1" t="n">
        <v>45150</v>
      </c>
      <c r="C42" s="1" t="n">
        <v>45345</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45345</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45345</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45345</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45345</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54371-2023</t>
        </is>
      </c>
      <c r="B47" s="1" t="n">
        <v>45233</v>
      </c>
      <c r="C47" s="1" t="n">
        <v>45345</v>
      </c>
      <c r="D47" t="inlineStr">
        <is>
          <t>NORRBOTTENS LÄN</t>
        </is>
      </c>
      <c r="E47" t="inlineStr">
        <is>
          <t>GÄLLIVARE</t>
        </is>
      </c>
      <c r="F47" t="inlineStr">
        <is>
          <t>Sveaskog</t>
        </is>
      </c>
      <c r="G47" t="n">
        <v>15</v>
      </c>
      <c r="H47" t="n">
        <v>0</v>
      </c>
      <c r="I47" t="n">
        <v>0</v>
      </c>
      <c r="J47" t="n">
        <v>2</v>
      </c>
      <c r="K47" t="n">
        <v>0</v>
      </c>
      <c r="L47" t="n">
        <v>0</v>
      </c>
      <c r="M47" t="n">
        <v>0</v>
      </c>
      <c r="N47" t="n">
        <v>0</v>
      </c>
      <c r="O47" t="n">
        <v>2</v>
      </c>
      <c r="P47" t="n">
        <v>0</v>
      </c>
      <c r="Q47" t="n">
        <v>2</v>
      </c>
      <c r="R47" s="2" t="inlineStr">
        <is>
          <t>Gammelgransskål
Vitgrynig nållav</t>
        </is>
      </c>
      <c r="S47">
        <f>HYPERLINK("https://klasma.github.io/Logging_2523/artfynd/A 54371-2023 artfynd.xlsx", "A 54371-2023")</f>
        <v/>
      </c>
      <c r="T47">
        <f>HYPERLINK("https://klasma.github.io/Logging_2523/kartor/A 54371-2023 karta.png", "A 54371-2023")</f>
        <v/>
      </c>
      <c r="V47">
        <f>HYPERLINK("https://klasma.github.io/Logging_2523/klagomål/A 54371-2023 FSC-klagomål.docx", "A 54371-2023")</f>
        <v/>
      </c>
      <c r="W47">
        <f>HYPERLINK("https://klasma.github.io/Logging_2523/klagomålsmail/A 54371-2023 FSC-klagomål mail.docx", "A 54371-2023")</f>
        <v/>
      </c>
      <c r="X47">
        <f>HYPERLINK("https://klasma.github.io/Logging_2523/tillsyn/A 54371-2023 tillsynsbegäran.docx", "A 54371-2023")</f>
        <v/>
      </c>
      <c r="Y47">
        <f>HYPERLINK("https://klasma.github.io/Logging_2523/tillsynsmail/A 54371-2023 tillsynsbegäran mail.docx", "A 54371-2023")</f>
        <v/>
      </c>
    </row>
    <row r="48" ht="15" customHeight="1">
      <c r="A48" t="inlineStr">
        <is>
          <t>A 58642-2023</t>
        </is>
      </c>
      <c r="B48" s="1" t="n">
        <v>45251</v>
      </c>
      <c r="C48" s="1" t="n">
        <v>45345</v>
      </c>
      <c r="D48" t="inlineStr">
        <is>
          <t>NORRBOTTENS LÄN</t>
        </is>
      </c>
      <c r="E48" t="inlineStr">
        <is>
          <t>GÄLLIVARE</t>
        </is>
      </c>
      <c r="F48" t="inlineStr">
        <is>
          <t>Sveaskog</t>
        </is>
      </c>
      <c r="G48" t="n">
        <v>20.3</v>
      </c>
      <c r="H48" t="n">
        <v>0</v>
      </c>
      <c r="I48" t="n">
        <v>0</v>
      </c>
      <c r="J48" t="n">
        <v>2</v>
      </c>
      <c r="K48" t="n">
        <v>0</v>
      </c>
      <c r="L48" t="n">
        <v>0</v>
      </c>
      <c r="M48" t="n">
        <v>0</v>
      </c>
      <c r="N48" t="n">
        <v>0</v>
      </c>
      <c r="O48" t="n">
        <v>2</v>
      </c>
      <c r="P48" t="n">
        <v>0</v>
      </c>
      <c r="Q48" t="n">
        <v>2</v>
      </c>
      <c r="R48" s="2" t="inlineStr">
        <is>
          <t>Blå taggsvamp
Vaddporing</t>
        </is>
      </c>
      <c r="S48">
        <f>HYPERLINK("https://klasma.github.io/Logging_2523/artfynd/A 58642-2023 artfynd.xlsx", "A 58642-2023")</f>
        <v/>
      </c>
      <c r="T48">
        <f>HYPERLINK("https://klasma.github.io/Logging_2523/kartor/A 58642-2023 karta.png", "A 58642-2023")</f>
        <v/>
      </c>
      <c r="V48">
        <f>HYPERLINK("https://klasma.github.io/Logging_2523/klagomål/A 58642-2023 FSC-klagomål.docx", "A 58642-2023")</f>
        <v/>
      </c>
      <c r="W48">
        <f>HYPERLINK("https://klasma.github.io/Logging_2523/klagomålsmail/A 58642-2023 FSC-klagomål mail.docx", "A 58642-2023")</f>
        <v/>
      </c>
      <c r="X48">
        <f>HYPERLINK("https://klasma.github.io/Logging_2523/tillsyn/A 58642-2023 tillsynsbegäran.docx", "A 58642-2023")</f>
        <v/>
      </c>
      <c r="Y48">
        <f>HYPERLINK("https://klasma.github.io/Logging_2523/tillsynsmail/A 58642-2023 tillsynsbegäran mail.docx", "A 58642-2023")</f>
        <v/>
      </c>
    </row>
    <row r="49" ht="15" customHeight="1">
      <c r="A49" t="inlineStr">
        <is>
          <t>A 52392-2018</t>
        </is>
      </c>
      <c r="B49" s="1" t="n">
        <v>43388</v>
      </c>
      <c r="C49" s="1" t="n">
        <v>45345</v>
      </c>
      <c r="D49" t="inlineStr">
        <is>
          <t>NORRBOTTENS LÄN</t>
        </is>
      </c>
      <c r="E49" t="inlineStr">
        <is>
          <t>GÄLLIVARE</t>
        </is>
      </c>
      <c r="F49" t="inlineStr">
        <is>
          <t>Sveaskog</t>
        </is>
      </c>
      <c r="G49" t="n">
        <v>2</v>
      </c>
      <c r="H49" t="n">
        <v>0</v>
      </c>
      <c r="I49" t="n">
        <v>0</v>
      </c>
      <c r="J49" t="n">
        <v>1</v>
      </c>
      <c r="K49" t="n">
        <v>0</v>
      </c>
      <c r="L49" t="n">
        <v>0</v>
      </c>
      <c r="M49" t="n">
        <v>0</v>
      </c>
      <c r="N49" t="n">
        <v>0</v>
      </c>
      <c r="O49" t="n">
        <v>1</v>
      </c>
      <c r="P49" t="n">
        <v>0</v>
      </c>
      <c r="Q49" t="n">
        <v>1</v>
      </c>
      <c r="R49" s="2" t="inlineStr">
        <is>
          <t>Gammelgransskål</t>
        </is>
      </c>
      <c r="S49">
        <f>HYPERLINK("https://klasma.github.io/Logging_2523/artfynd/A 52392-2018 artfynd.xlsx", "A 52392-2018")</f>
        <v/>
      </c>
      <c r="T49">
        <f>HYPERLINK("https://klasma.github.io/Logging_2523/kartor/A 52392-2018 karta.png", "A 52392-2018")</f>
        <v/>
      </c>
      <c r="V49">
        <f>HYPERLINK("https://klasma.github.io/Logging_2523/klagomål/A 52392-2018 FSC-klagomål.docx", "A 52392-2018")</f>
        <v/>
      </c>
      <c r="W49">
        <f>HYPERLINK("https://klasma.github.io/Logging_2523/klagomålsmail/A 52392-2018 FSC-klagomål mail.docx", "A 52392-2018")</f>
        <v/>
      </c>
      <c r="X49">
        <f>HYPERLINK("https://klasma.github.io/Logging_2523/tillsyn/A 52392-2018 tillsynsbegäran.docx", "A 52392-2018")</f>
        <v/>
      </c>
      <c r="Y49">
        <f>HYPERLINK("https://klasma.github.io/Logging_2523/tillsynsmail/A 52392-2018 tillsynsbegäran mail.docx", "A 52392-2018")</f>
        <v/>
      </c>
    </row>
    <row r="50" ht="15" customHeight="1">
      <c r="A50" t="inlineStr">
        <is>
          <t>A 69408-2018</t>
        </is>
      </c>
      <c r="B50" s="1" t="n">
        <v>43446</v>
      </c>
      <c r="C50" s="1" t="n">
        <v>45345</v>
      </c>
      <c r="D50" t="inlineStr">
        <is>
          <t>NORRBOTTENS LÄN</t>
        </is>
      </c>
      <c r="E50" t="inlineStr">
        <is>
          <t>GÄLLIVARE</t>
        </is>
      </c>
      <c r="F50" t="inlineStr">
        <is>
          <t>Sveaskog</t>
        </is>
      </c>
      <c r="G50" t="n">
        <v>5.5</v>
      </c>
      <c r="H50" t="n">
        <v>0</v>
      </c>
      <c r="I50" t="n">
        <v>0</v>
      </c>
      <c r="J50" t="n">
        <v>1</v>
      </c>
      <c r="K50" t="n">
        <v>0</v>
      </c>
      <c r="L50" t="n">
        <v>0</v>
      </c>
      <c r="M50" t="n">
        <v>0</v>
      </c>
      <c r="N50" t="n">
        <v>0</v>
      </c>
      <c r="O50" t="n">
        <v>1</v>
      </c>
      <c r="P50" t="n">
        <v>0</v>
      </c>
      <c r="Q50" t="n">
        <v>1</v>
      </c>
      <c r="R50" s="2" t="inlineStr">
        <is>
          <t>Garnlav</t>
        </is>
      </c>
      <c r="S50">
        <f>HYPERLINK("https://klasma.github.io/Logging_2523/artfynd/A 69408-2018 artfynd.xlsx", "A 69408-2018")</f>
        <v/>
      </c>
      <c r="T50">
        <f>HYPERLINK("https://klasma.github.io/Logging_2523/kartor/A 69408-2018 karta.png", "A 69408-2018")</f>
        <v/>
      </c>
      <c r="V50">
        <f>HYPERLINK("https://klasma.github.io/Logging_2523/klagomål/A 69408-2018 FSC-klagomål.docx", "A 69408-2018")</f>
        <v/>
      </c>
      <c r="W50">
        <f>HYPERLINK("https://klasma.github.io/Logging_2523/klagomålsmail/A 69408-2018 FSC-klagomål mail.docx", "A 69408-2018")</f>
        <v/>
      </c>
      <c r="X50">
        <f>HYPERLINK("https://klasma.github.io/Logging_2523/tillsyn/A 69408-2018 tillsynsbegäran.docx", "A 69408-2018")</f>
        <v/>
      </c>
      <c r="Y50">
        <f>HYPERLINK("https://klasma.github.io/Logging_2523/tillsynsmail/A 69408-2018 tillsynsbegäran mail.docx", "A 69408-2018")</f>
        <v/>
      </c>
    </row>
    <row r="51" ht="15" customHeight="1">
      <c r="A51" t="inlineStr">
        <is>
          <t>A 70079-2018</t>
        </is>
      </c>
      <c r="B51" s="1" t="n">
        <v>43448</v>
      </c>
      <c r="C51" s="1" t="n">
        <v>45345</v>
      </c>
      <c r="D51" t="inlineStr">
        <is>
          <t>NORRBOTTENS LÄN</t>
        </is>
      </c>
      <c r="E51" t="inlineStr">
        <is>
          <t>GÄLLIVARE</t>
        </is>
      </c>
      <c r="F51" t="inlineStr">
        <is>
          <t>Sveaskog</t>
        </is>
      </c>
      <c r="G51" t="n">
        <v>4.7</v>
      </c>
      <c r="H51" t="n">
        <v>0</v>
      </c>
      <c r="I51" t="n">
        <v>0</v>
      </c>
      <c r="J51" t="n">
        <v>1</v>
      </c>
      <c r="K51" t="n">
        <v>0</v>
      </c>
      <c r="L51" t="n">
        <v>0</v>
      </c>
      <c r="M51" t="n">
        <v>0</v>
      </c>
      <c r="N51" t="n">
        <v>0</v>
      </c>
      <c r="O51" t="n">
        <v>1</v>
      </c>
      <c r="P51" t="n">
        <v>0</v>
      </c>
      <c r="Q51" t="n">
        <v>1</v>
      </c>
      <c r="R51" s="2" t="inlineStr">
        <is>
          <t>Garnlav</t>
        </is>
      </c>
      <c r="S51">
        <f>HYPERLINK("https://klasma.github.io/Logging_2523/artfynd/A 70079-2018 artfynd.xlsx", "A 70079-2018")</f>
        <v/>
      </c>
      <c r="T51">
        <f>HYPERLINK("https://klasma.github.io/Logging_2523/kartor/A 70079-2018 karta.png", "A 70079-2018")</f>
        <v/>
      </c>
      <c r="V51">
        <f>HYPERLINK("https://klasma.github.io/Logging_2523/klagomål/A 70079-2018 FSC-klagomål.docx", "A 70079-2018")</f>
        <v/>
      </c>
      <c r="W51">
        <f>HYPERLINK("https://klasma.github.io/Logging_2523/klagomålsmail/A 70079-2018 FSC-klagomål mail.docx", "A 70079-2018")</f>
        <v/>
      </c>
      <c r="X51">
        <f>HYPERLINK("https://klasma.github.io/Logging_2523/tillsyn/A 70079-2018 tillsynsbegäran.docx", "A 70079-2018")</f>
        <v/>
      </c>
      <c r="Y51">
        <f>HYPERLINK("https://klasma.github.io/Logging_2523/tillsynsmail/A 70079-2018 tillsynsbegäran mail.docx", "A 70079-2018")</f>
        <v/>
      </c>
    </row>
    <row r="52" ht="15" customHeight="1">
      <c r="A52" t="inlineStr">
        <is>
          <t>A 7822-2019</t>
        </is>
      </c>
      <c r="B52" s="1" t="n">
        <v>43500</v>
      </c>
      <c r="C52" s="1" t="n">
        <v>45345</v>
      </c>
      <c r="D52" t="inlineStr">
        <is>
          <t>NORRBOTTENS LÄN</t>
        </is>
      </c>
      <c r="E52" t="inlineStr">
        <is>
          <t>GÄLLIVARE</t>
        </is>
      </c>
      <c r="G52" t="n">
        <v>1.1</v>
      </c>
      <c r="H52" t="n">
        <v>0</v>
      </c>
      <c r="I52" t="n">
        <v>0</v>
      </c>
      <c r="J52" t="n">
        <v>1</v>
      </c>
      <c r="K52" t="n">
        <v>0</v>
      </c>
      <c r="L52" t="n">
        <v>0</v>
      </c>
      <c r="M52" t="n">
        <v>0</v>
      </c>
      <c r="N52" t="n">
        <v>0</v>
      </c>
      <c r="O52" t="n">
        <v>1</v>
      </c>
      <c r="P52" t="n">
        <v>0</v>
      </c>
      <c r="Q52" t="n">
        <v>1</v>
      </c>
      <c r="R52" s="2" t="inlineStr">
        <is>
          <t>Reliktbock</t>
        </is>
      </c>
      <c r="S52">
        <f>HYPERLINK("https://klasma.github.io/Logging_2523/artfynd/A 7822-2019 artfynd.xlsx", "A 7822-2019")</f>
        <v/>
      </c>
      <c r="T52">
        <f>HYPERLINK("https://klasma.github.io/Logging_2523/kartor/A 7822-2019 karta.png", "A 7822-2019")</f>
        <v/>
      </c>
      <c r="V52">
        <f>HYPERLINK("https://klasma.github.io/Logging_2523/klagomål/A 7822-2019 FSC-klagomål.docx", "A 7822-2019")</f>
        <v/>
      </c>
      <c r="W52">
        <f>HYPERLINK("https://klasma.github.io/Logging_2523/klagomålsmail/A 7822-2019 FSC-klagomål mail.docx", "A 7822-2019")</f>
        <v/>
      </c>
      <c r="X52">
        <f>HYPERLINK("https://klasma.github.io/Logging_2523/tillsyn/A 7822-2019 tillsynsbegäran.docx", "A 7822-2019")</f>
        <v/>
      </c>
      <c r="Y52">
        <f>HYPERLINK("https://klasma.github.io/Logging_2523/tillsynsmail/A 7822-2019 tillsynsbegäran mail.docx", "A 7822-2019")</f>
        <v/>
      </c>
    </row>
    <row r="53" ht="15" customHeight="1">
      <c r="A53" t="inlineStr">
        <is>
          <t>A 9144-2019</t>
        </is>
      </c>
      <c r="B53" s="1" t="n">
        <v>43504</v>
      </c>
      <c r="C53" s="1" t="n">
        <v>45345</v>
      </c>
      <c r="D53" t="inlineStr">
        <is>
          <t>NORRBOTTENS LÄN</t>
        </is>
      </c>
      <c r="E53" t="inlineStr">
        <is>
          <t>GÄLLIVARE</t>
        </is>
      </c>
      <c r="G53" t="n">
        <v>44.5</v>
      </c>
      <c r="H53" t="n">
        <v>0</v>
      </c>
      <c r="I53" t="n">
        <v>0</v>
      </c>
      <c r="J53" t="n">
        <v>1</v>
      </c>
      <c r="K53" t="n">
        <v>0</v>
      </c>
      <c r="L53" t="n">
        <v>0</v>
      </c>
      <c r="M53" t="n">
        <v>0</v>
      </c>
      <c r="N53" t="n">
        <v>0</v>
      </c>
      <c r="O53" t="n">
        <v>1</v>
      </c>
      <c r="P53" t="n">
        <v>0</v>
      </c>
      <c r="Q53" t="n">
        <v>1</v>
      </c>
      <c r="R53" s="2" t="inlineStr">
        <is>
          <t>Knottrig blåslav</t>
        </is>
      </c>
      <c r="S53">
        <f>HYPERLINK("https://klasma.github.io/Logging_2523/artfynd/A 9144-2019 artfynd.xlsx", "A 9144-2019")</f>
        <v/>
      </c>
      <c r="T53">
        <f>HYPERLINK("https://klasma.github.io/Logging_2523/kartor/A 9144-2019 karta.png", "A 9144-2019")</f>
        <v/>
      </c>
      <c r="V53">
        <f>HYPERLINK("https://klasma.github.io/Logging_2523/klagomål/A 9144-2019 FSC-klagomål.docx", "A 9144-2019")</f>
        <v/>
      </c>
      <c r="W53">
        <f>HYPERLINK("https://klasma.github.io/Logging_2523/klagomålsmail/A 9144-2019 FSC-klagomål mail.docx", "A 9144-2019")</f>
        <v/>
      </c>
      <c r="X53">
        <f>HYPERLINK("https://klasma.github.io/Logging_2523/tillsyn/A 9144-2019 tillsynsbegäran.docx", "A 9144-2019")</f>
        <v/>
      </c>
      <c r="Y53">
        <f>HYPERLINK("https://klasma.github.io/Logging_2523/tillsynsmail/A 9144-2019 tillsynsbegäran mail.docx", "A 9144-2019")</f>
        <v/>
      </c>
    </row>
    <row r="54" ht="15" customHeight="1">
      <c r="A54" t="inlineStr">
        <is>
          <t>A 28204-2019</t>
        </is>
      </c>
      <c r="B54" s="1" t="n">
        <v>43621</v>
      </c>
      <c r="C54" s="1" t="n">
        <v>45345</v>
      </c>
      <c r="D54" t="inlineStr">
        <is>
          <t>NORRBOTTENS LÄN</t>
        </is>
      </c>
      <c r="E54" t="inlineStr">
        <is>
          <t>GÄLLIVARE</t>
        </is>
      </c>
      <c r="F54" t="inlineStr">
        <is>
          <t>SCA</t>
        </is>
      </c>
      <c r="G54" t="n">
        <v>2.6</v>
      </c>
      <c r="H54" t="n">
        <v>0</v>
      </c>
      <c r="I54" t="n">
        <v>1</v>
      </c>
      <c r="J54" t="n">
        <v>0</v>
      </c>
      <c r="K54" t="n">
        <v>0</v>
      </c>
      <c r="L54" t="n">
        <v>0</v>
      </c>
      <c r="M54" t="n">
        <v>0</v>
      </c>
      <c r="N54" t="n">
        <v>0</v>
      </c>
      <c r="O54" t="n">
        <v>0</v>
      </c>
      <c r="P54" t="n">
        <v>0</v>
      </c>
      <c r="Q54" t="n">
        <v>1</v>
      </c>
      <c r="R54" s="2" t="inlineStr">
        <is>
          <t>Bollvitmossa</t>
        </is>
      </c>
      <c r="S54">
        <f>HYPERLINK("https://klasma.github.io/Logging_2523/artfynd/A 28204-2019 artfynd.xlsx", "A 28204-2019")</f>
        <v/>
      </c>
      <c r="T54">
        <f>HYPERLINK("https://klasma.github.io/Logging_2523/kartor/A 28204-2019 karta.png", "A 28204-2019")</f>
        <v/>
      </c>
      <c r="V54">
        <f>HYPERLINK("https://klasma.github.io/Logging_2523/klagomål/A 28204-2019 FSC-klagomål.docx", "A 28204-2019")</f>
        <v/>
      </c>
      <c r="W54">
        <f>HYPERLINK("https://klasma.github.io/Logging_2523/klagomålsmail/A 28204-2019 FSC-klagomål mail.docx", "A 28204-2019")</f>
        <v/>
      </c>
      <c r="X54">
        <f>HYPERLINK("https://klasma.github.io/Logging_2523/tillsyn/A 28204-2019 tillsynsbegäran.docx", "A 28204-2019")</f>
        <v/>
      </c>
      <c r="Y54">
        <f>HYPERLINK("https://klasma.github.io/Logging_2523/tillsynsmail/A 28204-2019 tillsynsbegäran mail.docx", "A 28204-2019")</f>
        <v/>
      </c>
    </row>
    <row r="55" ht="15" customHeight="1">
      <c r="A55" t="inlineStr">
        <is>
          <t>A 41384-2019</t>
        </is>
      </c>
      <c r="B55" s="1" t="n">
        <v>43698</v>
      </c>
      <c r="C55" s="1" t="n">
        <v>45345</v>
      </c>
      <c r="D55" t="inlineStr">
        <is>
          <t>NORRBOTTENS LÄN</t>
        </is>
      </c>
      <c r="E55" t="inlineStr">
        <is>
          <t>GÄLLIVARE</t>
        </is>
      </c>
      <c r="F55" t="inlineStr">
        <is>
          <t>Sveaskog</t>
        </is>
      </c>
      <c r="G55" t="n">
        <v>3</v>
      </c>
      <c r="H55" t="n">
        <v>0</v>
      </c>
      <c r="I55" t="n">
        <v>0</v>
      </c>
      <c r="J55" t="n">
        <v>1</v>
      </c>
      <c r="K55" t="n">
        <v>0</v>
      </c>
      <c r="L55" t="n">
        <v>0</v>
      </c>
      <c r="M55" t="n">
        <v>0</v>
      </c>
      <c r="N55" t="n">
        <v>0</v>
      </c>
      <c r="O55" t="n">
        <v>1</v>
      </c>
      <c r="P55" t="n">
        <v>0</v>
      </c>
      <c r="Q55" t="n">
        <v>1</v>
      </c>
      <c r="R55" s="2" t="inlineStr">
        <is>
          <t>Kolflarnlav</t>
        </is>
      </c>
      <c r="S55">
        <f>HYPERLINK("https://klasma.github.io/Logging_2523/artfynd/A 41384-2019 artfynd.xlsx", "A 41384-2019")</f>
        <v/>
      </c>
      <c r="T55">
        <f>HYPERLINK("https://klasma.github.io/Logging_2523/kartor/A 41384-2019 karta.png", "A 41384-2019")</f>
        <v/>
      </c>
      <c r="V55">
        <f>HYPERLINK("https://klasma.github.io/Logging_2523/klagomål/A 41384-2019 FSC-klagomål.docx", "A 41384-2019")</f>
        <v/>
      </c>
      <c r="W55">
        <f>HYPERLINK("https://klasma.github.io/Logging_2523/klagomålsmail/A 41384-2019 FSC-klagomål mail.docx", "A 41384-2019")</f>
        <v/>
      </c>
      <c r="X55">
        <f>HYPERLINK("https://klasma.github.io/Logging_2523/tillsyn/A 41384-2019 tillsynsbegäran.docx", "A 41384-2019")</f>
        <v/>
      </c>
      <c r="Y55">
        <f>HYPERLINK("https://klasma.github.io/Logging_2523/tillsynsmail/A 41384-2019 tillsynsbegäran mail.docx", "A 41384-2019")</f>
        <v/>
      </c>
    </row>
    <row r="56" ht="15" customHeight="1">
      <c r="A56" t="inlineStr">
        <is>
          <t>A 52060-2020</t>
        </is>
      </c>
      <c r="B56" s="1" t="n">
        <v>44116</v>
      </c>
      <c r="C56" s="1" t="n">
        <v>45345</v>
      </c>
      <c r="D56" t="inlineStr">
        <is>
          <t>NORRBOTTENS LÄN</t>
        </is>
      </c>
      <c r="E56" t="inlineStr">
        <is>
          <t>GÄLLIVARE</t>
        </is>
      </c>
      <c r="F56" t="inlineStr">
        <is>
          <t>SCA</t>
        </is>
      </c>
      <c r="G56" t="n">
        <v>8.5</v>
      </c>
      <c r="H56" t="n">
        <v>0</v>
      </c>
      <c r="I56" t="n">
        <v>0</v>
      </c>
      <c r="J56" t="n">
        <v>0</v>
      </c>
      <c r="K56" t="n">
        <v>1</v>
      </c>
      <c r="L56" t="n">
        <v>0</v>
      </c>
      <c r="M56" t="n">
        <v>0</v>
      </c>
      <c r="N56" t="n">
        <v>0</v>
      </c>
      <c r="O56" t="n">
        <v>1</v>
      </c>
      <c r="P56" t="n">
        <v>1</v>
      </c>
      <c r="Q56" t="n">
        <v>1</v>
      </c>
      <c r="R56" s="2" t="inlineStr">
        <is>
          <t>Gräddporing</t>
        </is>
      </c>
      <c r="S56">
        <f>HYPERLINK("https://klasma.github.io/Logging_2523/artfynd/A 52060-2020 artfynd.xlsx", "A 52060-2020")</f>
        <v/>
      </c>
      <c r="T56">
        <f>HYPERLINK("https://klasma.github.io/Logging_2523/kartor/A 52060-2020 karta.png", "A 52060-2020")</f>
        <v/>
      </c>
      <c r="V56">
        <f>HYPERLINK("https://klasma.github.io/Logging_2523/klagomål/A 52060-2020 FSC-klagomål.docx", "A 52060-2020")</f>
        <v/>
      </c>
      <c r="W56">
        <f>HYPERLINK("https://klasma.github.io/Logging_2523/klagomålsmail/A 52060-2020 FSC-klagomål mail.docx", "A 52060-2020")</f>
        <v/>
      </c>
      <c r="X56">
        <f>HYPERLINK("https://klasma.github.io/Logging_2523/tillsyn/A 52060-2020 tillsynsbegäran.docx", "A 52060-2020")</f>
        <v/>
      </c>
      <c r="Y56">
        <f>HYPERLINK("https://klasma.github.io/Logging_2523/tillsynsmail/A 52060-2020 tillsynsbegäran mail.docx", "A 52060-2020")</f>
        <v/>
      </c>
    </row>
    <row r="57" ht="15" customHeight="1">
      <c r="A57" t="inlineStr">
        <is>
          <t>A 45017-2021</t>
        </is>
      </c>
      <c r="B57" s="1" t="n">
        <v>44438</v>
      </c>
      <c r="C57" s="1" t="n">
        <v>45345</v>
      </c>
      <c r="D57" t="inlineStr">
        <is>
          <t>NORRBOTTENS LÄN</t>
        </is>
      </c>
      <c r="E57" t="inlineStr">
        <is>
          <t>GÄLLIVARE</t>
        </is>
      </c>
      <c r="F57" t="inlineStr">
        <is>
          <t>SCA</t>
        </is>
      </c>
      <c r="G57" t="n">
        <v>4.8</v>
      </c>
      <c r="H57" t="n">
        <v>0</v>
      </c>
      <c r="I57" t="n">
        <v>0</v>
      </c>
      <c r="J57" t="n">
        <v>1</v>
      </c>
      <c r="K57" t="n">
        <v>0</v>
      </c>
      <c r="L57" t="n">
        <v>0</v>
      </c>
      <c r="M57" t="n">
        <v>0</v>
      </c>
      <c r="N57" t="n">
        <v>0</v>
      </c>
      <c r="O57" t="n">
        <v>1</v>
      </c>
      <c r="P57" t="n">
        <v>0</v>
      </c>
      <c r="Q57" t="n">
        <v>1</v>
      </c>
      <c r="R57" s="2" t="inlineStr">
        <is>
          <t>Garnlav</t>
        </is>
      </c>
      <c r="S57">
        <f>HYPERLINK("https://klasma.github.io/Logging_2523/artfynd/A 45017-2021 artfynd.xlsx", "A 45017-2021")</f>
        <v/>
      </c>
      <c r="T57">
        <f>HYPERLINK("https://klasma.github.io/Logging_2523/kartor/A 45017-2021 karta.png", "A 45017-2021")</f>
        <v/>
      </c>
      <c r="V57">
        <f>HYPERLINK("https://klasma.github.io/Logging_2523/klagomål/A 45017-2021 FSC-klagomål.docx", "A 45017-2021")</f>
        <v/>
      </c>
      <c r="W57">
        <f>HYPERLINK("https://klasma.github.io/Logging_2523/klagomålsmail/A 45017-2021 FSC-klagomål mail.docx", "A 45017-2021")</f>
        <v/>
      </c>
      <c r="X57">
        <f>HYPERLINK("https://klasma.github.io/Logging_2523/tillsyn/A 45017-2021 tillsynsbegäran.docx", "A 45017-2021")</f>
        <v/>
      </c>
      <c r="Y57">
        <f>HYPERLINK("https://klasma.github.io/Logging_2523/tillsynsmail/A 45017-2021 tillsynsbegäran mail.docx", "A 45017-2021")</f>
        <v/>
      </c>
    </row>
    <row r="58" ht="15" customHeight="1">
      <c r="A58" t="inlineStr">
        <is>
          <t>A 57535-2021</t>
        </is>
      </c>
      <c r="B58" s="1" t="n">
        <v>44483</v>
      </c>
      <c r="C58" s="1" t="n">
        <v>45345</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49188-2022</t>
        </is>
      </c>
      <c r="B59" s="1" t="n">
        <v>44860</v>
      </c>
      <c r="C59" s="1" t="n">
        <v>45345</v>
      </c>
      <c r="D59" t="inlineStr">
        <is>
          <t>NORRBOTTENS LÄN</t>
        </is>
      </c>
      <c r="E59" t="inlineStr">
        <is>
          <t>GÄLLIVARE</t>
        </is>
      </c>
      <c r="F59" t="inlineStr">
        <is>
          <t>SCA</t>
        </is>
      </c>
      <c r="G59" t="n">
        <v>5.4</v>
      </c>
      <c r="H59" t="n">
        <v>0</v>
      </c>
      <c r="I59" t="n">
        <v>1</v>
      </c>
      <c r="J59" t="n">
        <v>0</v>
      </c>
      <c r="K59" t="n">
        <v>0</v>
      </c>
      <c r="L59" t="n">
        <v>0</v>
      </c>
      <c r="M59" t="n">
        <v>0</v>
      </c>
      <c r="N59" t="n">
        <v>0</v>
      </c>
      <c r="O59" t="n">
        <v>0</v>
      </c>
      <c r="P59" t="n">
        <v>0</v>
      </c>
      <c r="Q59" t="n">
        <v>1</v>
      </c>
      <c r="R59" s="2" t="inlineStr">
        <is>
          <t>Dropptaggsvamp</t>
        </is>
      </c>
      <c r="S59">
        <f>HYPERLINK("https://klasma.github.io/Logging_2523/artfynd/A 49188-2022 artfynd.xlsx", "A 49188-2022")</f>
        <v/>
      </c>
      <c r="T59">
        <f>HYPERLINK("https://klasma.github.io/Logging_2523/kartor/A 49188-2022 karta.png", "A 49188-2022")</f>
        <v/>
      </c>
      <c r="V59">
        <f>HYPERLINK("https://klasma.github.io/Logging_2523/klagomål/A 49188-2022 FSC-klagomål.docx", "A 49188-2022")</f>
        <v/>
      </c>
      <c r="W59">
        <f>HYPERLINK("https://klasma.github.io/Logging_2523/klagomålsmail/A 49188-2022 FSC-klagomål mail.docx", "A 49188-2022")</f>
        <v/>
      </c>
      <c r="X59">
        <f>HYPERLINK("https://klasma.github.io/Logging_2523/tillsyn/A 49188-2022 tillsynsbegäran.docx", "A 49188-2022")</f>
        <v/>
      </c>
      <c r="Y59">
        <f>HYPERLINK("https://klasma.github.io/Logging_2523/tillsynsmail/A 49188-2022 tillsynsbegäran mail.docx", "A 49188-2022")</f>
        <v/>
      </c>
    </row>
    <row r="60" ht="15" customHeight="1">
      <c r="A60" t="inlineStr">
        <is>
          <t>A 27336-2023</t>
        </is>
      </c>
      <c r="B60" s="1" t="n">
        <v>45096</v>
      </c>
      <c r="C60" s="1" t="n">
        <v>45345</v>
      </c>
      <c r="D60" t="inlineStr">
        <is>
          <t>NORRBOTTENS LÄN</t>
        </is>
      </c>
      <c r="E60" t="inlineStr">
        <is>
          <t>GÄLLIVARE</t>
        </is>
      </c>
      <c r="G60" t="n">
        <v>1.8</v>
      </c>
      <c r="H60" t="n">
        <v>0</v>
      </c>
      <c r="I60" t="n">
        <v>1</v>
      </c>
      <c r="J60" t="n">
        <v>0</v>
      </c>
      <c r="K60" t="n">
        <v>0</v>
      </c>
      <c r="L60" t="n">
        <v>0</v>
      </c>
      <c r="M60" t="n">
        <v>0</v>
      </c>
      <c r="N60" t="n">
        <v>0</v>
      </c>
      <c r="O60" t="n">
        <v>0</v>
      </c>
      <c r="P60" t="n">
        <v>0</v>
      </c>
      <c r="Q60" t="n">
        <v>1</v>
      </c>
      <c r="R60" s="2" t="inlineStr">
        <is>
          <t>Dropptaggsvamp</t>
        </is>
      </c>
      <c r="S60">
        <f>HYPERLINK("https://klasma.github.io/Logging_2523/artfynd/A 27336-2023 artfynd.xlsx", "A 27336-2023")</f>
        <v/>
      </c>
      <c r="T60">
        <f>HYPERLINK("https://klasma.github.io/Logging_2523/kartor/A 27336-2023 karta.png", "A 27336-2023")</f>
        <v/>
      </c>
      <c r="V60">
        <f>HYPERLINK("https://klasma.github.io/Logging_2523/klagomål/A 27336-2023 FSC-klagomål.docx", "A 27336-2023")</f>
        <v/>
      </c>
      <c r="W60">
        <f>HYPERLINK("https://klasma.github.io/Logging_2523/klagomålsmail/A 27336-2023 FSC-klagomål mail.docx", "A 27336-2023")</f>
        <v/>
      </c>
      <c r="X60">
        <f>HYPERLINK("https://klasma.github.io/Logging_2523/tillsyn/A 27336-2023 tillsynsbegäran.docx", "A 27336-2023")</f>
        <v/>
      </c>
      <c r="Y60">
        <f>HYPERLINK("https://klasma.github.io/Logging_2523/tillsynsmail/A 27336-2023 tillsynsbegäran mail.docx", "A 27336-2023")</f>
        <v/>
      </c>
    </row>
    <row r="61" ht="15" customHeight="1">
      <c r="A61" t="inlineStr">
        <is>
          <t>A 30746-2023</t>
        </is>
      </c>
      <c r="B61" s="1" t="n">
        <v>45103</v>
      </c>
      <c r="C61" s="1" t="n">
        <v>45345</v>
      </c>
      <c r="D61" t="inlineStr">
        <is>
          <t>NORRBOTTENS LÄN</t>
        </is>
      </c>
      <c r="E61" t="inlineStr">
        <is>
          <t>GÄLLIVARE</t>
        </is>
      </c>
      <c r="F61" t="inlineStr">
        <is>
          <t>Allmännings- och besparingsskogar</t>
        </is>
      </c>
      <c r="G61" t="n">
        <v>13.9</v>
      </c>
      <c r="H61" t="n">
        <v>0</v>
      </c>
      <c r="I61" t="n">
        <v>0</v>
      </c>
      <c r="J61" t="n">
        <v>1</v>
      </c>
      <c r="K61" t="n">
        <v>0</v>
      </c>
      <c r="L61" t="n">
        <v>0</v>
      </c>
      <c r="M61" t="n">
        <v>0</v>
      </c>
      <c r="N61" t="n">
        <v>0</v>
      </c>
      <c r="O61" t="n">
        <v>1</v>
      </c>
      <c r="P61" t="n">
        <v>0</v>
      </c>
      <c r="Q61" t="n">
        <v>1</v>
      </c>
      <c r="R61" s="2" t="inlineStr">
        <is>
          <t>Mörk kolflarnlav</t>
        </is>
      </c>
      <c r="S61">
        <f>HYPERLINK("https://klasma.github.io/Logging_2523/artfynd/A 30746-2023 artfynd.xlsx", "A 30746-2023")</f>
        <v/>
      </c>
      <c r="T61">
        <f>HYPERLINK("https://klasma.github.io/Logging_2523/kartor/A 30746-2023 karta.png", "A 30746-2023")</f>
        <v/>
      </c>
      <c r="V61">
        <f>HYPERLINK("https://klasma.github.io/Logging_2523/klagomål/A 30746-2023 FSC-klagomål.docx", "A 30746-2023")</f>
        <v/>
      </c>
      <c r="W61">
        <f>HYPERLINK("https://klasma.github.io/Logging_2523/klagomålsmail/A 30746-2023 FSC-klagomål mail.docx", "A 30746-2023")</f>
        <v/>
      </c>
      <c r="X61">
        <f>HYPERLINK("https://klasma.github.io/Logging_2523/tillsyn/A 30746-2023 tillsynsbegäran.docx", "A 30746-2023")</f>
        <v/>
      </c>
      <c r="Y61">
        <f>HYPERLINK("https://klasma.github.io/Logging_2523/tillsynsmail/A 30746-2023 tillsynsbegäran mail.docx", "A 30746-2023")</f>
        <v/>
      </c>
    </row>
    <row r="62" ht="15" customHeight="1">
      <c r="A62" t="inlineStr">
        <is>
          <t>A 33388-2023</t>
        </is>
      </c>
      <c r="B62" s="1" t="n">
        <v>45117</v>
      </c>
      <c r="C62" s="1" t="n">
        <v>45345</v>
      </c>
      <c r="D62" t="inlineStr">
        <is>
          <t>NORRBOTTENS LÄN</t>
        </is>
      </c>
      <c r="E62" t="inlineStr">
        <is>
          <t>GÄLLIVARE</t>
        </is>
      </c>
      <c r="F62" t="inlineStr">
        <is>
          <t>Allmännings- och besparingsskogar</t>
        </is>
      </c>
      <c r="G62" t="n">
        <v>3.8</v>
      </c>
      <c r="H62" t="n">
        <v>0</v>
      </c>
      <c r="I62" t="n">
        <v>0</v>
      </c>
      <c r="J62" t="n">
        <v>1</v>
      </c>
      <c r="K62" t="n">
        <v>0</v>
      </c>
      <c r="L62" t="n">
        <v>0</v>
      </c>
      <c r="M62" t="n">
        <v>0</v>
      </c>
      <c r="N62" t="n">
        <v>0</v>
      </c>
      <c r="O62" t="n">
        <v>1</v>
      </c>
      <c r="P62" t="n">
        <v>0</v>
      </c>
      <c r="Q62" t="n">
        <v>1</v>
      </c>
      <c r="R62" s="2" t="inlineStr">
        <is>
          <t>Kolflarnlav</t>
        </is>
      </c>
      <c r="S62">
        <f>HYPERLINK("https://klasma.github.io/Logging_2523/artfynd/A 33388-2023 artfynd.xlsx", "A 33388-2023")</f>
        <v/>
      </c>
      <c r="T62">
        <f>HYPERLINK("https://klasma.github.io/Logging_2523/kartor/A 33388-2023 karta.png", "A 33388-2023")</f>
        <v/>
      </c>
      <c r="V62">
        <f>HYPERLINK("https://klasma.github.io/Logging_2523/klagomål/A 33388-2023 FSC-klagomål.docx", "A 33388-2023")</f>
        <v/>
      </c>
      <c r="W62">
        <f>HYPERLINK("https://klasma.github.io/Logging_2523/klagomålsmail/A 33388-2023 FSC-klagomål mail.docx", "A 33388-2023")</f>
        <v/>
      </c>
      <c r="X62">
        <f>HYPERLINK("https://klasma.github.io/Logging_2523/tillsyn/A 33388-2023 tillsynsbegäran.docx", "A 33388-2023")</f>
        <v/>
      </c>
      <c r="Y62">
        <f>HYPERLINK("https://klasma.github.io/Logging_2523/tillsynsmail/A 33388-2023 tillsynsbegäran mail.docx", "A 33388-2023")</f>
        <v/>
      </c>
    </row>
    <row r="63" ht="15" customHeight="1">
      <c r="A63" t="inlineStr">
        <is>
          <t>A 40815-2023</t>
        </is>
      </c>
      <c r="B63" s="1" t="n">
        <v>45171</v>
      </c>
      <c r="C63" s="1" t="n">
        <v>45345</v>
      </c>
      <c r="D63" t="inlineStr">
        <is>
          <t>NORRBOTTENS LÄN</t>
        </is>
      </c>
      <c r="E63" t="inlineStr">
        <is>
          <t>GÄLLIVARE</t>
        </is>
      </c>
      <c r="F63" t="inlineStr">
        <is>
          <t>Sveaskog</t>
        </is>
      </c>
      <c r="G63" t="n">
        <v>31.4</v>
      </c>
      <c r="H63" t="n">
        <v>0</v>
      </c>
      <c r="I63" t="n">
        <v>0</v>
      </c>
      <c r="J63" t="n">
        <v>1</v>
      </c>
      <c r="K63" t="n">
        <v>0</v>
      </c>
      <c r="L63" t="n">
        <v>0</v>
      </c>
      <c r="M63" t="n">
        <v>0</v>
      </c>
      <c r="N63" t="n">
        <v>0</v>
      </c>
      <c r="O63" t="n">
        <v>1</v>
      </c>
      <c r="P63" t="n">
        <v>0</v>
      </c>
      <c r="Q63" t="n">
        <v>1</v>
      </c>
      <c r="R63" s="2" t="inlineStr">
        <is>
          <t>Talltaggsvamp</t>
        </is>
      </c>
      <c r="S63">
        <f>HYPERLINK("https://klasma.github.io/Logging_2523/artfynd/A 40815-2023 artfynd.xlsx", "A 40815-2023")</f>
        <v/>
      </c>
      <c r="T63">
        <f>HYPERLINK("https://klasma.github.io/Logging_2523/kartor/A 40815-2023 karta.png", "A 40815-2023")</f>
        <v/>
      </c>
      <c r="V63">
        <f>HYPERLINK("https://klasma.github.io/Logging_2523/klagomål/A 40815-2023 FSC-klagomål.docx", "A 40815-2023")</f>
        <v/>
      </c>
      <c r="W63">
        <f>HYPERLINK("https://klasma.github.io/Logging_2523/klagomålsmail/A 40815-2023 FSC-klagomål mail.docx", "A 40815-2023")</f>
        <v/>
      </c>
      <c r="X63">
        <f>HYPERLINK("https://klasma.github.io/Logging_2523/tillsyn/A 40815-2023 tillsynsbegäran.docx", "A 40815-2023")</f>
        <v/>
      </c>
      <c r="Y63">
        <f>HYPERLINK("https://klasma.github.io/Logging_2523/tillsynsmail/A 40815-2023 tillsynsbegäran mail.docx", "A 40815-2023")</f>
        <v/>
      </c>
    </row>
    <row r="64" ht="15" customHeight="1">
      <c r="A64" t="inlineStr">
        <is>
          <t>A 41652-2023</t>
        </is>
      </c>
      <c r="B64" s="1" t="n">
        <v>45175</v>
      </c>
      <c r="C64" s="1" t="n">
        <v>45345</v>
      </c>
      <c r="D64" t="inlineStr">
        <is>
          <t>NORRBOTTENS LÄN</t>
        </is>
      </c>
      <c r="E64" t="inlineStr">
        <is>
          <t>GÄLLIVARE</t>
        </is>
      </c>
      <c r="F64" t="inlineStr">
        <is>
          <t>SCA</t>
        </is>
      </c>
      <c r="G64" t="n">
        <v>16.1</v>
      </c>
      <c r="H64" t="n">
        <v>0</v>
      </c>
      <c r="I64" t="n">
        <v>0</v>
      </c>
      <c r="J64" t="n">
        <v>0</v>
      </c>
      <c r="K64" t="n">
        <v>1</v>
      </c>
      <c r="L64" t="n">
        <v>0</v>
      </c>
      <c r="M64" t="n">
        <v>0</v>
      </c>
      <c r="N64" t="n">
        <v>0</v>
      </c>
      <c r="O64" t="n">
        <v>1</v>
      </c>
      <c r="P64" t="n">
        <v>1</v>
      </c>
      <c r="Q64" t="n">
        <v>1</v>
      </c>
      <c r="R64" s="2" t="inlineStr">
        <is>
          <t>Fläckporing</t>
        </is>
      </c>
      <c r="S64">
        <f>HYPERLINK("https://klasma.github.io/Logging_2523/artfynd/A 41652-2023 artfynd.xlsx", "A 41652-2023")</f>
        <v/>
      </c>
      <c r="T64">
        <f>HYPERLINK("https://klasma.github.io/Logging_2523/kartor/A 41652-2023 karta.png", "A 41652-2023")</f>
        <v/>
      </c>
      <c r="V64">
        <f>HYPERLINK("https://klasma.github.io/Logging_2523/klagomål/A 41652-2023 FSC-klagomål.docx", "A 41652-2023")</f>
        <v/>
      </c>
      <c r="W64">
        <f>HYPERLINK("https://klasma.github.io/Logging_2523/klagomålsmail/A 41652-2023 FSC-klagomål mail.docx", "A 41652-2023")</f>
        <v/>
      </c>
      <c r="X64">
        <f>HYPERLINK("https://klasma.github.io/Logging_2523/tillsyn/A 41652-2023 tillsynsbegäran.docx", "A 41652-2023")</f>
        <v/>
      </c>
      <c r="Y64">
        <f>HYPERLINK("https://klasma.github.io/Logging_2523/tillsynsmail/A 41652-2023 tillsynsbegäran mail.docx", "A 41652-2023")</f>
        <v/>
      </c>
    </row>
    <row r="65" ht="15" customHeight="1">
      <c r="A65" t="inlineStr">
        <is>
          <t>A 43323-2023</t>
        </is>
      </c>
      <c r="B65" s="1" t="n">
        <v>45183</v>
      </c>
      <c r="C65" s="1" t="n">
        <v>45345</v>
      </c>
      <c r="D65" t="inlineStr">
        <is>
          <t>NORRBOTTENS LÄN</t>
        </is>
      </c>
      <c r="E65" t="inlineStr">
        <is>
          <t>GÄLLIVARE</t>
        </is>
      </c>
      <c r="F65" t="inlineStr">
        <is>
          <t>Sveaskog</t>
        </is>
      </c>
      <c r="G65" t="n">
        <v>30.4</v>
      </c>
      <c r="H65" t="n">
        <v>1</v>
      </c>
      <c r="I65" t="n">
        <v>1</v>
      </c>
      <c r="J65" t="n">
        <v>0</v>
      </c>
      <c r="K65" t="n">
        <v>0</v>
      </c>
      <c r="L65" t="n">
        <v>0</v>
      </c>
      <c r="M65" t="n">
        <v>0</v>
      </c>
      <c r="N65" t="n">
        <v>0</v>
      </c>
      <c r="O65" t="n">
        <v>0</v>
      </c>
      <c r="P65" t="n">
        <v>0</v>
      </c>
      <c r="Q65" t="n">
        <v>1</v>
      </c>
      <c r="R65" s="2" t="inlineStr">
        <is>
          <t>Plattlummer</t>
        </is>
      </c>
      <c r="S65">
        <f>HYPERLINK("https://klasma.github.io/Logging_2523/artfynd/A 43323-2023 artfynd.xlsx", "A 43323-2023")</f>
        <v/>
      </c>
      <c r="T65">
        <f>HYPERLINK("https://klasma.github.io/Logging_2523/kartor/A 43323-2023 karta.png", "A 43323-2023")</f>
        <v/>
      </c>
      <c r="V65">
        <f>HYPERLINK("https://klasma.github.io/Logging_2523/klagomål/A 43323-2023 FSC-klagomål.docx", "A 43323-2023")</f>
        <v/>
      </c>
      <c r="W65">
        <f>HYPERLINK("https://klasma.github.io/Logging_2523/klagomålsmail/A 43323-2023 FSC-klagomål mail.docx", "A 43323-2023")</f>
        <v/>
      </c>
      <c r="X65">
        <f>HYPERLINK("https://klasma.github.io/Logging_2523/tillsyn/A 43323-2023 tillsynsbegäran.docx", "A 43323-2023")</f>
        <v/>
      </c>
      <c r="Y65">
        <f>HYPERLINK("https://klasma.github.io/Logging_2523/tillsynsmail/A 43323-2023 tillsynsbegäran mail.docx", "A 43323-2023")</f>
        <v/>
      </c>
    </row>
    <row r="66" ht="15" customHeight="1">
      <c r="A66" t="inlineStr">
        <is>
          <t>A 36099-2018</t>
        </is>
      </c>
      <c r="B66" s="1" t="n">
        <v>43327</v>
      </c>
      <c r="C66" s="1" t="n">
        <v>45345</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42511-2018</t>
        </is>
      </c>
      <c r="B67" s="1" t="n">
        <v>43349</v>
      </c>
      <c r="C67" s="1" t="n">
        <v>45345</v>
      </c>
      <c r="D67" t="inlineStr">
        <is>
          <t>NORRBOTTENS LÄN</t>
        </is>
      </c>
      <c r="E67" t="inlineStr">
        <is>
          <t>GÄLLIVARE</t>
        </is>
      </c>
      <c r="G67" t="n">
        <v>4.1</v>
      </c>
      <c r="H67" t="n">
        <v>0</v>
      </c>
      <c r="I67" t="n">
        <v>0</v>
      </c>
      <c r="J67" t="n">
        <v>0</v>
      </c>
      <c r="K67" t="n">
        <v>0</v>
      </c>
      <c r="L67" t="n">
        <v>0</v>
      </c>
      <c r="M67" t="n">
        <v>0</v>
      </c>
      <c r="N67" t="n">
        <v>0</v>
      </c>
      <c r="O67" t="n">
        <v>0</v>
      </c>
      <c r="P67" t="n">
        <v>0</v>
      </c>
      <c r="Q67" t="n">
        <v>0</v>
      </c>
      <c r="R67" s="2" t="inlineStr"/>
    </row>
    <row r="68" ht="15" customHeight="1">
      <c r="A68" t="inlineStr">
        <is>
          <t>A 42698-2018</t>
        </is>
      </c>
      <c r="B68" s="1" t="n">
        <v>43350</v>
      </c>
      <c r="C68" s="1" t="n">
        <v>45345</v>
      </c>
      <c r="D68" t="inlineStr">
        <is>
          <t>NORRBOTTENS LÄN</t>
        </is>
      </c>
      <c r="E68" t="inlineStr">
        <is>
          <t>GÄLLIVARE</t>
        </is>
      </c>
      <c r="G68" t="n">
        <v>1.8</v>
      </c>
      <c r="H68" t="n">
        <v>0</v>
      </c>
      <c r="I68" t="n">
        <v>0</v>
      </c>
      <c r="J68" t="n">
        <v>0</v>
      </c>
      <c r="K68" t="n">
        <v>0</v>
      </c>
      <c r="L68" t="n">
        <v>0</v>
      </c>
      <c r="M68" t="n">
        <v>0</v>
      </c>
      <c r="N68" t="n">
        <v>0</v>
      </c>
      <c r="O68" t="n">
        <v>0</v>
      </c>
      <c r="P68" t="n">
        <v>0</v>
      </c>
      <c r="Q68" t="n">
        <v>0</v>
      </c>
      <c r="R68" s="2" t="inlineStr"/>
    </row>
    <row r="69" ht="15" customHeight="1">
      <c r="A69" t="inlineStr">
        <is>
          <t>A 43588-2018</t>
        </is>
      </c>
      <c r="B69" s="1" t="n">
        <v>43354</v>
      </c>
      <c r="C69" s="1" t="n">
        <v>45345</v>
      </c>
      <c r="D69" t="inlineStr">
        <is>
          <t>NORRBOTTENS LÄN</t>
        </is>
      </c>
      <c r="E69" t="inlineStr">
        <is>
          <t>GÄLLIVARE</t>
        </is>
      </c>
      <c r="G69" t="n">
        <v>3.2</v>
      </c>
      <c r="H69" t="n">
        <v>0</v>
      </c>
      <c r="I69" t="n">
        <v>0</v>
      </c>
      <c r="J69" t="n">
        <v>0</v>
      </c>
      <c r="K69" t="n">
        <v>0</v>
      </c>
      <c r="L69" t="n">
        <v>0</v>
      </c>
      <c r="M69" t="n">
        <v>0</v>
      </c>
      <c r="N69" t="n">
        <v>0</v>
      </c>
      <c r="O69" t="n">
        <v>0</v>
      </c>
      <c r="P69" t="n">
        <v>0</v>
      </c>
      <c r="Q69" t="n">
        <v>0</v>
      </c>
      <c r="R69" s="2" t="inlineStr"/>
    </row>
    <row r="70" ht="15" customHeight="1">
      <c r="A70" t="inlineStr">
        <is>
          <t>A 44034-2018</t>
        </is>
      </c>
      <c r="B70" s="1" t="n">
        <v>43355</v>
      </c>
      <c r="C70" s="1" t="n">
        <v>45345</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44936-2018</t>
        </is>
      </c>
      <c r="B71" s="1" t="n">
        <v>43360</v>
      </c>
      <c r="C71" s="1" t="n">
        <v>45345</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50374-2018</t>
        </is>
      </c>
      <c r="B72" s="1" t="n">
        <v>43378</v>
      </c>
      <c r="C72" s="1" t="n">
        <v>45345</v>
      </c>
      <c r="D72" t="inlineStr">
        <is>
          <t>NORRBOTTENS LÄN</t>
        </is>
      </c>
      <c r="E72" t="inlineStr">
        <is>
          <t>GÄLLIVARE</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52429-2018</t>
        </is>
      </c>
      <c r="B73" s="1" t="n">
        <v>43388</v>
      </c>
      <c r="C73" s="1" t="n">
        <v>45345</v>
      </c>
      <c r="D73" t="inlineStr">
        <is>
          <t>NORRBOTTENS LÄN</t>
        </is>
      </c>
      <c r="E73" t="inlineStr">
        <is>
          <t>GÄLLIVARE</t>
        </is>
      </c>
      <c r="F73" t="inlineStr">
        <is>
          <t>Sveaskog</t>
        </is>
      </c>
      <c r="G73" t="n">
        <v>5.4</v>
      </c>
      <c r="H73" t="n">
        <v>0</v>
      </c>
      <c r="I73" t="n">
        <v>0</v>
      </c>
      <c r="J73" t="n">
        <v>0</v>
      </c>
      <c r="K73" t="n">
        <v>0</v>
      </c>
      <c r="L73" t="n">
        <v>0</v>
      </c>
      <c r="M73" t="n">
        <v>0</v>
      </c>
      <c r="N73" t="n">
        <v>0</v>
      </c>
      <c r="O73" t="n">
        <v>0</v>
      </c>
      <c r="P73" t="n">
        <v>0</v>
      </c>
      <c r="Q73" t="n">
        <v>0</v>
      </c>
      <c r="R73" s="2" t="inlineStr"/>
    </row>
    <row r="74" ht="15" customHeight="1">
      <c r="A74" t="inlineStr">
        <is>
          <t>A 52432-2018</t>
        </is>
      </c>
      <c r="B74" s="1" t="n">
        <v>43388</v>
      </c>
      <c r="C74" s="1" t="n">
        <v>45345</v>
      </c>
      <c r="D74" t="inlineStr">
        <is>
          <t>NORRBOTTENS LÄN</t>
        </is>
      </c>
      <c r="E74" t="inlineStr">
        <is>
          <t>GÄLLIVARE</t>
        </is>
      </c>
      <c r="F74" t="inlineStr">
        <is>
          <t>Sveaskog</t>
        </is>
      </c>
      <c r="G74" t="n">
        <v>5.1</v>
      </c>
      <c r="H74" t="n">
        <v>0</v>
      </c>
      <c r="I74" t="n">
        <v>0</v>
      </c>
      <c r="J74" t="n">
        <v>0</v>
      </c>
      <c r="K74" t="n">
        <v>0</v>
      </c>
      <c r="L74" t="n">
        <v>0</v>
      </c>
      <c r="M74" t="n">
        <v>0</v>
      </c>
      <c r="N74" t="n">
        <v>0</v>
      </c>
      <c r="O74" t="n">
        <v>0</v>
      </c>
      <c r="P74" t="n">
        <v>0</v>
      </c>
      <c r="Q74" t="n">
        <v>0</v>
      </c>
      <c r="R74" s="2" t="inlineStr"/>
    </row>
    <row r="75" ht="15" customHeight="1">
      <c r="A75" t="inlineStr">
        <is>
          <t>A 53965-2018</t>
        </is>
      </c>
      <c r="B75" s="1" t="n">
        <v>43388</v>
      </c>
      <c r="C75" s="1" t="n">
        <v>45345</v>
      </c>
      <c r="D75" t="inlineStr">
        <is>
          <t>NORRBOTTENS LÄN</t>
        </is>
      </c>
      <c r="E75" t="inlineStr">
        <is>
          <t>GÄLLIVARE</t>
        </is>
      </c>
      <c r="G75" t="n">
        <v>0.5</v>
      </c>
      <c r="H75" t="n">
        <v>0</v>
      </c>
      <c r="I75" t="n">
        <v>0</v>
      </c>
      <c r="J75" t="n">
        <v>0</v>
      </c>
      <c r="K75" t="n">
        <v>0</v>
      </c>
      <c r="L75" t="n">
        <v>0</v>
      </c>
      <c r="M75" t="n">
        <v>0</v>
      </c>
      <c r="N75" t="n">
        <v>0</v>
      </c>
      <c r="O75" t="n">
        <v>0</v>
      </c>
      <c r="P75" t="n">
        <v>0</v>
      </c>
      <c r="Q75" t="n">
        <v>0</v>
      </c>
      <c r="R75" s="2" t="inlineStr"/>
    </row>
    <row r="76" ht="15" customHeight="1">
      <c r="A76" t="inlineStr">
        <is>
          <t>A 52428-2018</t>
        </is>
      </c>
      <c r="B76" s="1" t="n">
        <v>43388</v>
      </c>
      <c r="C76" s="1" t="n">
        <v>45345</v>
      </c>
      <c r="D76" t="inlineStr">
        <is>
          <t>NORRBOTTENS LÄN</t>
        </is>
      </c>
      <c r="E76" t="inlineStr">
        <is>
          <t>GÄLLIVARE</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53077-2018</t>
        </is>
      </c>
      <c r="B77" s="1" t="n">
        <v>43390</v>
      </c>
      <c r="C77" s="1" t="n">
        <v>45345</v>
      </c>
      <c r="D77" t="inlineStr">
        <is>
          <t>NORRBOTTENS LÄN</t>
        </is>
      </c>
      <c r="E77" t="inlineStr">
        <is>
          <t>GÄLLIVARE</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53401-2018</t>
        </is>
      </c>
      <c r="B78" s="1" t="n">
        <v>43390</v>
      </c>
      <c r="C78" s="1" t="n">
        <v>45345</v>
      </c>
      <c r="D78" t="inlineStr">
        <is>
          <t>NORRBOTTENS LÄN</t>
        </is>
      </c>
      <c r="E78" t="inlineStr">
        <is>
          <t>GÄLLIVARE</t>
        </is>
      </c>
      <c r="F78" t="inlineStr">
        <is>
          <t>SCA</t>
        </is>
      </c>
      <c r="G78" t="n">
        <v>7.4</v>
      </c>
      <c r="H78" t="n">
        <v>0</v>
      </c>
      <c r="I78" t="n">
        <v>0</v>
      </c>
      <c r="J78" t="n">
        <v>0</v>
      </c>
      <c r="K78" t="n">
        <v>0</v>
      </c>
      <c r="L78" t="n">
        <v>0</v>
      </c>
      <c r="M78" t="n">
        <v>0</v>
      </c>
      <c r="N78" t="n">
        <v>0</v>
      </c>
      <c r="O78" t="n">
        <v>0</v>
      </c>
      <c r="P78" t="n">
        <v>0</v>
      </c>
      <c r="Q78" t="n">
        <v>0</v>
      </c>
      <c r="R78" s="2" t="inlineStr"/>
    </row>
    <row r="79" ht="15" customHeight="1">
      <c r="A79" t="inlineStr">
        <is>
          <t>A 53171-2018</t>
        </is>
      </c>
      <c r="B79" s="1" t="n">
        <v>43390</v>
      </c>
      <c r="C79" s="1" t="n">
        <v>45345</v>
      </c>
      <c r="D79" t="inlineStr">
        <is>
          <t>NORRBOTTENS LÄN</t>
        </is>
      </c>
      <c r="E79" t="inlineStr">
        <is>
          <t>GÄLLIVARE</t>
        </is>
      </c>
      <c r="F79" t="inlineStr">
        <is>
          <t>Sveaskog</t>
        </is>
      </c>
      <c r="G79" t="n">
        <v>4.3</v>
      </c>
      <c r="H79" t="n">
        <v>0</v>
      </c>
      <c r="I79" t="n">
        <v>0</v>
      </c>
      <c r="J79" t="n">
        <v>0</v>
      </c>
      <c r="K79" t="n">
        <v>0</v>
      </c>
      <c r="L79" t="n">
        <v>0</v>
      </c>
      <c r="M79" t="n">
        <v>0</v>
      </c>
      <c r="N79" t="n">
        <v>0</v>
      </c>
      <c r="O79" t="n">
        <v>0</v>
      </c>
      <c r="P79" t="n">
        <v>0</v>
      </c>
      <c r="Q79" t="n">
        <v>0</v>
      </c>
      <c r="R79" s="2" t="inlineStr"/>
    </row>
    <row r="80" ht="15" customHeight="1">
      <c r="A80" t="inlineStr">
        <is>
          <t>A 55790-2018</t>
        </is>
      </c>
      <c r="B80" s="1" t="n">
        <v>43392</v>
      </c>
      <c r="C80" s="1" t="n">
        <v>45345</v>
      </c>
      <c r="D80" t="inlineStr">
        <is>
          <t>NORRBOTTENS LÄN</t>
        </is>
      </c>
      <c r="E80" t="inlineStr">
        <is>
          <t>GÄLLIVARE</t>
        </is>
      </c>
      <c r="G80" t="n">
        <v>32.8</v>
      </c>
      <c r="H80" t="n">
        <v>0</v>
      </c>
      <c r="I80" t="n">
        <v>0</v>
      </c>
      <c r="J80" t="n">
        <v>0</v>
      </c>
      <c r="K80" t="n">
        <v>0</v>
      </c>
      <c r="L80" t="n">
        <v>0</v>
      </c>
      <c r="M80" t="n">
        <v>0</v>
      </c>
      <c r="N80" t="n">
        <v>0</v>
      </c>
      <c r="O80" t="n">
        <v>0</v>
      </c>
      <c r="P80" t="n">
        <v>0</v>
      </c>
      <c r="Q80" t="n">
        <v>0</v>
      </c>
      <c r="R80" s="2" t="inlineStr"/>
    </row>
    <row r="81" ht="15" customHeight="1">
      <c r="A81" t="inlineStr">
        <is>
          <t>A 56387-2018</t>
        </is>
      </c>
      <c r="B81" s="1" t="n">
        <v>43395</v>
      </c>
      <c r="C81" s="1" t="n">
        <v>45345</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60435-2018</t>
        </is>
      </c>
      <c r="B82" s="1" t="n">
        <v>43406</v>
      </c>
      <c r="C82" s="1" t="n">
        <v>45345</v>
      </c>
      <c r="D82" t="inlineStr">
        <is>
          <t>NORRBOTTENS LÄN</t>
        </is>
      </c>
      <c r="E82" t="inlineStr">
        <is>
          <t>GÄLLIVARE</t>
        </is>
      </c>
      <c r="G82" t="n">
        <v>2.3</v>
      </c>
      <c r="H82" t="n">
        <v>0</v>
      </c>
      <c r="I82" t="n">
        <v>0</v>
      </c>
      <c r="J82" t="n">
        <v>0</v>
      </c>
      <c r="K82" t="n">
        <v>0</v>
      </c>
      <c r="L82" t="n">
        <v>0</v>
      </c>
      <c r="M82" t="n">
        <v>0</v>
      </c>
      <c r="N82" t="n">
        <v>0</v>
      </c>
      <c r="O82" t="n">
        <v>0</v>
      </c>
      <c r="P82" t="n">
        <v>0</v>
      </c>
      <c r="Q82" t="n">
        <v>0</v>
      </c>
      <c r="R82" s="2" t="inlineStr"/>
    </row>
    <row r="83" ht="15" customHeight="1">
      <c r="A83" t="inlineStr">
        <is>
          <t>A 60008-2018</t>
        </is>
      </c>
      <c r="B83" s="1" t="n">
        <v>43411</v>
      </c>
      <c r="C83" s="1" t="n">
        <v>45345</v>
      </c>
      <c r="D83" t="inlineStr">
        <is>
          <t>NORRBOTTENS LÄN</t>
        </is>
      </c>
      <c r="E83" t="inlineStr">
        <is>
          <t>GÄLLIVARE</t>
        </is>
      </c>
      <c r="G83" t="n">
        <v>3.4</v>
      </c>
      <c r="H83" t="n">
        <v>0</v>
      </c>
      <c r="I83" t="n">
        <v>0</v>
      </c>
      <c r="J83" t="n">
        <v>0</v>
      </c>
      <c r="K83" t="n">
        <v>0</v>
      </c>
      <c r="L83" t="n">
        <v>0</v>
      </c>
      <c r="M83" t="n">
        <v>0</v>
      </c>
      <c r="N83" t="n">
        <v>0</v>
      </c>
      <c r="O83" t="n">
        <v>0</v>
      </c>
      <c r="P83" t="n">
        <v>0</v>
      </c>
      <c r="Q83" t="n">
        <v>0</v>
      </c>
      <c r="R83" s="2" t="inlineStr"/>
    </row>
    <row r="84" ht="15" customHeight="1">
      <c r="A84" t="inlineStr">
        <is>
          <t>A 61389-2018</t>
        </is>
      </c>
      <c r="B84" s="1" t="n">
        <v>43413</v>
      </c>
      <c r="C84" s="1" t="n">
        <v>45345</v>
      </c>
      <c r="D84" t="inlineStr">
        <is>
          <t>NORRBOTTENS LÄN</t>
        </is>
      </c>
      <c r="E84" t="inlineStr">
        <is>
          <t>GÄLLIVARE</t>
        </is>
      </c>
      <c r="G84" t="n">
        <v>4</v>
      </c>
      <c r="H84" t="n">
        <v>0</v>
      </c>
      <c r="I84" t="n">
        <v>0</v>
      </c>
      <c r="J84" t="n">
        <v>0</v>
      </c>
      <c r="K84" t="n">
        <v>0</v>
      </c>
      <c r="L84" t="n">
        <v>0</v>
      </c>
      <c r="M84" t="n">
        <v>0</v>
      </c>
      <c r="N84" t="n">
        <v>0</v>
      </c>
      <c r="O84" t="n">
        <v>0</v>
      </c>
      <c r="P84" t="n">
        <v>0</v>
      </c>
      <c r="Q84" t="n">
        <v>0</v>
      </c>
      <c r="R84" s="2" t="inlineStr"/>
    </row>
    <row r="85" ht="15" customHeight="1">
      <c r="A85" t="inlineStr">
        <is>
          <t>A 61403-2018</t>
        </is>
      </c>
      <c r="B85" s="1" t="n">
        <v>43413</v>
      </c>
      <c r="C85" s="1" t="n">
        <v>45345</v>
      </c>
      <c r="D85" t="inlineStr">
        <is>
          <t>NORRBOTTENS LÄN</t>
        </is>
      </c>
      <c r="E85" t="inlineStr">
        <is>
          <t>GÄLLIVARE</t>
        </is>
      </c>
      <c r="G85" t="n">
        <v>7.9</v>
      </c>
      <c r="H85" t="n">
        <v>0</v>
      </c>
      <c r="I85" t="n">
        <v>0</v>
      </c>
      <c r="J85" t="n">
        <v>0</v>
      </c>
      <c r="K85" t="n">
        <v>0</v>
      </c>
      <c r="L85" t="n">
        <v>0</v>
      </c>
      <c r="M85" t="n">
        <v>0</v>
      </c>
      <c r="N85" t="n">
        <v>0</v>
      </c>
      <c r="O85" t="n">
        <v>0</v>
      </c>
      <c r="P85" t="n">
        <v>0</v>
      </c>
      <c r="Q85" t="n">
        <v>0</v>
      </c>
      <c r="R85" s="2" t="inlineStr"/>
    </row>
    <row r="86" ht="15" customHeight="1">
      <c r="A86" t="inlineStr">
        <is>
          <t>A 61399-2018</t>
        </is>
      </c>
      <c r="B86" s="1" t="n">
        <v>43413</v>
      </c>
      <c r="C86" s="1" t="n">
        <v>45345</v>
      </c>
      <c r="D86" t="inlineStr">
        <is>
          <t>NORRBOTTENS LÄN</t>
        </is>
      </c>
      <c r="E86" t="inlineStr">
        <is>
          <t>GÄLLIVARE</t>
        </is>
      </c>
      <c r="G86" t="n">
        <v>4.1</v>
      </c>
      <c r="H86" t="n">
        <v>0</v>
      </c>
      <c r="I86" t="n">
        <v>0</v>
      </c>
      <c r="J86" t="n">
        <v>0</v>
      </c>
      <c r="K86" t="n">
        <v>0</v>
      </c>
      <c r="L86" t="n">
        <v>0</v>
      </c>
      <c r="M86" t="n">
        <v>0</v>
      </c>
      <c r="N86" t="n">
        <v>0</v>
      </c>
      <c r="O86" t="n">
        <v>0</v>
      </c>
      <c r="P86" t="n">
        <v>0</v>
      </c>
      <c r="Q86" t="n">
        <v>0</v>
      </c>
      <c r="R86" s="2" t="inlineStr"/>
    </row>
    <row r="87" ht="15" customHeight="1">
      <c r="A87" t="inlineStr">
        <is>
          <t>A 62502-2018</t>
        </is>
      </c>
      <c r="B87" s="1" t="n">
        <v>43414</v>
      </c>
      <c r="C87" s="1" t="n">
        <v>45345</v>
      </c>
      <c r="D87" t="inlineStr">
        <is>
          <t>NORRBOTTENS LÄN</t>
        </is>
      </c>
      <c r="E87" t="inlineStr">
        <is>
          <t>GÄLLIVARE</t>
        </is>
      </c>
      <c r="G87" t="n">
        <v>4.5</v>
      </c>
      <c r="H87" t="n">
        <v>0</v>
      </c>
      <c r="I87" t="n">
        <v>0</v>
      </c>
      <c r="J87" t="n">
        <v>0</v>
      </c>
      <c r="K87" t="n">
        <v>0</v>
      </c>
      <c r="L87" t="n">
        <v>0</v>
      </c>
      <c r="M87" t="n">
        <v>0</v>
      </c>
      <c r="N87" t="n">
        <v>0</v>
      </c>
      <c r="O87" t="n">
        <v>0</v>
      </c>
      <c r="P87" t="n">
        <v>0</v>
      </c>
      <c r="Q87" t="n">
        <v>0</v>
      </c>
      <c r="R87" s="2" t="inlineStr"/>
    </row>
    <row r="88" ht="15" customHeight="1">
      <c r="A88" t="inlineStr">
        <is>
          <t>A 63231-2018</t>
        </is>
      </c>
      <c r="B88" s="1" t="n">
        <v>43416</v>
      </c>
      <c r="C88" s="1" t="n">
        <v>45345</v>
      </c>
      <c r="D88" t="inlineStr">
        <is>
          <t>NORRBOTTENS LÄN</t>
        </is>
      </c>
      <c r="E88" t="inlineStr">
        <is>
          <t>GÄLLIVARE</t>
        </is>
      </c>
      <c r="G88" t="n">
        <v>1.3</v>
      </c>
      <c r="H88" t="n">
        <v>0</v>
      </c>
      <c r="I88" t="n">
        <v>0</v>
      </c>
      <c r="J88" t="n">
        <v>0</v>
      </c>
      <c r="K88" t="n">
        <v>0</v>
      </c>
      <c r="L88" t="n">
        <v>0</v>
      </c>
      <c r="M88" t="n">
        <v>0</v>
      </c>
      <c r="N88" t="n">
        <v>0</v>
      </c>
      <c r="O88" t="n">
        <v>0</v>
      </c>
      <c r="P88" t="n">
        <v>0</v>
      </c>
      <c r="Q88" t="n">
        <v>0</v>
      </c>
      <c r="R88" s="2" t="inlineStr"/>
    </row>
    <row r="89" ht="15" customHeight="1">
      <c r="A89" t="inlineStr">
        <is>
          <t>A 59433-2018</t>
        </is>
      </c>
      <c r="B89" s="1" t="n">
        <v>43418</v>
      </c>
      <c r="C89" s="1" t="n">
        <v>45345</v>
      </c>
      <c r="D89" t="inlineStr">
        <is>
          <t>NORRBOTTENS LÄN</t>
        </is>
      </c>
      <c r="E89" t="inlineStr">
        <is>
          <t>GÄLLIVARE</t>
        </is>
      </c>
      <c r="F89" t="inlineStr">
        <is>
          <t>SCA</t>
        </is>
      </c>
      <c r="G89" t="n">
        <v>3</v>
      </c>
      <c r="H89" t="n">
        <v>0</v>
      </c>
      <c r="I89" t="n">
        <v>0</v>
      </c>
      <c r="J89" t="n">
        <v>0</v>
      </c>
      <c r="K89" t="n">
        <v>0</v>
      </c>
      <c r="L89" t="n">
        <v>0</v>
      </c>
      <c r="M89" t="n">
        <v>0</v>
      </c>
      <c r="N89" t="n">
        <v>0</v>
      </c>
      <c r="O89" t="n">
        <v>0</v>
      </c>
      <c r="P89" t="n">
        <v>0</v>
      </c>
      <c r="Q89" t="n">
        <v>0</v>
      </c>
      <c r="R89" s="2" t="inlineStr"/>
    </row>
    <row r="90" ht="15" customHeight="1">
      <c r="A90" t="inlineStr">
        <is>
          <t>A 65161-2018</t>
        </is>
      </c>
      <c r="B90" s="1" t="n">
        <v>43423</v>
      </c>
      <c r="C90" s="1" t="n">
        <v>45345</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60985-2018</t>
        </is>
      </c>
      <c r="B91" s="1" t="n">
        <v>43423</v>
      </c>
      <c r="C91" s="1" t="n">
        <v>45345</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62931-2018</t>
        </is>
      </c>
      <c r="B92" s="1" t="n">
        <v>43426</v>
      </c>
      <c r="C92" s="1" t="n">
        <v>45345</v>
      </c>
      <c r="D92" t="inlineStr">
        <is>
          <t>NORRBOTTENS LÄN</t>
        </is>
      </c>
      <c r="E92" t="inlineStr">
        <is>
          <t>GÄLLIVARE</t>
        </is>
      </c>
      <c r="G92" t="n">
        <v>14.7</v>
      </c>
      <c r="H92" t="n">
        <v>0</v>
      </c>
      <c r="I92" t="n">
        <v>0</v>
      </c>
      <c r="J92" t="n">
        <v>0</v>
      </c>
      <c r="K92" t="n">
        <v>0</v>
      </c>
      <c r="L92" t="n">
        <v>0</v>
      </c>
      <c r="M92" t="n">
        <v>0</v>
      </c>
      <c r="N92" t="n">
        <v>0</v>
      </c>
      <c r="O92" t="n">
        <v>0</v>
      </c>
      <c r="P92" t="n">
        <v>0</v>
      </c>
      <c r="Q92" t="n">
        <v>0</v>
      </c>
      <c r="R92" s="2" t="inlineStr"/>
    </row>
    <row r="93" ht="15" customHeight="1">
      <c r="A93" t="inlineStr">
        <is>
          <t>A 63450-2018</t>
        </is>
      </c>
      <c r="B93" s="1" t="n">
        <v>43427</v>
      </c>
      <c r="C93" s="1" t="n">
        <v>45345</v>
      </c>
      <c r="D93" t="inlineStr">
        <is>
          <t>NORRBOTTENS LÄN</t>
        </is>
      </c>
      <c r="E93" t="inlineStr">
        <is>
          <t>GÄLLIVARE</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63478-2018</t>
        </is>
      </c>
      <c r="B94" s="1" t="n">
        <v>43427</v>
      </c>
      <c r="C94" s="1" t="n">
        <v>45345</v>
      </c>
      <c r="D94" t="inlineStr">
        <is>
          <t>NORRBOTTENS LÄN</t>
        </is>
      </c>
      <c r="E94" t="inlineStr">
        <is>
          <t>GÄLLIVARE</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63480-2018</t>
        </is>
      </c>
      <c r="B95" s="1" t="n">
        <v>43427</v>
      </c>
      <c r="C95" s="1" t="n">
        <v>45345</v>
      </c>
      <c r="D95" t="inlineStr">
        <is>
          <t>NORRBOTTENS LÄN</t>
        </is>
      </c>
      <c r="E95" t="inlineStr">
        <is>
          <t>GÄLLIVARE</t>
        </is>
      </c>
      <c r="F95" t="inlineStr">
        <is>
          <t>Sveaskog</t>
        </is>
      </c>
      <c r="G95" t="n">
        <v>8.199999999999999</v>
      </c>
      <c r="H95" t="n">
        <v>0</v>
      </c>
      <c r="I95" t="n">
        <v>0</v>
      </c>
      <c r="J95" t="n">
        <v>0</v>
      </c>
      <c r="K95" t="n">
        <v>0</v>
      </c>
      <c r="L95" t="n">
        <v>0</v>
      </c>
      <c r="M95" t="n">
        <v>0</v>
      </c>
      <c r="N95" t="n">
        <v>0</v>
      </c>
      <c r="O95" t="n">
        <v>0</v>
      </c>
      <c r="P95" t="n">
        <v>0</v>
      </c>
      <c r="Q95" t="n">
        <v>0</v>
      </c>
      <c r="R95" s="2" t="inlineStr"/>
    </row>
    <row r="96" ht="15" customHeight="1">
      <c r="A96" t="inlineStr">
        <is>
          <t>A 63463-2018</t>
        </is>
      </c>
      <c r="B96" s="1" t="n">
        <v>43427</v>
      </c>
      <c r="C96" s="1" t="n">
        <v>45345</v>
      </c>
      <c r="D96" t="inlineStr">
        <is>
          <t>NORRBOTTENS LÄN</t>
        </is>
      </c>
      <c r="E96" t="inlineStr">
        <is>
          <t>GÄLLIVARE</t>
        </is>
      </c>
      <c r="F96" t="inlineStr">
        <is>
          <t>Sveaskog</t>
        </is>
      </c>
      <c r="G96" t="n">
        <v>2.4</v>
      </c>
      <c r="H96" t="n">
        <v>0</v>
      </c>
      <c r="I96" t="n">
        <v>0</v>
      </c>
      <c r="J96" t="n">
        <v>0</v>
      </c>
      <c r="K96" t="n">
        <v>0</v>
      </c>
      <c r="L96" t="n">
        <v>0</v>
      </c>
      <c r="M96" t="n">
        <v>0</v>
      </c>
      <c r="N96" t="n">
        <v>0</v>
      </c>
      <c r="O96" t="n">
        <v>0</v>
      </c>
      <c r="P96" t="n">
        <v>0</v>
      </c>
      <c r="Q96" t="n">
        <v>0</v>
      </c>
      <c r="R96" s="2" t="inlineStr"/>
    </row>
    <row r="97" ht="15" customHeight="1">
      <c r="A97" t="inlineStr">
        <is>
          <t>A 63903-2018</t>
        </is>
      </c>
      <c r="B97" s="1" t="n">
        <v>43430</v>
      </c>
      <c r="C97" s="1" t="n">
        <v>45345</v>
      </c>
      <c r="D97" t="inlineStr">
        <is>
          <t>NORRBOTTENS LÄN</t>
        </is>
      </c>
      <c r="E97" t="inlineStr">
        <is>
          <t>GÄLLIVARE</t>
        </is>
      </c>
      <c r="F97" t="inlineStr">
        <is>
          <t>Sveaskog</t>
        </is>
      </c>
      <c r="G97" t="n">
        <v>5.1</v>
      </c>
      <c r="H97" t="n">
        <v>0</v>
      </c>
      <c r="I97" t="n">
        <v>0</v>
      </c>
      <c r="J97" t="n">
        <v>0</v>
      </c>
      <c r="K97" t="n">
        <v>0</v>
      </c>
      <c r="L97" t="n">
        <v>0</v>
      </c>
      <c r="M97" t="n">
        <v>0</v>
      </c>
      <c r="N97" t="n">
        <v>0</v>
      </c>
      <c r="O97" t="n">
        <v>0</v>
      </c>
      <c r="P97" t="n">
        <v>0</v>
      </c>
      <c r="Q97" t="n">
        <v>0</v>
      </c>
      <c r="R97" s="2" t="inlineStr"/>
    </row>
    <row r="98" ht="15" customHeight="1">
      <c r="A98" t="inlineStr">
        <is>
          <t>A 63889-2018</t>
        </is>
      </c>
      <c r="B98" s="1" t="n">
        <v>43430</v>
      </c>
      <c r="C98" s="1" t="n">
        <v>45345</v>
      </c>
      <c r="D98" t="inlineStr">
        <is>
          <t>NORRBOTTENS LÄN</t>
        </is>
      </c>
      <c r="E98" t="inlineStr">
        <is>
          <t>GÄLLIVARE</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64297-2018</t>
        </is>
      </c>
      <c r="B99" s="1" t="n">
        <v>43430</v>
      </c>
      <c r="C99" s="1" t="n">
        <v>45345</v>
      </c>
      <c r="D99" t="inlineStr">
        <is>
          <t>NORRBOTTENS LÄN</t>
        </is>
      </c>
      <c r="E99" t="inlineStr">
        <is>
          <t>GÄLLIVARE</t>
        </is>
      </c>
      <c r="F99" t="inlineStr">
        <is>
          <t>Sveaskog</t>
        </is>
      </c>
      <c r="G99" t="n">
        <v>4.1</v>
      </c>
      <c r="H99" t="n">
        <v>0</v>
      </c>
      <c r="I99" t="n">
        <v>0</v>
      </c>
      <c r="J99" t="n">
        <v>0</v>
      </c>
      <c r="K99" t="n">
        <v>0</v>
      </c>
      <c r="L99" t="n">
        <v>0</v>
      </c>
      <c r="M99" t="n">
        <v>0</v>
      </c>
      <c r="N99" t="n">
        <v>0</v>
      </c>
      <c r="O99" t="n">
        <v>0</v>
      </c>
      <c r="P99" t="n">
        <v>0</v>
      </c>
      <c r="Q99" t="n">
        <v>0</v>
      </c>
      <c r="R99" s="2" t="inlineStr"/>
    </row>
    <row r="100" ht="15" customHeight="1">
      <c r="A100" t="inlineStr">
        <is>
          <t>A 63907-2018</t>
        </is>
      </c>
      <c r="B100" s="1" t="n">
        <v>43430</v>
      </c>
      <c r="C100" s="1" t="n">
        <v>45345</v>
      </c>
      <c r="D100" t="inlineStr">
        <is>
          <t>NORRBOTTENS LÄN</t>
        </is>
      </c>
      <c r="E100" t="inlineStr">
        <is>
          <t>GÄLLIVARE</t>
        </is>
      </c>
      <c r="F100" t="inlineStr">
        <is>
          <t>Sveaskog</t>
        </is>
      </c>
      <c r="G100" t="n">
        <v>12.4</v>
      </c>
      <c r="H100" t="n">
        <v>0</v>
      </c>
      <c r="I100" t="n">
        <v>0</v>
      </c>
      <c r="J100" t="n">
        <v>0</v>
      </c>
      <c r="K100" t="n">
        <v>0</v>
      </c>
      <c r="L100" t="n">
        <v>0</v>
      </c>
      <c r="M100" t="n">
        <v>0</v>
      </c>
      <c r="N100" t="n">
        <v>0</v>
      </c>
      <c r="O100" t="n">
        <v>0</v>
      </c>
      <c r="P100" t="n">
        <v>0</v>
      </c>
      <c r="Q100" t="n">
        <v>0</v>
      </c>
      <c r="R100" s="2" t="inlineStr"/>
    </row>
    <row r="101" ht="15" customHeight="1">
      <c r="A101" t="inlineStr">
        <is>
          <t>A 64040-2018</t>
        </is>
      </c>
      <c r="B101" s="1" t="n">
        <v>43430</v>
      </c>
      <c r="C101" s="1" t="n">
        <v>45345</v>
      </c>
      <c r="D101" t="inlineStr">
        <is>
          <t>NORRBOTTENS LÄN</t>
        </is>
      </c>
      <c r="E101" t="inlineStr">
        <is>
          <t>GÄLLIVARE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63906-2018</t>
        </is>
      </c>
      <c r="B102" s="1" t="n">
        <v>43430</v>
      </c>
      <c r="C102" s="1" t="n">
        <v>45345</v>
      </c>
      <c r="D102" t="inlineStr">
        <is>
          <t>NORRBOTTENS LÄN</t>
        </is>
      </c>
      <c r="E102" t="inlineStr">
        <is>
          <t>GÄLLIVARE</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63894-2018</t>
        </is>
      </c>
      <c r="B103" s="1" t="n">
        <v>43430</v>
      </c>
      <c r="C103" s="1" t="n">
        <v>45345</v>
      </c>
      <c r="D103" t="inlineStr">
        <is>
          <t>NORRBOTTENS LÄN</t>
        </is>
      </c>
      <c r="E103" t="inlineStr">
        <is>
          <t>GÄLLIVARE</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64672-2018</t>
        </is>
      </c>
      <c r="B104" s="1" t="n">
        <v>43431</v>
      </c>
      <c r="C104" s="1" t="n">
        <v>45345</v>
      </c>
      <c r="D104" t="inlineStr">
        <is>
          <t>NORRBOTTENS LÄN</t>
        </is>
      </c>
      <c r="E104" t="inlineStr">
        <is>
          <t>GÄLLIVARE</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65429-2018</t>
        </is>
      </c>
      <c r="B105" s="1" t="n">
        <v>43433</v>
      </c>
      <c r="C105" s="1" t="n">
        <v>45345</v>
      </c>
      <c r="D105" t="inlineStr">
        <is>
          <t>NORRBOTTENS LÄN</t>
        </is>
      </c>
      <c r="E105" t="inlineStr">
        <is>
          <t>GÄLLIVARE</t>
        </is>
      </c>
      <c r="F105" t="inlineStr">
        <is>
          <t>Sveaskog</t>
        </is>
      </c>
      <c r="G105" t="n">
        <v>5.4</v>
      </c>
      <c r="H105" t="n">
        <v>0</v>
      </c>
      <c r="I105" t="n">
        <v>0</v>
      </c>
      <c r="J105" t="n">
        <v>0</v>
      </c>
      <c r="K105" t="n">
        <v>0</v>
      </c>
      <c r="L105" t="n">
        <v>0</v>
      </c>
      <c r="M105" t="n">
        <v>0</v>
      </c>
      <c r="N105" t="n">
        <v>0</v>
      </c>
      <c r="O105" t="n">
        <v>0</v>
      </c>
      <c r="P105" t="n">
        <v>0</v>
      </c>
      <c r="Q105" t="n">
        <v>0</v>
      </c>
      <c r="R105" s="2" t="inlineStr"/>
    </row>
    <row r="106" ht="15" customHeight="1">
      <c r="A106" t="inlineStr">
        <is>
          <t>A 68673-2018</t>
        </is>
      </c>
      <c r="B106" s="1" t="n">
        <v>43444</v>
      </c>
      <c r="C106" s="1" t="n">
        <v>45345</v>
      </c>
      <c r="D106" t="inlineStr">
        <is>
          <t>NORRBOTTENS LÄN</t>
        </is>
      </c>
      <c r="E106" t="inlineStr">
        <is>
          <t>GÄLLIVARE</t>
        </is>
      </c>
      <c r="G106" t="n">
        <v>0.8</v>
      </c>
      <c r="H106" t="n">
        <v>0</v>
      </c>
      <c r="I106" t="n">
        <v>0</v>
      </c>
      <c r="J106" t="n">
        <v>0</v>
      </c>
      <c r="K106" t="n">
        <v>0</v>
      </c>
      <c r="L106" t="n">
        <v>0</v>
      </c>
      <c r="M106" t="n">
        <v>0</v>
      </c>
      <c r="N106" t="n">
        <v>0</v>
      </c>
      <c r="O106" t="n">
        <v>0</v>
      </c>
      <c r="P106" t="n">
        <v>0</v>
      </c>
      <c r="Q106" t="n">
        <v>0</v>
      </c>
      <c r="R106" s="2" t="inlineStr"/>
    </row>
    <row r="107" ht="15" customHeight="1">
      <c r="A107" t="inlineStr">
        <is>
          <t>A 68759-2018</t>
        </is>
      </c>
      <c r="B107" s="1" t="n">
        <v>43444</v>
      </c>
      <c r="C107" s="1" t="n">
        <v>45345</v>
      </c>
      <c r="D107" t="inlineStr">
        <is>
          <t>NORRBOTTENS LÄN</t>
        </is>
      </c>
      <c r="E107" t="inlineStr">
        <is>
          <t>GÄLLIVARE</t>
        </is>
      </c>
      <c r="F107" t="inlineStr">
        <is>
          <t>Sveaskog</t>
        </is>
      </c>
      <c r="G107" t="n">
        <v>18.8</v>
      </c>
      <c r="H107" t="n">
        <v>0</v>
      </c>
      <c r="I107" t="n">
        <v>0</v>
      </c>
      <c r="J107" t="n">
        <v>0</v>
      </c>
      <c r="K107" t="n">
        <v>0</v>
      </c>
      <c r="L107" t="n">
        <v>0</v>
      </c>
      <c r="M107" t="n">
        <v>0</v>
      </c>
      <c r="N107" t="n">
        <v>0</v>
      </c>
      <c r="O107" t="n">
        <v>0</v>
      </c>
      <c r="P107" t="n">
        <v>0</v>
      </c>
      <c r="Q107" t="n">
        <v>0</v>
      </c>
      <c r="R107" s="2" t="inlineStr"/>
    </row>
    <row r="108" ht="15" customHeight="1">
      <c r="A108" t="inlineStr">
        <is>
          <t>A 68741-2018</t>
        </is>
      </c>
      <c r="B108" s="1" t="n">
        <v>43444</v>
      </c>
      <c r="C108" s="1" t="n">
        <v>45345</v>
      </c>
      <c r="D108" t="inlineStr">
        <is>
          <t>NORRBOTTENS LÄN</t>
        </is>
      </c>
      <c r="E108" t="inlineStr">
        <is>
          <t>GÄLLIVARE</t>
        </is>
      </c>
      <c r="F108" t="inlineStr">
        <is>
          <t>Sveaskog</t>
        </is>
      </c>
      <c r="G108" t="n">
        <v>3.8</v>
      </c>
      <c r="H108" t="n">
        <v>0</v>
      </c>
      <c r="I108" t="n">
        <v>0</v>
      </c>
      <c r="J108" t="n">
        <v>0</v>
      </c>
      <c r="K108" t="n">
        <v>0</v>
      </c>
      <c r="L108" t="n">
        <v>0</v>
      </c>
      <c r="M108" t="n">
        <v>0</v>
      </c>
      <c r="N108" t="n">
        <v>0</v>
      </c>
      <c r="O108" t="n">
        <v>0</v>
      </c>
      <c r="P108" t="n">
        <v>0</v>
      </c>
      <c r="Q108" t="n">
        <v>0</v>
      </c>
      <c r="R108" s="2" t="inlineStr"/>
    </row>
    <row r="109" ht="15" customHeight="1">
      <c r="A109" t="inlineStr">
        <is>
          <t>A 68735-2018</t>
        </is>
      </c>
      <c r="B109" s="1" t="n">
        <v>43444</v>
      </c>
      <c r="C109" s="1" t="n">
        <v>45345</v>
      </c>
      <c r="D109" t="inlineStr">
        <is>
          <t>NORRBOTTENS LÄN</t>
        </is>
      </c>
      <c r="E109" t="inlineStr">
        <is>
          <t>GÄLLIVARE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69776-2018</t>
        </is>
      </c>
      <c r="B110" s="1" t="n">
        <v>43447</v>
      </c>
      <c r="C110" s="1" t="n">
        <v>45345</v>
      </c>
      <c r="D110" t="inlineStr">
        <is>
          <t>NORRBOTTENS LÄN</t>
        </is>
      </c>
      <c r="E110" t="inlineStr">
        <is>
          <t>GÄLLIVARE</t>
        </is>
      </c>
      <c r="F110" t="inlineStr">
        <is>
          <t>Sveaskog</t>
        </is>
      </c>
      <c r="G110" t="n">
        <v>4.1</v>
      </c>
      <c r="H110" t="n">
        <v>0</v>
      </c>
      <c r="I110" t="n">
        <v>0</v>
      </c>
      <c r="J110" t="n">
        <v>0</v>
      </c>
      <c r="K110" t="n">
        <v>0</v>
      </c>
      <c r="L110" t="n">
        <v>0</v>
      </c>
      <c r="M110" t="n">
        <v>0</v>
      </c>
      <c r="N110" t="n">
        <v>0</v>
      </c>
      <c r="O110" t="n">
        <v>0</v>
      </c>
      <c r="P110" t="n">
        <v>0</v>
      </c>
      <c r="Q110" t="n">
        <v>0</v>
      </c>
      <c r="R110" s="2" t="inlineStr"/>
    </row>
    <row r="111" ht="15" customHeight="1">
      <c r="A111" t="inlineStr">
        <is>
          <t>A 70809-2018</t>
        </is>
      </c>
      <c r="B111" s="1" t="n">
        <v>43451</v>
      </c>
      <c r="C111" s="1" t="n">
        <v>45345</v>
      </c>
      <c r="D111" t="inlineStr">
        <is>
          <t>NORRBOTTENS LÄN</t>
        </is>
      </c>
      <c r="E111" t="inlineStr">
        <is>
          <t>GÄLLIVARE</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70807-2018</t>
        </is>
      </c>
      <c r="B112" s="1" t="n">
        <v>43451</v>
      </c>
      <c r="C112" s="1" t="n">
        <v>45345</v>
      </c>
      <c r="D112" t="inlineStr">
        <is>
          <t>NORRBOTTENS LÄN</t>
        </is>
      </c>
      <c r="E112" t="inlineStr">
        <is>
          <t>GÄLLIVARE</t>
        </is>
      </c>
      <c r="F112" t="inlineStr">
        <is>
          <t>SCA</t>
        </is>
      </c>
      <c r="G112" t="n">
        <v>5.3</v>
      </c>
      <c r="H112" t="n">
        <v>0</v>
      </c>
      <c r="I112" t="n">
        <v>0</v>
      </c>
      <c r="J112" t="n">
        <v>0</v>
      </c>
      <c r="K112" t="n">
        <v>0</v>
      </c>
      <c r="L112" t="n">
        <v>0</v>
      </c>
      <c r="M112" t="n">
        <v>0</v>
      </c>
      <c r="N112" t="n">
        <v>0</v>
      </c>
      <c r="O112" t="n">
        <v>0</v>
      </c>
      <c r="P112" t="n">
        <v>0</v>
      </c>
      <c r="Q112" t="n">
        <v>0</v>
      </c>
      <c r="R112" s="2" t="inlineStr"/>
    </row>
    <row r="113" ht="15" customHeight="1">
      <c r="A113" t="inlineStr">
        <is>
          <t>A 71920-2018</t>
        </is>
      </c>
      <c r="B113" s="1" t="n">
        <v>43452</v>
      </c>
      <c r="C113" s="1" t="n">
        <v>45345</v>
      </c>
      <c r="D113" t="inlineStr">
        <is>
          <t>NORRBOTTENS LÄN</t>
        </is>
      </c>
      <c r="E113" t="inlineStr">
        <is>
          <t>GÄLLIVARE</t>
        </is>
      </c>
      <c r="G113" t="n">
        <v>4.7</v>
      </c>
      <c r="H113" t="n">
        <v>0</v>
      </c>
      <c r="I113" t="n">
        <v>0</v>
      </c>
      <c r="J113" t="n">
        <v>0</v>
      </c>
      <c r="K113" t="n">
        <v>0</v>
      </c>
      <c r="L113" t="n">
        <v>0</v>
      </c>
      <c r="M113" t="n">
        <v>0</v>
      </c>
      <c r="N113" t="n">
        <v>0</v>
      </c>
      <c r="O113" t="n">
        <v>0</v>
      </c>
      <c r="P113" t="n">
        <v>0</v>
      </c>
      <c r="Q113" t="n">
        <v>0</v>
      </c>
      <c r="R113" s="2" t="inlineStr"/>
    </row>
    <row r="114" ht="15" customHeight="1">
      <c r="A114" t="inlineStr">
        <is>
          <t>A 102-2019</t>
        </is>
      </c>
      <c r="B114" s="1" t="n">
        <v>43467</v>
      </c>
      <c r="C114" s="1" t="n">
        <v>45345</v>
      </c>
      <c r="D114" t="inlineStr">
        <is>
          <t>NORRBOTTENS LÄN</t>
        </is>
      </c>
      <c r="E114" t="inlineStr">
        <is>
          <t>GÄLLIVARE</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2005-2019</t>
        </is>
      </c>
      <c r="B115" s="1" t="n">
        <v>43467</v>
      </c>
      <c r="C115" s="1" t="n">
        <v>45345</v>
      </c>
      <c r="D115" t="inlineStr">
        <is>
          <t>NORRBOTTENS LÄN</t>
        </is>
      </c>
      <c r="E115" t="inlineStr">
        <is>
          <t>GÄLLIVARE</t>
        </is>
      </c>
      <c r="G115" t="n">
        <v>1.5</v>
      </c>
      <c r="H115" t="n">
        <v>0</v>
      </c>
      <c r="I115" t="n">
        <v>0</v>
      </c>
      <c r="J115" t="n">
        <v>0</v>
      </c>
      <c r="K115" t="n">
        <v>0</v>
      </c>
      <c r="L115" t="n">
        <v>0</v>
      </c>
      <c r="M115" t="n">
        <v>0</v>
      </c>
      <c r="N115" t="n">
        <v>0</v>
      </c>
      <c r="O115" t="n">
        <v>0</v>
      </c>
      <c r="P115" t="n">
        <v>0</v>
      </c>
      <c r="Q115" t="n">
        <v>0</v>
      </c>
      <c r="R115" s="2" t="inlineStr"/>
    </row>
    <row r="116" ht="15" customHeight="1">
      <c r="A116" t="inlineStr">
        <is>
          <t>A 105-2019</t>
        </is>
      </c>
      <c r="B116" s="1" t="n">
        <v>43467</v>
      </c>
      <c r="C116" s="1" t="n">
        <v>45345</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99-2019</t>
        </is>
      </c>
      <c r="B117" s="1" t="n">
        <v>43467</v>
      </c>
      <c r="C117" s="1" t="n">
        <v>45345</v>
      </c>
      <c r="D117" t="inlineStr">
        <is>
          <t>NORRBOTTENS LÄN</t>
        </is>
      </c>
      <c r="E117" t="inlineStr">
        <is>
          <t>GÄLLIVARE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485-2019</t>
        </is>
      </c>
      <c r="B118" s="1" t="n">
        <v>43468</v>
      </c>
      <c r="C118" s="1" t="n">
        <v>45345</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489-2019</t>
        </is>
      </c>
      <c r="B119" s="1" t="n">
        <v>43468</v>
      </c>
      <c r="C119" s="1" t="n">
        <v>45345</v>
      </c>
      <c r="D119" t="inlineStr">
        <is>
          <t>NORRBOTTENS LÄN</t>
        </is>
      </c>
      <c r="E119" t="inlineStr">
        <is>
          <t>GÄLLIVARE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484-2019</t>
        </is>
      </c>
      <c r="B120" s="1" t="n">
        <v>43468</v>
      </c>
      <c r="C120" s="1" t="n">
        <v>45345</v>
      </c>
      <c r="D120" t="inlineStr">
        <is>
          <t>NORRBOTTENS LÄN</t>
        </is>
      </c>
      <c r="E120" t="inlineStr">
        <is>
          <t>GÄLLIVARE</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703-2019</t>
        </is>
      </c>
      <c r="B121" s="1" t="n">
        <v>43469</v>
      </c>
      <c r="C121" s="1" t="n">
        <v>45345</v>
      </c>
      <c r="D121" t="inlineStr">
        <is>
          <t>NORRBOTTENS LÄN</t>
        </is>
      </c>
      <c r="E121" t="inlineStr">
        <is>
          <t>GÄLLIVARE</t>
        </is>
      </c>
      <c r="F121" t="inlineStr">
        <is>
          <t>SCA</t>
        </is>
      </c>
      <c r="G121" t="n">
        <v>5.3</v>
      </c>
      <c r="H121" t="n">
        <v>0</v>
      </c>
      <c r="I121" t="n">
        <v>0</v>
      </c>
      <c r="J121" t="n">
        <v>0</v>
      </c>
      <c r="K121" t="n">
        <v>0</v>
      </c>
      <c r="L121" t="n">
        <v>0</v>
      </c>
      <c r="M121" t="n">
        <v>0</v>
      </c>
      <c r="N121" t="n">
        <v>0</v>
      </c>
      <c r="O121" t="n">
        <v>0</v>
      </c>
      <c r="P121" t="n">
        <v>0</v>
      </c>
      <c r="Q121" t="n">
        <v>0</v>
      </c>
      <c r="R121" s="2" t="inlineStr"/>
    </row>
    <row r="122" ht="15" customHeight="1">
      <c r="A122" t="inlineStr">
        <is>
          <t>A 1421-2019</t>
        </is>
      </c>
      <c r="B122" s="1" t="n">
        <v>43473</v>
      </c>
      <c r="C122" s="1" t="n">
        <v>45345</v>
      </c>
      <c r="D122" t="inlineStr">
        <is>
          <t>NORRBOTTENS LÄN</t>
        </is>
      </c>
      <c r="E122" t="inlineStr">
        <is>
          <t>GÄLLIVARE</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1212-2019</t>
        </is>
      </c>
      <c r="B123" s="1" t="n">
        <v>43473</v>
      </c>
      <c r="C123" s="1" t="n">
        <v>45345</v>
      </c>
      <c r="D123" t="inlineStr">
        <is>
          <t>NORRBOTTENS LÄN</t>
        </is>
      </c>
      <c r="E123" t="inlineStr">
        <is>
          <t>GÄLLIVARE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3696-2019</t>
        </is>
      </c>
      <c r="B124" s="1" t="n">
        <v>43474</v>
      </c>
      <c r="C124" s="1" t="n">
        <v>45345</v>
      </c>
      <c r="D124" t="inlineStr">
        <is>
          <t>NORRBOTTENS LÄN</t>
        </is>
      </c>
      <c r="E124" t="inlineStr">
        <is>
          <t>GÄLLIVARE</t>
        </is>
      </c>
      <c r="G124" t="n">
        <v>12.6</v>
      </c>
      <c r="H124" t="n">
        <v>0</v>
      </c>
      <c r="I124" t="n">
        <v>0</v>
      </c>
      <c r="J124" t="n">
        <v>0</v>
      </c>
      <c r="K124" t="n">
        <v>0</v>
      </c>
      <c r="L124" t="n">
        <v>0</v>
      </c>
      <c r="M124" t="n">
        <v>0</v>
      </c>
      <c r="N124" t="n">
        <v>0</v>
      </c>
      <c r="O124" t="n">
        <v>0</v>
      </c>
      <c r="P124" t="n">
        <v>0</v>
      </c>
      <c r="Q124" t="n">
        <v>0</v>
      </c>
      <c r="R124" s="2" t="inlineStr"/>
    </row>
    <row r="125" ht="15" customHeight="1">
      <c r="A125" t="inlineStr">
        <is>
          <t>A 5125-2019</t>
        </is>
      </c>
      <c r="B125" s="1" t="n">
        <v>43487</v>
      </c>
      <c r="C125" s="1" t="n">
        <v>45345</v>
      </c>
      <c r="D125" t="inlineStr">
        <is>
          <t>NORRBOTTENS LÄN</t>
        </is>
      </c>
      <c r="E125" t="inlineStr">
        <is>
          <t>GÄLLIVARE</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5123-2019</t>
        </is>
      </c>
      <c r="B126" s="1" t="n">
        <v>43487</v>
      </c>
      <c r="C126" s="1" t="n">
        <v>45345</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5116-2019</t>
        </is>
      </c>
      <c r="B127" s="1" t="n">
        <v>43487</v>
      </c>
      <c r="C127" s="1" t="n">
        <v>45345</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5122-2019</t>
        </is>
      </c>
      <c r="B128" s="1" t="n">
        <v>43487</v>
      </c>
      <c r="C128" s="1" t="n">
        <v>45345</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5126-2019</t>
        </is>
      </c>
      <c r="B129" s="1" t="n">
        <v>43487</v>
      </c>
      <c r="C129" s="1" t="n">
        <v>45345</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6703-2019</t>
        </is>
      </c>
      <c r="B130" s="1" t="n">
        <v>43488</v>
      </c>
      <c r="C130" s="1" t="n">
        <v>45345</v>
      </c>
      <c r="D130" t="inlineStr">
        <is>
          <t>NORRBOTTENS LÄN</t>
        </is>
      </c>
      <c r="E130" t="inlineStr">
        <is>
          <t>GÄLLIVARE</t>
        </is>
      </c>
      <c r="F130" t="inlineStr">
        <is>
          <t>Sveaskog</t>
        </is>
      </c>
      <c r="G130" t="n">
        <v>67.8</v>
      </c>
      <c r="H130" t="n">
        <v>0</v>
      </c>
      <c r="I130" t="n">
        <v>0</v>
      </c>
      <c r="J130" t="n">
        <v>0</v>
      </c>
      <c r="K130" t="n">
        <v>0</v>
      </c>
      <c r="L130" t="n">
        <v>0</v>
      </c>
      <c r="M130" t="n">
        <v>0</v>
      </c>
      <c r="N130" t="n">
        <v>0</v>
      </c>
      <c r="O130" t="n">
        <v>0</v>
      </c>
      <c r="P130" t="n">
        <v>0</v>
      </c>
      <c r="Q130" t="n">
        <v>0</v>
      </c>
      <c r="R130" s="2" t="inlineStr"/>
    </row>
    <row r="131" ht="15" customHeight="1">
      <c r="A131" t="inlineStr">
        <is>
          <t>A 6673-2019</t>
        </is>
      </c>
      <c r="B131" s="1" t="n">
        <v>43488</v>
      </c>
      <c r="C131" s="1" t="n">
        <v>45345</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6248-2019</t>
        </is>
      </c>
      <c r="B132" s="1" t="n">
        <v>43493</v>
      </c>
      <c r="C132" s="1" t="n">
        <v>45345</v>
      </c>
      <c r="D132" t="inlineStr">
        <is>
          <t>NORRBOTTENS LÄN</t>
        </is>
      </c>
      <c r="E132" t="inlineStr">
        <is>
          <t>GÄLLIVARE</t>
        </is>
      </c>
      <c r="G132" t="n">
        <v>22.1</v>
      </c>
      <c r="H132" t="n">
        <v>0</v>
      </c>
      <c r="I132" t="n">
        <v>0</v>
      </c>
      <c r="J132" t="n">
        <v>0</v>
      </c>
      <c r="K132" t="n">
        <v>0</v>
      </c>
      <c r="L132" t="n">
        <v>0</v>
      </c>
      <c r="M132" t="n">
        <v>0</v>
      </c>
      <c r="N132" t="n">
        <v>0</v>
      </c>
      <c r="O132" t="n">
        <v>0</v>
      </c>
      <c r="P132" t="n">
        <v>0</v>
      </c>
      <c r="Q132" t="n">
        <v>0</v>
      </c>
      <c r="R132" s="2" t="inlineStr"/>
    </row>
    <row r="133" ht="15" customHeight="1">
      <c r="A133" t="inlineStr">
        <is>
          <t>A 7825-2019</t>
        </is>
      </c>
      <c r="B133" s="1" t="n">
        <v>43500</v>
      </c>
      <c r="C133" s="1" t="n">
        <v>45345</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8483-2019</t>
        </is>
      </c>
      <c r="B134" s="1" t="n">
        <v>43502</v>
      </c>
      <c r="C134" s="1" t="n">
        <v>45345</v>
      </c>
      <c r="D134" t="inlineStr">
        <is>
          <t>NORRBOTTENS LÄN</t>
        </is>
      </c>
      <c r="E134" t="inlineStr">
        <is>
          <t>GÄLLIVARE</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10340-2019</t>
        </is>
      </c>
      <c r="B135" s="1" t="n">
        <v>43511</v>
      </c>
      <c r="C135" s="1" t="n">
        <v>45345</v>
      </c>
      <c r="D135" t="inlineStr">
        <is>
          <t>NORRBOTTENS LÄN</t>
        </is>
      </c>
      <c r="E135" t="inlineStr">
        <is>
          <t>GÄLLIVARE</t>
        </is>
      </c>
      <c r="G135" t="n">
        <v>1.3</v>
      </c>
      <c r="H135" t="n">
        <v>0</v>
      </c>
      <c r="I135" t="n">
        <v>0</v>
      </c>
      <c r="J135" t="n">
        <v>0</v>
      </c>
      <c r="K135" t="n">
        <v>0</v>
      </c>
      <c r="L135" t="n">
        <v>0</v>
      </c>
      <c r="M135" t="n">
        <v>0</v>
      </c>
      <c r="N135" t="n">
        <v>0</v>
      </c>
      <c r="O135" t="n">
        <v>0</v>
      </c>
      <c r="P135" t="n">
        <v>0</v>
      </c>
      <c r="Q135" t="n">
        <v>0</v>
      </c>
      <c r="R135" s="2" t="inlineStr"/>
    </row>
    <row r="136" ht="15" customHeight="1">
      <c r="A136" t="inlineStr">
        <is>
          <t>A 10493-2019</t>
        </is>
      </c>
      <c r="B136" s="1" t="n">
        <v>43511</v>
      </c>
      <c r="C136" s="1" t="n">
        <v>45345</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10492-2019</t>
        </is>
      </c>
      <c r="B137" s="1" t="n">
        <v>43511</v>
      </c>
      <c r="C137" s="1" t="n">
        <v>45345</v>
      </c>
      <c r="D137" t="inlineStr">
        <is>
          <t>NORRBOTTENS LÄN</t>
        </is>
      </c>
      <c r="E137" t="inlineStr">
        <is>
          <t>GÄLLIVARE</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10498-2019</t>
        </is>
      </c>
      <c r="B138" s="1" t="n">
        <v>43511</v>
      </c>
      <c r="C138" s="1" t="n">
        <v>45345</v>
      </c>
      <c r="D138" t="inlineStr">
        <is>
          <t>NORRBOTTENS LÄN</t>
        </is>
      </c>
      <c r="E138" t="inlineStr">
        <is>
          <t>GÄLLIVARE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10490-2019</t>
        </is>
      </c>
      <c r="B139" s="1" t="n">
        <v>43511</v>
      </c>
      <c r="C139" s="1" t="n">
        <v>45345</v>
      </c>
      <c r="D139" t="inlineStr">
        <is>
          <t>NORRBOTTENS LÄN</t>
        </is>
      </c>
      <c r="E139" t="inlineStr">
        <is>
          <t>GÄLLIVARE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13607-2019</t>
        </is>
      </c>
      <c r="B140" s="1" t="n">
        <v>43530</v>
      </c>
      <c r="C140" s="1" t="n">
        <v>45345</v>
      </c>
      <c r="D140" t="inlineStr">
        <is>
          <t>NORRBOTTENS LÄN</t>
        </is>
      </c>
      <c r="E140" t="inlineStr">
        <is>
          <t>GÄLLIVARE</t>
        </is>
      </c>
      <c r="G140" t="n">
        <v>9.1</v>
      </c>
      <c r="H140" t="n">
        <v>0</v>
      </c>
      <c r="I140" t="n">
        <v>0</v>
      </c>
      <c r="J140" t="n">
        <v>0</v>
      </c>
      <c r="K140" t="n">
        <v>0</v>
      </c>
      <c r="L140" t="n">
        <v>0</v>
      </c>
      <c r="M140" t="n">
        <v>0</v>
      </c>
      <c r="N140" t="n">
        <v>0</v>
      </c>
      <c r="O140" t="n">
        <v>0</v>
      </c>
      <c r="P140" t="n">
        <v>0</v>
      </c>
      <c r="Q140" t="n">
        <v>0</v>
      </c>
      <c r="R140" s="2" t="inlineStr"/>
    </row>
    <row r="141" ht="15" customHeight="1">
      <c r="A141" t="inlineStr">
        <is>
          <t>A 13937-2019</t>
        </is>
      </c>
      <c r="B141" s="1" t="n">
        <v>43531</v>
      </c>
      <c r="C141" s="1" t="n">
        <v>45345</v>
      </c>
      <c r="D141" t="inlineStr">
        <is>
          <t>NORRBOTTENS LÄN</t>
        </is>
      </c>
      <c r="E141" t="inlineStr">
        <is>
          <t>GÄLLIVARE</t>
        </is>
      </c>
      <c r="G141" t="n">
        <v>6.4</v>
      </c>
      <c r="H141" t="n">
        <v>0</v>
      </c>
      <c r="I141" t="n">
        <v>0</v>
      </c>
      <c r="J141" t="n">
        <v>0</v>
      </c>
      <c r="K141" t="n">
        <v>0</v>
      </c>
      <c r="L141" t="n">
        <v>0</v>
      </c>
      <c r="M141" t="n">
        <v>0</v>
      </c>
      <c r="N141" t="n">
        <v>0</v>
      </c>
      <c r="O141" t="n">
        <v>0</v>
      </c>
      <c r="P141" t="n">
        <v>0</v>
      </c>
      <c r="Q141" t="n">
        <v>0</v>
      </c>
      <c r="R141" s="2" t="inlineStr"/>
    </row>
    <row r="142" ht="15" customHeight="1">
      <c r="A142" t="inlineStr">
        <is>
          <t>A 14829-2019</t>
        </is>
      </c>
      <c r="B142" s="1" t="n">
        <v>43538</v>
      </c>
      <c r="C142" s="1" t="n">
        <v>45345</v>
      </c>
      <c r="D142" t="inlineStr">
        <is>
          <t>NORRBOTTENS LÄN</t>
        </is>
      </c>
      <c r="E142" t="inlineStr">
        <is>
          <t>GÄLLIVARE</t>
        </is>
      </c>
      <c r="G142" t="n">
        <v>4.6</v>
      </c>
      <c r="H142" t="n">
        <v>0</v>
      </c>
      <c r="I142" t="n">
        <v>0</v>
      </c>
      <c r="J142" t="n">
        <v>0</v>
      </c>
      <c r="K142" t="n">
        <v>0</v>
      </c>
      <c r="L142" t="n">
        <v>0</v>
      </c>
      <c r="M142" t="n">
        <v>0</v>
      </c>
      <c r="N142" t="n">
        <v>0</v>
      </c>
      <c r="O142" t="n">
        <v>0</v>
      </c>
      <c r="P142" t="n">
        <v>0</v>
      </c>
      <c r="Q142" t="n">
        <v>0</v>
      </c>
      <c r="R142" s="2" t="inlineStr"/>
    </row>
    <row r="143" ht="15" customHeight="1">
      <c r="A143" t="inlineStr">
        <is>
          <t>A 15641-2019</t>
        </is>
      </c>
      <c r="B143" s="1" t="n">
        <v>43542</v>
      </c>
      <c r="C143" s="1" t="n">
        <v>45345</v>
      </c>
      <c r="D143" t="inlineStr">
        <is>
          <t>NORRBOTTENS LÄN</t>
        </is>
      </c>
      <c r="E143" t="inlineStr">
        <is>
          <t>GÄLLIVARE</t>
        </is>
      </c>
      <c r="F143" t="inlineStr">
        <is>
          <t>Allmännings- och besparingsskogar</t>
        </is>
      </c>
      <c r="G143" t="n">
        <v>53.8</v>
      </c>
      <c r="H143" t="n">
        <v>0</v>
      </c>
      <c r="I143" t="n">
        <v>0</v>
      </c>
      <c r="J143" t="n">
        <v>0</v>
      </c>
      <c r="K143" t="n">
        <v>0</v>
      </c>
      <c r="L143" t="n">
        <v>0</v>
      </c>
      <c r="M143" t="n">
        <v>0</v>
      </c>
      <c r="N143" t="n">
        <v>0</v>
      </c>
      <c r="O143" t="n">
        <v>0</v>
      </c>
      <c r="P143" t="n">
        <v>0</v>
      </c>
      <c r="Q143" t="n">
        <v>0</v>
      </c>
      <c r="R143" s="2" t="inlineStr"/>
    </row>
    <row r="144" ht="15" customHeight="1">
      <c r="A144" t="inlineStr">
        <is>
          <t>A 16009-2019</t>
        </is>
      </c>
      <c r="B144" s="1" t="n">
        <v>43544</v>
      </c>
      <c r="C144" s="1" t="n">
        <v>45345</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19954-2019</t>
        </is>
      </c>
      <c r="B145" s="1" t="n">
        <v>43569</v>
      </c>
      <c r="C145" s="1" t="n">
        <v>45345</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21118-2019</t>
        </is>
      </c>
      <c r="B146" s="1" t="n">
        <v>43578</v>
      </c>
      <c r="C146" s="1" t="n">
        <v>45345</v>
      </c>
      <c r="D146" t="inlineStr">
        <is>
          <t>NORRBOTTENS LÄN</t>
        </is>
      </c>
      <c r="E146" t="inlineStr">
        <is>
          <t>GÄLLIVARE</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21556-2019</t>
        </is>
      </c>
      <c r="B147" s="1" t="n">
        <v>43579</v>
      </c>
      <c r="C147" s="1" t="n">
        <v>45345</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22481-2019</t>
        </is>
      </c>
      <c r="B148" s="1" t="n">
        <v>43587</v>
      </c>
      <c r="C148" s="1" t="n">
        <v>45345</v>
      </c>
      <c r="D148" t="inlineStr">
        <is>
          <t>NORRBOTTENS LÄN</t>
        </is>
      </c>
      <c r="E148" t="inlineStr">
        <is>
          <t>GÄLLIVARE</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23806-2019</t>
        </is>
      </c>
      <c r="B149" s="1" t="n">
        <v>43595</v>
      </c>
      <c r="C149" s="1" t="n">
        <v>45345</v>
      </c>
      <c r="D149" t="inlineStr">
        <is>
          <t>NORRBOTTENS LÄN</t>
        </is>
      </c>
      <c r="E149" t="inlineStr">
        <is>
          <t>GÄLLIVARE</t>
        </is>
      </c>
      <c r="G149" t="n">
        <v>10.4</v>
      </c>
      <c r="H149" t="n">
        <v>0</v>
      </c>
      <c r="I149" t="n">
        <v>0</v>
      </c>
      <c r="J149" t="n">
        <v>0</v>
      </c>
      <c r="K149" t="n">
        <v>0</v>
      </c>
      <c r="L149" t="n">
        <v>0</v>
      </c>
      <c r="M149" t="n">
        <v>0</v>
      </c>
      <c r="N149" t="n">
        <v>0</v>
      </c>
      <c r="O149" t="n">
        <v>0</v>
      </c>
      <c r="P149" t="n">
        <v>0</v>
      </c>
      <c r="Q149" t="n">
        <v>0</v>
      </c>
      <c r="R149" s="2" t="inlineStr"/>
    </row>
    <row r="150" ht="15" customHeight="1">
      <c r="A150" t="inlineStr">
        <is>
          <t>A 23812-2019</t>
        </is>
      </c>
      <c r="B150" s="1" t="n">
        <v>43595</v>
      </c>
      <c r="C150" s="1" t="n">
        <v>45345</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23880-2019</t>
        </is>
      </c>
      <c r="B151" s="1" t="n">
        <v>43595</v>
      </c>
      <c r="C151" s="1" t="n">
        <v>45345</v>
      </c>
      <c r="D151" t="inlineStr">
        <is>
          <t>NORRBOTTENS LÄN</t>
        </is>
      </c>
      <c r="E151" t="inlineStr">
        <is>
          <t>GÄLLIVARE</t>
        </is>
      </c>
      <c r="G151" t="n">
        <v>2.3</v>
      </c>
      <c r="H151" t="n">
        <v>0</v>
      </c>
      <c r="I151" t="n">
        <v>0</v>
      </c>
      <c r="J151" t="n">
        <v>0</v>
      </c>
      <c r="K151" t="n">
        <v>0</v>
      </c>
      <c r="L151" t="n">
        <v>0</v>
      </c>
      <c r="M151" t="n">
        <v>0</v>
      </c>
      <c r="N151" t="n">
        <v>0</v>
      </c>
      <c r="O151" t="n">
        <v>0</v>
      </c>
      <c r="P151" t="n">
        <v>0</v>
      </c>
      <c r="Q151" t="n">
        <v>0</v>
      </c>
      <c r="R151" s="2" t="inlineStr"/>
    </row>
    <row r="152" ht="15" customHeight="1">
      <c r="A152" t="inlineStr">
        <is>
          <t>A 24996-2019</t>
        </is>
      </c>
      <c r="B152" s="1" t="n">
        <v>43600</v>
      </c>
      <c r="C152" s="1" t="n">
        <v>45345</v>
      </c>
      <c r="D152" t="inlineStr">
        <is>
          <t>NORRBOTTENS LÄN</t>
        </is>
      </c>
      <c r="E152" t="inlineStr">
        <is>
          <t>GÄLLIVARE</t>
        </is>
      </c>
      <c r="G152" t="n">
        <v>5.5</v>
      </c>
      <c r="H152" t="n">
        <v>0</v>
      </c>
      <c r="I152" t="n">
        <v>0</v>
      </c>
      <c r="J152" t="n">
        <v>0</v>
      </c>
      <c r="K152" t="n">
        <v>0</v>
      </c>
      <c r="L152" t="n">
        <v>0</v>
      </c>
      <c r="M152" t="n">
        <v>0</v>
      </c>
      <c r="N152" t="n">
        <v>0</v>
      </c>
      <c r="O152" t="n">
        <v>0</v>
      </c>
      <c r="P152" t="n">
        <v>0</v>
      </c>
      <c r="Q152" t="n">
        <v>0</v>
      </c>
      <c r="R152" s="2" t="inlineStr"/>
    </row>
    <row r="153" ht="15" customHeight="1">
      <c r="A153" t="inlineStr">
        <is>
          <t>A 27498-2019</t>
        </is>
      </c>
      <c r="B153" s="1" t="n">
        <v>43612</v>
      </c>
      <c r="C153" s="1" t="n">
        <v>45345</v>
      </c>
      <c r="D153" t="inlineStr">
        <is>
          <t>NORRBOTTENS LÄN</t>
        </is>
      </c>
      <c r="E153" t="inlineStr">
        <is>
          <t>GÄLLIVARE</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26948-2019</t>
        </is>
      </c>
      <c r="B154" s="1" t="n">
        <v>43613</v>
      </c>
      <c r="C154" s="1" t="n">
        <v>45345</v>
      </c>
      <c r="D154" t="inlineStr">
        <is>
          <t>NORRBOTTENS LÄN</t>
        </is>
      </c>
      <c r="E154" t="inlineStr">
        <is>
          <t>GÄLLIVARE</t>
        </is>
      </c>
      <c r="F154" t="inlineStr">
        <is>
          <t>SCA</t>
        </is>
      </c>
      <c r="G154" t="n">
        <v>32.6</v>
      </c>
      <c r="H154" t="n">
        <v>0</v>
      </c>
      <c r="I154" t="n">
        <v>0</v>
      </c>
      <c r="J154" t="n">
        <v>0</v>
      </c>
      <c r="K154" t="n">
        <v>0</v>
      </c>
      <c r="L154" t="n">
        <v>0</v>
      </c>
      <c r="M154" t="n">
        <v>0</v>
      </c>
      <c r="N154" t="n">
        <v>0</v>
      </c>
      <c r="O154" t="n">
        <v>0</v>
      </c>
      <c r="P154" t="n">
        <v>0</v>
      </c>
      <c r="Q154" t="n">
        <v>0</v>
      </c>
      <c r="R154" s="2" t="inlineStr"/>
    </row>
    <row r="155" ht="15" customHeight="1">
      <c r="A155" t="inlineStr">
        <is>
          <t>A 26743-2019</t>
        </is>
      </c>
      <c r="B155" s="1" t="n">
        <v>43613</v>
      </c>
      <c r="C155" s="1" t="n">
        <v>45345</v>
      </c>
      <c r="D155" t="inlineStr">
        <is>
          <t>NORRBOTTENS LÄN</t>
        </is>
      </c>
      <c r="E155" t="inlineStr">
        <is>
          <t>GÄLLIVARE</t>
        </is>
      </c>
      <c r="F155" t="inlineStr">
        <is>
          <t>Sveaskog</t>
        </is>
      </c>
      <c r="G155" t="n">
        <v>7.6</v>
      </c>
      <c r="H155" t="n">
        <v>0</v>
      </c>
      <c r="I155" t="n">
        <v>0</v>
      </c>
      <c r="J155" t="n">
        <v>0</v>
      </c>
      <c r="K155" t="n">
        <v>0</v>
      </c>
      <c r="L155" t="n">
        <v>0</v>
      </c>
      <c r="M155" t="n">
        <v>0</v>
      </c>
      <c r="N155" t="n">
        <v>0</v>
      </c>
      <c r="O155" t="n">
        <v>0</v>
      </c>
      <c r="P155" t="n">
        <v>0</v>
      </c>
      <c r="Q155" t="n">
        <v>0</v>
      </c>
      <c r="R155" s="2" t="inlineStr"/>
    </row>
    <row r="156" ht="15" customHeight="1">
      <c r="A156" t="inlineStr">
        <is>
          <t>A 27043-2019</t>
        </is>
      </c>
      <c r="B156" s="1" t="n">
        <v>43614</v>
      </c>
      <c r="C156" s="1" t="n">
        <v>45345</v>
      </c>
      <c r="D156" t="inlineStr">
        <is>
          <t>NORRBOTTENS LÄN</t>
        </is>
      </c>
      <c r="E156" t="inlineStr">
        <is>
          <t>GÄLLIVARE</t>
        </is>
      </c>
      <c r="F156" t="inlineStr">
        <is>
          <t>Sveaskog</t>
        </is>
      </c>
      <c r="G156" t="n">
        <v>10.6</v>
      </c>
      <c r="H156" t="n">
        <v>0</v>
      </c>
      <c r="I156" t="n">
        <v>0</v>
      </c>
      <c r="J156" t="n">
        <v>0</v>
      </c>
      <c r="K156" t="n">
        <v>0</v>
      </c>
      <c r="L156" t="n">
        <v>0</v>
      </c>
      <c r="M156" t="n">
        <v>0</v>
      </c>
      <c r="N156" t="n">
        <v>0</v>
      </c>
      <c r="O156" t="n">
        <v>0</v>
      </c>
      <c r="P156" t="n">
        <v>0</v>
      </c>
      <c r="Q156" t="n">
        <v>0</v>
      </c>
      <c r="R156" s="2" t="inlineStr"/>
    </row>
    <row r="157" ht="15" customHeight="1">
      <c r="A157" t="inlineStr">
        <is>
          <t>A 27245-2019</t>
        </is>
      </c>
      <c r="B157" s="1" t="n">
        <v>43614</v>
      </c>
      <c r="C157" s="1" t="n">
        <v>45345</v>
      </c>
      <c r="D157" t="inlineStr">
        <is>
          <t>NORRBOTTENS LÄN</t>
        </is>
      </c>
      <c r="E157" t="inlineStr">
        <is>
          <t>GÄLLIVARE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27243-2019</t>
        </is>
      </c>
      <c r="B158" s="1" t="n">
        <v>43614</v>
      </c>
      <c r="C158" s="1" t="n">
        <v>45345</v>
      </c>
      <c r="D158" t="inlineStr">
        <is>
          <t>NORRBOTTENS LÄN</t>
        </is>
      </c>
      <c r="E158" t="inlineStr">
        <is>
          <t>GÄLLIVARE</t>
        </is>
      </c>
      <c r="F158" t="inlineStr">
        <is>
          <t>SCA</t>
        </is>
      </c>
      <c r="G158" t="n">
        <v>7.4</v>
      </c>
      <c r="H158" t="n">
        <v>0</v>
      </c>
      <c r="I158" t="n">
        <v>0</v>
      </c>
      <c r="J158" t="n">
        <v>0</v>
      </c>
      <c r="K158" t="n">
        <v>0</v>
      </c>
      <c r="L158" t="n">
        <v>0</v>
      </c>
      <c r="M158" t="n">
        <v>0</v>
      </c>
      <c r="N158" t="n">
        <v>0</v>
      </c>
      <c r="O158" t="n">
        <v>0</v>
      </c>
      <c r="P158" t="n">
        <v>0</v>
      </c>
      <c r="Q158" t="n">
        <v>0</v>
      </c>
      <c r="R158" s="2" t="inlineStr"/>
    </row>
    <row r="159" ht="15" customHeight="1">
      <c r="A159" t="inlineStr">
        <is>
          <t>A 27247-2019</t>
        </is>
      </c>
      <c r="B159" s="1" t="n">
        <v>43614</v>
      </c>
      <c r="C159" s="1" t="n">
        <v>45345</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28635-2019</t>
        </is>
      </c>
      <c r="B160" s="1" t="n">
        <v>43621</v>
      </c>
      <c r="C160" s="1" t="n">
        <v>45345</v>
      </c>
      <c r="D160" t="inlineStr">
        <is>
          <t>NORRBOTTENS LÄN</t>
        </is>
      </c>
      <c r="E160" t="inlineStr">
        <is>
          <t>GÄLLIVARE</t>
        </is>
      </c>
      <c r="F160" t="inlineStr">
        <is>
          <t>SCA</t>
        </is>
      </c>
      <c r="G160" t="n">
        <v>5.4</v>
      </c>
      <c r="H160" t="n">
        <v>0</v>
      </c>
      <c r="I160" t="n">
        <v>0</v>
      </c>
      <c r="J160" t="n">
        <v>0</v>
      </c>
      <c r="K160" t="n">
        <v>0</v>
      </c>
      <c r="L160" t="n">
        <v>0</v>
      </c>
      <c r="M160" t="n">
        <v>0</v>
      </c>
      <c r="N160" t="n">
        <v>0</v>
      </c>
      <c r="O160" t="n">
        <v>0</v>
      </c>
      <c r="P160" t="n">
        <v>0</v>
      </c>
      <c r="Q160" t="n">
        <v>0</v>
      </c>
      <c r="R160" s="2" t="inlineStr"/>
    </row>
    <row r="161" ht="15" customHeight="1">
      <c r="A161" t="inlineStr">
        <is>
          <t>A 28634-2019</t>
        </is>
      </c>
      <c r="B161" s="1" t="n">
        <v>43621</v>
      </c>
      <c r="C161" s="1" t="n">
        <v>45345</v>
      </c>
      <c r="D161" t="inlineStr">
        <is>
          <t>NORRBOTTENS LÄN</t>
        </is>
      </c>
      <c r="E161" t="inlineStr">
        <is>
          <t>GÄLLIVARE</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28633-2019</t>
        </is>
      </c>
      <c r="B162" s="1" t="n">
        <v>43621</v>
      </c>
      <c r="C162" s="1" t="n">
        <v>45345</v>
      </c>
      <c r="D162" t="inlineStr">
        <is>
          <t>NORRBOTTENS LÄN</t>
        </is>
      </c>
      <c r="E162" t="inlineStr">
        <is>
          <t>GÄLLIVARE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28476-2019</t>
        </is>
      </c>
      <c r="B163" s="1" t="n">
        <v>43626</v>
      </c>
      <c r="C163" s="1" t="n">
        <v>45345</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29148-2019</t>
        </is>
      </c>
      <c r="B164" s="1" t="n">
        <v>43628</v>
      </c>
      <c r="C164" s="1" t="n">
        <v>45345</v>
      </c>
      <c r="D164" t="inlineStr">
        <is>
          <t>NORRBOTTENS LÄN</t>
        </is>
      </c>
      <c r="E164" t="inlineStr">
        <is>
          <t>GÄLLIVARE</t>
        </is>
      </c>
      <c r="F164" t="inlineStr">
        <is>
          <t>SCA</t>
        </is>
      </c>
      <c r="G164" t="n">
        <v>11.3</v>
      </c>
      <c r="H164" t="n">
        <v>0</v>
      </c>
      <c r="I164" t="n">
        <v>0</v>
      </c>
      <c r="J164" t="n">
        <v>0</v>
      </c>
      <c r="K164" t="n">
        <v>0</v>
      </c>
      <c r="L164" t="n">
        <v>0</v>
      </c>
      <c r="M164" t="n">
        <v>0</v>
      </c>
      <c r="N164" t="n">
        <v>0</v>
      </c>
      <c r="O164" t="n">
        <v>0</v>
      </c>
      <c r="P164" t="n">
        <v>0</v>
      </c>
      <c r="Q164" t="n">
        <v>0</v>
      </c>
      <c r="R164" s="2" t="inlineStr"/>
    </row>
    <row r="165" ht="15" customHeight="1">
      <c r="A165" t="inlineStr">
        <is>
          <t>A 29149-2019</t>
        </is>
      </c>
      <c r="B165" s="1" t="n">
        <v>43628</v>
      </c>
      <c r="C165" s="1" t="n">
        <v>45345</v>
      </c>
      <c r="D165" t="inlineStr">
        <is>
          <t>NORRBOTTENS LÄN</t>
        </is>
      </c>
      <c r="E165" t="inlineStr">
        <is>
          <t>GÄLLIVARE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29552-2019</t>
        </is>
      </c>
      <c r="B166" s="1" t="n">
        <v>43630</v>
      </c>
      <c r="C166" s="1" t="n">
        <v>45345</v>
      </c>
      <c r="D166" t="inlineStr">
        <is>
          <t>NORRBOTTENS LÄN</t>
        </is>
      </c>
      <c r="E166" t="inlineStr">
        <is>
          <t>GÄLLIVARE</t>
        </is>
      </c>
      <c r="F166" t="inlineStr">
        <is>
          <t>Sveaskog</t>
        </is>
      </c>
      <c r="G166" t="n">
        <v>73.09999999999999</v>
      </c>
      <c r="H166" t="n">
        <v>0</v>
      </c>
      <c r="I166" t="n">
        <v>0</v>
      </c>
      <c r="J166" t="n">
        <v>0</v>
      </c>
      <c r="K166" t="n">
        <v>0</v>
      </c>
      <c r="L166" t="n">
        <v>0</v>
      </c>
      <c r="M166" t="n">
        <v>0</v>
      </c>
      <c r="N166" t="n">
        <v>0</v>
      </c>
      <c r="O166" t="n">
        <v>0</v>
      </c>
      <c r="P166" t="n">
        <v>0</v>
      </c>
      <c r="Q166" t="n">
        <v>0</v>
      </c>
      <c r="R166" s="2" t="inlineStr"/>
    </row>
    <row r="167" ht="15" customHeight="1">
      <c r="A167" t="inlineStr">
        <is>
          <t>A 30501-2019</t>
        </is>
      </c>
      <c r="B167" s="1" t="n">
        <v>43634</v>
      </c>
      <c r="C167" s="1" t="n">
        <v>45345</v>
      </c>
      <c r="D167" t="inlineStr">
        <is>
          <t>NORRBOTTENS LÄN</t>
        </is>
      </c>
      <c r="E167" t="inlineStr">
        <is>
          <t>GÄLLIVARE</t>
        </is>
      </c>
      <c r="G167" t="n">
        <v>4.5</v>
      </c>
      <c r="H167" t="n">
        <v>0</v>
      </c>
      <c r="I167" t="n">
        <v>0</v>
      </c>
      <c r="J167" t="n">
        <v>0</v>
      </c>
      <c r="K167" t="n">
        <v>0</v>
      </c>
      <c r="L167" t="n">
        <v>0</v>
      </c>
      <c r="M167" t="n">
        <v>0</v>
      </c>
      <c r="N167" t="n">
        <v>0</v>
      </c>
      <c r="O167" t="n">
        <v>0</v>
      </c>
      <c r="P167" t="n">
        <v>0</v>
      </c>
      <c r="Q167" t="n">
        <v>0</v>
      </c>
      <c r="R167" s="2" t="inlineStr"/>
    </row>
    <row r="168" ht="15" customHeight="1">
      <c r="A168" t="inlineStr">
        <is>
          <t>A 30693-2019</t>
        </is>
      </c>
      <c r="B168" s="1" t="n">
        <v>43636</v>
      </c>
      <c r="C168" s="1" t="n">
        <v>45345</v>
      </c>
      <c r="D168" t="inlineStr">
        <is>
          <t>NORRBOTTENS LÄN</t>
        </is>
      </c>
      <c r="E168" t="inlineStr">
        <is>
          <t>GÄLLIVARE</t>
        </is>
      </c>
      <c r="F168" t="inlineStr">
        <is>
          <t>Sveaskog</t>
        </is>
      </c>
      <c r="G168" t="n">
        <v>7.3</v>
      </c>
      <c r="H168" t="n">
        <v>0</v>
      </c>
      <c r="I168" t="n">
        <v>0</v>
      </c>
      <c r="J168" t="n">
        <v>0</v>
      </c>
      <c r="K168" t="n">
        <v>0</v>
      </c>
      <c r="L168" t="n">
        <v>0</v>
      </c>
      <c r="M168" t="n">
        <v>0</v>
      </c>
      <c r="N168" t="n">
        <v>0</v>
      </c>
      <c r="O168" t="n">
        <v>0</v>
      </c>
      <c r="P168" t="n">
        <v>0</v>
      </c>
      <c r="Q168" t="n">
        <v>0</v>
      </c>
      <c r="R168" s="2" t="inlineStr"/>
    </row>
    <row r="169" ht="15" customHeight="1">
      <c r="A169" t="inlineStr">
        <is>
          <t>A 30652-2019</t>
        </is>
      </c>
      <c r="B169" s="1" t="n">
        <v>43636</v>
      </c>
      <c r="C169" s="1" t="n">
        <v>45345</v>
      </c>
      <c r="D169" t="inlineStr">
        <is>
          <t>NORRBOTTENS LÄN</t>
        </is>
      </c>
      <c r="E169" t="inlineStr">
        <is>
          <t>GÄLLIVARE</t>
        </is>
      </c>
      <c r="F169" t="inlineStr">
        <is>
          <t>Sveaskog</t>
        </is>
      </c>
      <c r="G169" t="n">
        <v>7.9</v>
      </c>
      <c r="H169" t="n">
        <v>0</v>
      </c>
      <c r="I169" t="n">
        <v>0</v>
      </c>
      <c r="J169" t="n">
        <v>0</v>
      </c>
      <c r="K169" t="n">
        <v>0</v>
      </c>
      <c r="L169" t="n">
        <v>0</v>
      </c>
      <c r="M169" t="n">
        <v>0</v>
      </c>
      <c r="N169" t="n">
        <v>0</v>
      </c>
      <c r="O169" t="n">
        <v>0</v>
      </c>
      <c r="P169" t="n">
        <v>0</v>
      </c>
      <c r="Q169" t="n">
        <v>0</v>
      </c>
      <c r="R169" s="2" t="inlineStr"/>
    </row>
    <row r="170" ht="15" customHeight="1">
      <c r="A170" t="inlineStr">
        <is>
          <t>A 31453-2019</t>
        </is>
      </c>
      <c r="B170" s="1" t="n">
        <v>43640</v>
      </c>
      <c r="C170" s="1" t="n">
        <v>45345</v>
      </c>
      <c r="D170" t="inlineStr">
        <is>
          <t>NORRBOTTENS LÄN</t>
        </is>
      </c>
      <c r="E170" t="inlineStr">
        <is>
          <t>GÄLLIVARE</t>
        </is>
      </c>
      <c r="G170" t="n">
        <v>5.9</v>
      </c>
      <c r="H170" t="n">
        <v>0</v>
      </c>
      <c r="I170" t="n">
        <v>0</v>
      </c>
      <c r="J170" t="n">
        <v>0</v>
      </c>
      <c r="K170" t="n">
        <v>0</v>
      </c>
      <c r="L170" t="n">
        <v>0</v>
      </c>
      <c r="M170" t="n">
        <v>0</v>
      </c>
      <c r="N170" t="n">
        <v>0</v>
      </c>
      <c r="O170" t="n">
        <v>0</v>
      </c>
      <c r="P170" t="n">
        <v>0</v>
      </c>
      <c r="Q170" t="n">
        <v>0</v>
      </c>
      <c r="R170" s="2" t="inlineStr"/>
    </row>
    <row r="171" ht="15" customHeight="1">
      <c r="A171" t="inlineStr">
        <is>
          <t>A 31525-2019</t>
        </is>
      </c>
      <c r="B171" s="1" t="n">
        <v>43641</v>
      </c>
      <c r="C171" s="1" t="n">
        <v>45345</v>
      </c>
      <c r="D171" t="inlineStr">
        <is>
          <t>NORRBOTTENS LÄN</t>
        </is>
      </c>
      <c r="E171" t="inlineStr">
        <is>
          <t>GÄLLIVARE</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31515-2019</t>
        </is>
      </c>
      <c r="B172" s="1" t="n">
        <v>43641</v>
      </c>
      <c r="C172" s="1" t="n">
        <v>45345</v>
      </c>
      <c r="D172" t="inlineStr">
        <is>
          <t>NORRBOTTENS LÄN</t>
        </is>
      </c>
      <c r="E172" t="inlineStr">
        <is>
          <t>GÄLLIVARE</t>
        </is>
      </c>
      <c r="F172" t="inlineStr">
        <is>
          <t>Sveaskog</t>
        </is>
      </c>
      <c r="G172" t="n">
        <v>13.6</v>
      </c>
      <c r="H172" t="n">
        <v>0</v>
      </c>
      <c r="I172" t="n">
        <v>0</v>
      </c>
      <c r="J172" t="n">
        <v>0</v>
      </c>
      <c r="K172" t="n">
        <v>0</v>
      </c>
      <c r="L172" t="n">
        <v>0</v>
      </c>
      <c r="M172" t="n">
        <v>0</v>
      </c>
      <c r="N172" t="n">
        <v>0</v>
      </c>
      <c r="O172" t="n">
        <v>0</v>
      </c>
      <c r="P172" t="n">
        <v>0</v>
      </c>
      <c r="Q172" t="n">
        <v>0</v>
      </c>
      <c r="R172" s="2" t="inlineStr"/>
    </row>
    <row r="173" ht="15" customHeight="1">
      <c r="A173" t="inlineStr">
        <is>
          <t>A 32671-2019</t>
        </is>
      </c>
      <c r="B173" s="1" t="n">
        <v>43647</v>
      </c>
      <c r="C173" s="1" t="n">
        <v>45345</v>
      </c>
      <c r="D173" t="inlineStr">
        <is>
          <t>NORRBOTTENS LÄN</t>
        </is>
      </c>
      <c r="E173" t="inlineStr">
        <is>
          <t>GÄLLIVARE</t>
        </is>
      </c>
      <c r="G173" t="n">
        <v>10</v>
      </c>
      <c r="H173" t="n">
        <v>0</v>
      </c>
      <c r="I173" t="n">
        <v>0</v>
      </c>
      <c r="J173" t="n">
        <v>0</v>
      </c>
      <c r="K173" t="n">
        <v>0</v>
      </c>
      <c r="L173" t="n">
        <v>0</v>
      </c>
      <c r="M173" t="n">
        <v>0</v>
      </c>
      <c r="N173" t="n">
        <v>0</v>
      </c>
      <c r="O173" t="n">
        <v>0</v>
      </c>
      <c r="P173" t="n">
        <v>0</v>
      </c>
      <c r="Q173" t="n">
        <v>0</v>
      </c>
      <c r="R173" s="2" t="inlineStr"/>
    </row>
    <row r="174" ht="15" customHeight="1">
      <c r="A174" t="inlineStr">
        <is>
          <t>A 32549-2019</t>
        </is>
      </c>
      <c r="B174" s="1" t="n">
        <v>43647</v>
      </c>
      <c r="C174" s="1" t="n">
        <v>45345</v>
      </c>
      <c r="D174" t="inlineStr">
        <is>
          <t>NORRBOTTENS LÄN</t>
        </is>
      </c>
      <c r="E174" t="inlineStr">
        <is>
          <t>GÄLLIVARE</t>
        </is>
      </c>
      <c r="F174" t="inlineStr">
        <is>
          <t>Sveaskog</t>
        </is>
      </c>
      <c r="G174" t="n">
        <v>4.4</v>
      </c>
      <c r="H174" t="n">
        <v>0</v>
      </c>
      <c r="I174" t="n">
        <v>0</v>
      </c>
      <c r="J174" t="n">
        <v>0</v>
      </c>
      <c r="K174" t="n">
        <v>0</v>
      </c>
      <c r="L174" t="n">
        <v>0</v>
      </c>
      <c r="M174" t="n">
        <v>0</v>
      </c>
      <c r="N174" t="n">
        <v>0</v>
      </c>
      <c r="O174" t="n">
        <v>0</v>
      </c>
      <c r="P174" t="n">
        <v>0</v>
      </c>
      <c r="Q174" t="n">
        <v>0</v>
      </c>
      <c r="R174" s="2" t="inlineStr"/>
    </row>
    <row r="175" ht="15" customHeight="1">
      <c r="A175" t="inlineStr">
        <is>
          <t>A 32869-2019</t>
        </is>
      </c>
      <c r="B175" s="1" t="n">
        <v>43648</v>
      </c>
      <c r="C175" s="1" t="n">
        <v>45345</v>
      </c>
      <c r="D175" t="inlineStr">
        <is>
          <t>NORRBOTTENS LÄN</t>
        </is>
      </c>
      <c r="E175" t="inlineStr">
        <is>
          <t>GÄLLIVARE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34053-2019</t>
        </is>
      </c>
      <c r="B176" s="1" t="n">
        <v>43654</v>
      </c>
      <c r="C176" s="1" t="n">
        <v>45345</v>
      </c>
      <c r="D176" t="inlineStr">
        <is>
          <t>NORRBOTTENS LÄN</t>
        </is>
      </c>
      <c r="E176" t="inlineStr">
        <is>
          <t>GÄLLIVARE</t>
        </is>
      </c>
      <c r="F176" t="inlineStr">
        <is>
          <t>Sveaskog</t>
        </is>
      </c>
      <c r="G176" t="n">
        <v>13.8</v>
      </c>
      <c r="H176" t="n">
        <v>0</v>
      </c>
      <c r="I176" t="n">
        <v>0</v>
      </c>
      <c r="J176" t="n">
        <v>0</v>
      </c>
      <c r="K176" t="n">
        <v>0</v>
      </c>
      <c r="L176" t="n">
        <v>0</v>
      </c>
      <c r="M176" t="n">
        <v>0</v>
      </c>
      <c r="N176" t="n">
        <v>0</v>
      </c>
      <c r="O176" t="n">
        <v>0</v>
      </c>
      <c r="P176" t="n">
        <v>0</v>
      </c>
      <c r="Q176" t="n">
        <v>0</v>
      </c>
      <c r="R176" s="2" t="inlineStr"/>
    </row>
    <row r="177" ht="15" customHeight="1">
      <c r="A177" t="inlineStr">
        <is>
          <t>A 34049-2019</t>
        </is>
      </c>
      <c r="B177" s="1" t="n">
        <v>43654</v>
      </c>
      <c r="C177" s="1" t="n">
        <v>45345</v>
      </c>
      <c r="D177" t="inlineStr">
        <is>
          <t>NORRBOTTENS LÄN</t>
        </is>
      </c>
      <c r="E177" t="inlineStr">
        <is>
          <t>GÄLLIVARE</t>
        </is>
      </c>
      <c r="F177" t="inlineStr">
        <is>
          <t>Sveaskog</t>
        </is>
      </c>
      <c r="G177" t="n">
        <v>10.2</v>
      </c>
      <c r="H177" t="n">
        <v>0</v>
      </c>
      <c r="I177" t="n">
        <v>0</v>
      </c>
      <c r="J177" t="n">
        <v>0</v>
      </c>
      <c r="K177" t="n">
        <v>0</v>
      </c>
      <c r="L177" t="n">
        <v>0</v>
      </c>
      <c r="M177" t="n">
        <v>0</v>
      </c>
      <c r="N177" t="n">
        <v>0</v>
      </c>
      <c r="O177" t="n">
        <v>0</v>
      </c>
      <c r="P177" t="n">
        <v>0</v>
      </c>
      <c r="Q177" t="n">
        <v>0</v>
      </c>
      <c r="R177" s="2" t="inlineStr"/>
    </row>
    <row r="178" ht="15" customHeight="1">
      <c r="A178" t="inlineStr">
        <is>
          <t>A 34255-2019</t>
        </is>
      </c>
      <c r="B178" s="1" t="n">
        <v>43655</v>
      </c>
      <c r="C178" s="1" t="n">
        <v>45345</v>
      </c>
      <c r="D178" t="inlineStr">
        <is>
          <t>NORRBOTTENS LÄN</t>
        </is>
      </c>
      <c r="E178" t="inlineStr">
        <is>
          <t>GÄLLIVARE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36046-2019</t>
        </is>
      </c>
      <c r="B179" s="1" t="n">
        <v>43668</v>
      </c>
      <c r="C179" s="1" t="n">
        <v>45345</v>
      </c>
      <c r="D179" t="inlineStr">
        <is>
          <t>NORRBOTTENS LÄN</t>
        </is>
      </c>
      <c r="E179" t="inlineStr">
        <is>
          <t>GÄLLIVARE</t>
        </is>
      </c>
      <c r="F179" t="inlineStr">
        <is>
          <t>Sveaskog</t>
        </is>
      </c>
      <c r="G179" t="n">
        <v>14.9</v>
      </c>
      <c r="H179" t="n">
        <v>0</v>
      </c>
      <c r="I179" t="n">
        <v>0</v>
      </c>
      <c r="J179" t="n">
        <v>0</v>
      </c>
      <c r="K179" t="n">
        <v>0</v>
      </c>
      <c r="L179" t="n">
        <v>0</v>
      </c>
      <c r="M179" t="n">
        <v>0</v>
      </c>
      <c r="N179" t="n">
        <v>0</v>
      </c>
      <c r="O179" t="n">
        <v>0</v>
      </c>
      <c r="P179" t="n">
        <v>0</v>
      </c>
      <c r="Q179" t="n">
        <v>0</v>
      </c>
      <c r="R179" s="2" t="inlineStr"/>
    </row>
    <row r="180" ht="15" customHeight="1">
      <c r="A180" t="inlineStr">
        <is>
          <t>A 37123-2019</t>
        </is>
      </c>
      <c r="B180" s="1" t="n">
        <v>43676</v>
      </c>
      <c r="C180" s="1" t="n">
        <v>45345</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37122-2019</t>
        </is>
      </c>
      <c r="B181" s="1" t="n">
        <v>43676</v>
      </c>
      <c r="C181" s="1" t="n">
        <v>45345</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38322-2019</t>
        </is>
      </c>
      <c r="B182" s="1" t="n">
        <v>43684</v>
      </c>
      <c r="C182" s="1" t="n">
        <v>45345</v>
      </c>
      <c r="D182" t="inlineStr">
        <is>
          <t>NORRBOTTENS LÄN</t>
        </is>
      </c>
      <c r="E182" t="inlineStr">
        <is>
          <t>GÄLLIVARE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39604-2019</t>
        </is>
      </c>
      <c r="B183" s="1" t="n">
        <v>43686</v>
      </c>
      <c r="C183" s="1" t="n">
        <v>45345</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39893-2019</t>
        </is>
      </c>
      <c r="B184" s="1" t="n">
        <v>43689</v>
      </c>
      <c r="C184" s="1" t="n">
        <v>45345</v>
      </c>
      <c r="D184" t="inlineStr">
        <is>
          <t>NORRBOTTENS LÄN</t>
        </is>
      </c>
      <c r="E184" t="inlineStr">
        <is>
          <t>GÄLLIVARE</t>
        </is>
      </c>
      <c r="G184" t="n">
        <v>7</v>
      </c>
      <c r="H184" t="n">
        <v>0</v>
      </c>
      <c r="I184" t="n">
        <v>0</v>
      </c>
      <c r="J184" t="n">
        <v>0</v>
      </c>
      <c r="K184" t="n">
        <v>0</v>
      </c>
      <c r="L184" t="n">
        <v>0</v>
      </c>
      <c r="M184" t="n">
        <v>0</v>
      </c>
      <c r="N184" t="n">
        <v>0</v>
      </c>
      <c r="O184" t="n">
        <v>0</v>
      </c>
      <c r="P184" t="n">
        <v>0</v>
      </c>
      <c r="Q184" t="n">
        <v>0</v>
      </c>
      <c r="R184" s="2" t="inlineStr"/>
    </row>
    <row r="185" ht="15" customHeight="1">
      <c r="A185" t="inlineStr">
        <is>
          <t>A 39907-2019</t>
        </is>
      </c>
      <c r="B185" s="1" t="n">
        <v>43689</v>
      </c>
      <c r="C185" s="1" t="n">
        <v>45345</v>
      </c>
      <c r="D185" t="inlineStr">
        <is>
          <t>NORRBOTTENS LÄN</t>
        </is>
      </c>
      <c r="E185" t="inlineStr">
        <is>
          <t>GÄLLIVARE</t>
        </is>
      </c>
      <c r="G185" t="n">
        <v>5.8</v>
      </c>
      <c r="H185" t="n">
        <v>0</v>
      </c>
      <c r="I185" t="n">
        <v>0</v>
      </c>
      <c r="J185" t="n">
        <v>0</v>
      </c>
      <c r="K185" t="n">
        <v>0</v>
      </c>
      <c r="L185" t="n">
        <v>0</v>
      </c>
      <c r="M185" t="n">
        <v>0</v>
      </c>
      <c r="N185" t="n">
        <v>0</v>
      </c>
      <c r="O185" t="n">
        <v>0</v>
      </c>
      <c r="P185" t="n">
        <v>0</v>
      </c>
      <c r="Q185" t="n">
        <v>0</v>
      </c>
      <c r="R185" s="2" t="inlineStr"/>
    </row>
    <row r="186" ht="15" customHeight="1">
      <c r="A186" t="inlineStr">
        <is>
          <t>A 40435-2019</t>
        </is>
      </c>
      <c r="B186" s="1" t="n">
        <v>43690</v>
      </c>
      <c r="C186" s="1" t="n">
        <v>45345</v>
      </c>
      <c r="D186" t="inlineStr">
        <is>
          <t>NORRBOTTENS LÄN</t>
        </is>
      </c>
      <c r="E186" t="inlineStr">
        <is>
          <t>GÄLLIVARE</t>
        </is>
      </c>
      <c r="G186" t="n">
        <v>3.2</v>
      </c>
      <c r="H186" t="n">
        <v>0</v>
      </c>
      <c r="I186" t="n">
        <v>0</v>
      </c>
      <c r="J186" t="n">
        <v>0</v>
      </c>
      <c r="K186" t="n">
        <v>0</v>
      </c>
      <c r="L186" t="n">
        <v>0</v>
      </c>
      <c r="M186" t="n">
        <v>0</v>
      </c>
      <c r="N186" t="n">
        <v>0</v>
      </c>
      <c r="O186" t="n">
        <v>0</v>
      </c>
      <c r="P186" t="n">
        <v>0</v>
      </c>
      <c r="Q186" t="n">
        <v>0</v>
      </c>
      <c r="R186" s="2" t="inlineStr"/>
    </row>
    <row r="187" ht="15" customHeight="1">
      <c r="A187" t="inlineStr">
        <is>
          <t>A 39733-2019</t>
        </is>
      </c>
      <c r="B187" s="1" t="n">
        <v>43691</v>
      </c>
      <c r="C187" s="1" t="n">
        <v>45345</v>
      </c>
      <c r="D187" t="inlineStr">
        <is>
          <t>NORRBOTTENS LÄN</t>
        </is>
      </c>
      <c r="E187" t="inlineStr">
        <is>
          <t>GÄLLIVARE</t>
        </is>
      </c>
      <c r="G187" t="n">
        <v>10.2</v>
      </c>
      <c r="H187" t="n">
        <v>0</v>
      </c>
      <c r="I187" t="n">
        <v>0</v>
      </c>
      <c r="J187" t="n">
        <v>0</v>
      </c>
      <c r="K187" t="n">
        <v>0</v>
      </c>
      <c r="L187" t="n">
        <v>0</v>
      </c>
      <c r="M187" t="n">
        <v>0</v>
      </c>
      <c r="N187" t="n">
        <v>0</v>
      </c>
      <c r="O187" t="n">
        <v>0</v>
      </c>
      <c r="P187" t="n">
        <v>0</v>
      </c>
      <c r="Q187" t="n">
        <v>0</v>
      </c>
      <c r="R187" s="2" t="inlineStr"/>
    </row>
    <row r="188" ht="15" customHeight="1">
      <c r="A188" t="inlineStr">
        <is>
          <t>A 40147-2019</t>
        </is>
      </c>
      <c r="B188" s="1" t="n">
        <v>43693</v>
      </c>
      <c r="C188" s="1" t="n">
        <v>45345</v>
      </c>
      <c r="D188" t="inlineStr">
        <is>
          <t>NORRBOTTENS LÄN</t>
        </is>
      </c>
      <c r="E188" t="inlineStr">
        <is>
          <t>GÄLLIVARE</t>
        </is>
      </c>
      <c r="F188" t="inlineStr">
        <is>
          <t>Sveaskog</t>
        </is>
      </c>
      <c r="G188" t="n">
        <v>6.5</v>
      </c>
      <c r="H188" t="n">
        <v>0</v>
      </c>
      <c r="I188" t="n">
        <v>0</v>
      </c>
      <c r="J188" t="n">
        <v>0</v>
      </c>
      <c r="K188" t="n">
        <v>0</v>
      </c>
      <c r="L188" t="n">
        <v>0</v>
      </c>
      <c r="M188" t="n">
        <v>0</v>
      </c>
      <c r="N188" t="n">
        <v>0</v>
      </c>
      <c r="O188" t="n">
        <v>0</v>
      </c>
      <c r="P188" t="n">
        <v>0</v>
      </c>
      <c r="Q188" t="n">
        <v>0</v>
      </c>
      <c r="R188" s="2" t="inlineStr"/>
    </row>
    <row r="189" ht="15" customHeight="1">
      <c r="A189" t="inlineStr">
        <is>
          <t>A 42081-2019</t>
        </is>
      </c>
      <c r="B189" s="1" t="n">
        <v>43700</v>
      </c>
      <c r="C189" s="1" t="n">
        <v>45345</v>
      </c>
      <c r="D189" t="inlineStr">
        <is>
          <t>NORRBOTTENS LÄN</t>
        </is>
      </c>
      <c r="E189" t="inlineStr">
        <is>
          <t>GÄLLIVARE</t>
        </is>
      </c>
      <c r="F189" t="inlineStr">
        <is>
          <t>SCA</t>
        </is>
      </c>
      <c r="G189" t="n">
        <v>15.2</v>
      </c>
      <c r="H189" t="n">
        <v>0</v>
      </c>
      <c r="I189" t="n">
        <v>0</v>
      </c>
      <c r="J189" t="n">
        <v>0</v>
      </c>
      <c r="K189" t="n">
        <v>0</v>
      </c>
      <c r="L189" t="n">
        <v>0</v>
      </c>
      <c r="M189" t="n">
        <v>0</v>
      </c>
      <c r="N189" t="n">
        <v>0</v>
      </c>
      <c r="O189" t="n">
        <v>0</v>
      </c>
      <c r="P189" t="n">
        <v>0</v>
      </c>
      <c r="Q189" t="n">
        <v>0</v>
      </c>
      <c r="R189" s="2" t="inlineStr"/>
    </row>
    <row r="190" ht="15" customHeight="1">
      <c r="A190" t="inlineStr">
        <is>
          <t>A 43256-2019</t>
        </is>
      </c>
      <c r="B190" s="1" t="n">
        <v>43703</v>
      </c>
      <c r="C190" s="1" t="n">
        <v>45345</v>
      </c>
      <c r="D190" t="inlineStr">
        <is>
          <t>NORRBOTTENS LÄN</t>
        </is>
      </c>
      <c r="E190" t="inlineStr">
        <is>
          <t>GÄLLIVARE</t>
        </is>
      </c>
      <c r="F190" t="inlineStr">
        <is>
          <t>Allmännings- och besparingsskogar</t>
        </is>
      </c>
      <c r="G190" t="n">
        <v>26.8</v>
      </c>
      <c r="H190" t="n">
        <v>0</v>
      </c>
      <c r="I190" t="n">
        <v>0</v>
      </c>
      <c r="J190" t="n">
        <v>0</v>
      </c>
      <c r="K190" t="n">
        <v>0</v>
      </c>
      <c r="L190" t="n">
        <v>0</v>
      </c>
      <c r="M190" t="n">
        <v>0</v>
      </c>
      <c r="N190" t="n">
        <v>0</v>
      </c>
      <c r="O190" t="n">
        <v>0</v>
      </c>
      <c r="P190" t="n">
        <v>0</v>
      </c>
      <c r="Q190" t="n">
        <v>0</v>
      </c>
      <c r="R190" s="2" t="inlineStr"/>
    </row>
    <row r="191" ht="15" customHeight="1">
      <c r="A191" t="inlineStr">
        <is>
          <t>A 42505-2019</t>
        </is>
      </c>
      <c r="B191" s="1" t="n">
        <v>43704</v>
      </c>
      <c r="C191" s="1" t="n">
        <v>45345</v>
      </c>
      <c r="D191" t="inlineStr">
        <is>
          <t>NORRBOTTENS LÄN</t>
        </is>
      </c>
      <c r="E191" t="inlineStr">
        <is>
          <t>GÄLLIVARE</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42513-2019</t>
        </is>
      </c>
      <c r="B192" s="1" t="n">
        <v>43704</v>
      </c>
      <c r="C192" s="1" t="n">
        <v>45345</v>
      </c>
      <c r="D192" t="inlineStr">
        <is>
          <t>NORRBOTTENS LÄN</t>
        </is>
      </c>
      <c r="E192" t="inlineStr">
        <is>
          <t>GÄLLIVARE</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44239-2019</t>
        </is>
      </c>
      <c r="B193" s="1" t="n">
        <v>43704</v>
      </c>
      <c r="C193" s="1" t="n">
        <v>45345</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45655-2019</t>
        </is>
      </c>
      <c r="B194" s="1" t="n">
        <v>43704</v>
      </c>
      <c r="C194" s="1" t="n">
        <v>45345</v>
      </c>
      <c r="D194" t="inlineStr">
        <is>
          <t>NORRBOTTENS LÄN</t>
        </is>
      </c>
      <c r="E194" t="inlineStr">
        <is>
          <t>GÄLLIVARE</t>
        </is>
      </c>
      <c r="G194" t="n">
        <v>0.9</v>
      </c>
      <c r="H194" t="n">
        <v>0</v>
      </c>
      <c r="I194" t="n">
        <v>0</v>
      </c>
      <c r="J194" t="n">
        <v>0</v>
      </c>
      <c r="K194" t="n">
        <v>0</v>
      </c>
      <c r="L194" t="n">
        <v>0</v>
      </c>
      <c r="M194" t="n">
        <v>0</v>
      </c>
      <c r="N194" t="n">
        <v>0</v>
      </c>
      <c r="O194" t="n">
        <v>0</v>
      </c>
      <c r="P194" t="n">
        <v>0</v>
      </c>
      <c r="Q194" t="n">
        <v>0</v>
      </c>
      <c r="R194" s="2" t="inlineStr"/>
    </row>
    <row r="195" ht="15" customHeight="1">
      <c r="A195" t="inlineStr">
        <is>
          <t>A 45652-2019</t>
        </is>
      </c>
      <c r="B195" s="1" t="n">
        <v>43704</v>
      </c>
      <c r="C195" s="1" t="n">
        <v>45345</v>
      </c>
      <c r="D195" t="inlineStr">
        <is>
          <t>NORRBOTTENS LÄN</t>
        </is>
      </c>
      <c r="E195" t="inlineStr">
        <is>
          <t>GÄLLIVARE</t>
        </is>
      </c>
      <c r="G195" t="n">
        <v>1</v>
      </c>
      <c r="H195" t="n">
        <v>0</v>
      </c>
      <c r="I195" t="n">
        <v>0</v>
      </c>
      <c r="J195" t="n">
        <v>0</v>
      </c>
      <c r="K195" t="n">
        <v>0</v>
      </c>
      <c r="L195" t="n">
        <v>0</v>
      </c>
      <c r="M195" t="n">
        <v>0</v>
      </c>
      <c r="N195" t="n">
        <v>0</v>
      </c>
      <c r="O195" t="n">
        <v>0</v>
      </c>
      <c r="P195" t="n">
        <v>0</v>
      </c>
      <c r="Q195" t="n">
        <v>0</v>
      </c>
      <c r="R195" s="2" t="inlineStr"/>
    </row>
    <row r="196" ht="15" customHeight="1">
      <c r="A196" t="inlineStr">
        <is>
          <t>A 45656-2019</t>
        </is>
      </c>
      <c r="B196" s="1" t="n">
        <v>43704</v>
      </c>
      <c r="C196" s="1" t="n">
        <v>45345</v>
      </c>
      <c r="D196" t="inlineStr">
        <is>
          <t>NORRBOTTENS LÄN</t>
        </is>
      </c>
      <c r="E196" t="inlineStr">
        <is>
          <t>GÄLLIVARE</t>
        </is>
      </c>
      <c r="G196" t="n">
        <v>1.5</v>
      </c>
      <c r="H196" t="n">
        <v>0</v>
      </c>
      <c r="I196" t="n">
        <v>0</v>
      </c>
      <c r="J196" t="n">
        <v>0</v>
      </c>
      <c r="K196" t="n">
        <v>0</v>
      </c>
      <c r="L196" t="n">
        <v>0</v>
      </c>
      <c r="M196" t="n">
        <v>0</v>
      </c>
      <c r="N196" t="n">
        <v>0</v>
      </c>
      <c r="O196" t="n">
        <v>0</v>
      </c>
      <c r="P196" t="n">
        <v>0</v>
      </c>
      <c r="Q196" t="n">
        <v>0</v>
      </c>
      <c r="R196" s="2" t="inlineStr"/>
    </row>
    <row r="197" ht="15" customHeight="1">
      <c r="A197" t="inlineStr">
        <is>
          <t>A 43505-2019</t>
        </is>
      </c>
      <c r="B197" s="1" t="n">
        <v>43706</v>
      </c>
      <c r="C197" s="1" t="n">
        <v>45345</v>
      </c>
      <c r="D197" t="inlineStr">
        <is>
          <t>NORRBOTTENS LÄN</t>
        </is>
      </c>
      <c r="E197" t="inlineStr">
        <is>
          <t>GÄLLIVARE</t>
        </is>
      </c>
      <c r="G197" t="n">
        <v>60.2</v>
      </c>
      <c r="H197" t="n">
        <v>0</v>
      </c>
      <c r="I197" t="n">
        <v>0</v>
      </c>
      <c r="J197" t="n">
        <v>0</v>
      </c>
      <c r="K197" t="n">
        <v>0</v>
      </c>
      <c r="L197" t="n">
        <v>0</v>
      </c>
      <c r="M197" t="n">
        <v>0</v>
      </c>
      <c r="N197" t="n">
        <v>0</v>
      </c>
      <c r="O197" t="n">
        <v>0</v>
      </c>
      <c r="P197" t="n">
        <v>0</v>
      </c>
      <c r="Q197" t="n">
        <v>0</v>
      </c>
      <c r="R197" s="2" t="inlineStr"/>
    </row>
    <row r="198" ht="15" customHeight="1">
      <c r="A198" t="inlineStr">
        <is>
          <t>A 43597-2019</t>
        </is>
      </c>
      <c r="B198" s="1" t="n">
        <v>43706</v>
      </c>
      <c r="C198" s="1" t="n">
        <v>45345</v>
      </c>
      <c r="D198" t="inlineStr">
        <is>
          <t>NORRBOTTENS LÄN</t>
        </is>
      </c>
      <c r="E198" t="inlineStr">
        <is>
          <t>GÄLLIVARE</t>
        </is>
      </c>
      <c r="F198" t="inlineStr">
        <is>
          <t>SCA</t>
        </is>
      </c>
      <c r="G198" t="n">
        <v>17.7</v>
      </c>
      <c r="H198" t="n">
        <v>0</v>
      </c>
      <c r="I198" t="n">
        <v>0</v>
      </c>
      <c r="J198" t="n">
        <v>0</v>
      </c>
      <c r="K198" t="n">
        <v>0</v>
      </c>
      <c r="L198" t="n">
        <v>0</v>
      </c>
      <c r="M198" t="n">
        <v>0</v>
      </c>
      <c r="N198" t="n">
        <v>0</v>
      </c>
      <c r="O198" t="n">
        <v>0</v>
      </c>
      <c r="P198" t="n">
        <v>0</v>
      </c>
      <c r="Q198" t="n">
        <v>0</v>
      </c>
      <c r="R198" s="2" t="inlineStr"/>
    </row>
    <row r="199" ht="15" customHeight="1">
      <c r="A199" t="inlineStr">
        <is>
          <t>A 43596-2019</t>
        </is>
      </c>
      <c r="B199" s="1" t="n">
        <v>43706</v>
      </c>
      <c r="C199" s="1" t="n">
        <v>45345</v>
      </c>
      <c r="D199" t="inlineStr">
        <is>
          <t>NORRBOTTENS LÄN</t>
        </is>
      </c>
      <c r="E199" t="inlineStr">
        <is>
          <t>GÄLLIVARE</t>
        </is>
      </c>
      <c r="F199" t="inlineStr">
        <is>
          <t>SCA</t>
        </is>
      </c>
      <c r="G199" t="n">
        <v>7.9</v>
      </c>
      <c r="H199" t="n">
        <v>0</v>
      </c>
      <c r="I199" t="n">
        <v>0</v>
      </c>
      <c r="J199" t="n">
        <v>0</v>
      </c>
      <c r="K199" t="n">
        <v>0</v>
      </c>
      <c r="L199" t="n">
        <v>0</v>
      </c>
      <c r="M199" t="n">
        <v>0</v>
      </c>
      <c r="N199" t="n">
        <v>0</v>
      </c>
      <c r="O199" t="n">
        <v>0</v>
      </c>
      <c r="P199" t="n">
        <v>0</v>
      </c>
      <c r="Q199" t="n">
        <v>0</v>
      </c>
      <c r="R199" s="2" t="inlineStr"/>
    </row>
    <row r="200" ht="15" customHeight="1">
      <c r="A200" t="inlineStr">
        <is>
          <t>A 46662-2019</t>
        </is>
      </c>
      <c r="B200" s="1" t="n">
        <v>43718</v>
      </c>
      <c r="C200" s="1" t="n">
        <v>45345</v>
      </c>
      <c r="D200" t="inlineStr">
        <is>
          <t>NORRBOTTENS LÄN</t>
        </is>
      </c>
      <c r="E200" t="inlineStr">
        <is>
          <t>GÄLLIVARE</t>
        </is>
      </c>
      <c r="G200" t="n">
        <v>2.1</v>
      </c>
      <c r="H200" t="n">
        <v>0</v>
      </c>
      <c r="I200" t="n">
        <v>0</v>
      </c>
      <c r="J200" t="n">
        <v>0</v>
      </c>
      <c r="K200" t="n">
        <v>0</v>
      </c>
      <c r="L200" t="n">
        <v>0</v>
      </c>
      <c r="M200" t="n">
        <v>0</v>
      </c>
      <c r="N200" t="n">
        <v>0</v>
      </c>
      <c r="O200" t="n">
        <v>0</v>
      </c>
      <c r="P200" t="n">
        <v>0</v>
      </c>
      <c r="Q200" t="n">
        <v>0</v>
      </c>
      <c r="R200" s="2" t="inlineStr"/>
    </row>
    <row r="201" ht="15" customHeight="1">
      <c r="A201" t="inlineStr">
        <is>
          <t>A 47093-2019</t>
        </is>
      </c>
      <c r="B201" s="1" t="n">
        <v>43720</v>
      </c>
      <c r="C201" s="1" t="n">
        <v>45345</v>
      </c>
      <c r="D201" t="inlineStr">
        <is>
          <t>NORRBOTTENS LÄN</t>
        </is>
      </c>
      <c r="E201" t="inlineStr">
        <is>
          <t>GÄLLIVARE</t>
        </is>
      </c>
      <c r="F201" t="inlineStr">
        <is>
          <t>SCA</t>
        </is>
      </c>
      <c r="G201" t="n">
        <v>20.4</v>
      </c>
      <c r="H201" t="n">
        <v>0</v>
      </c>
      <c r="I201" t="n">
        <v>0</v>
      </c>
      <c r="J201" t="n">
        <v>0</v>
      </c>
      <c r="K201" t="n">
        <v>0</v>
      </c>
      <c r="L201" t="n">
        <v>0</v>
      </c>
      <c r="M201" t="n">
        <v>0</v>
      </c>
      <c r="N201" t="n">
        <v>0</v>
      </c>
      <c r="O201" t="n">
        <v>0</v>
      </c>
      <c r="P201" t="n">
        <v>0</v>
      </c>
      <c r="Q201" t="n">
        <v>0</v>
      </c>
      <c r="R201" s="2" t="inlineStr"/>
    </row>
    <row r="202" ht="15" customHeight="1">
      <c r="A202" t="inlineStr">
        <is>
          <t>A 47637-2019</t>
        </is>
      </c>
      <c r="B202" s="1" t="n">
        <v>43724</v>
      </c>
      <c r="C202" s="1" t="n">
        <v>45345</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47761-2019</t>
        </is>
      </c>
      <c r="B203" s="1" t="n">
        <v>43724</v>
      </c>
      <c r="C203" s="1" t="n">
        <v>45345</v>
      </c>
      <c r="D203" t="inlineStr">
        <is>
          <t>NORRBOTTENS LÄN</t>
        </is>
      </c>
      <c r="E203" t="inlineStr">
        <is>
          <t>GÄLLIVARE</t>
        </is>
      </c>
      <c r="F203" t="inlineStr">
        <is>
          <t>Sveaskog</t>
        </is>
      </c>
      <c r="G203" t="n">
        <v>13.1</v>
      </c>
      <c r="H203" t="n">
        <v>0</v>
      </c>
      <c r="I203" t="n">
        <v>0</v>
      </c>
      <c r="J203" t="n">
        <v>0</v>
      </c>
      <c r="K203" t="n">
        <v>0</v>
      </c>
      <c r="L203" t="n">
        <v>0</v>
      </c>
      <c r="M203" t="n">
        <v>0</v>
      </c>
      <c r="N203" t="n">
        <v>0</v>
      </c>
      <c r="O203" t="n">
        <v>0</v>
      </c>
      <c r="P203" t="n">
        <v>0</v>
      </c>
      <c r="Q203" t="n">
        <v>0</v>
      </c>
      <c r="R203" s="2" t="inlineStr"/>
    </row>
    <row r="204" ht="15" customHeight="1">
      <c r="A204" t="inlineStr">
        <is>
          <t>A 47625-2019</t>
        </is>
      </c>
      <c r="B204" s="1" t="n">
        <v>43724</v>
      </c>
      <c r="C204" s="1" t="n">
        <v>45345</v>
      </c>
      <c r="D204" t="inlineStr">
        <is>
          <t>NORRBOTTENS LÄN</t>
        </is>
      </c>
      <c r="E204" t="inlineStr">
        <is>
          <t>GÄLLIVARE</t>
        </is>
      </c>
      <c r="G204" t="n">
        <v>6.4</v>
      </c>
      <c r="H204" t="n">
        <v>0</v>
      </c>
      <c r="I204" t="n">
        <v>0</v>
      </c>
      <c r="J204" t="n">
        <v>0</v>
      </c>
      <c r="K204" t="n">
        <v>0</v>
      </c>
      <c r="L204" t="n">
        <v>0</v>
      </c>
      <c r="M204" t="n">
        <v>0</v>
      </c>
      <c r="N204" t="n">
        <v>0</v>
      </c>
      <c r="O204" t="n">
        <v>0</v>
      </c>
      <c r="P204" t="n">
        <v>0</v>
      </c>
      <c r="Q204" t="n">
        <v>0</v>
      </c>
      <c r="R204" s="2" t="inlineStr"/>
    </row>
    <row r="205" ht="15" customHeight="1">
      <c r="A205" t="inlineStr">
        <is>
          <t>A 47635-2019</t>
        </is>
      </c>
      <c r="B205" s="1" t="n">
        <v>43724</v>
      </c>
      <c r="C205" s="1" t="n">
        <v>45345</v>
      </c>
      <c r="D205" t="inlineStr">
        <is>
          <t>NORRBOTTENS LÄN</t>
        </is>
      </c>
      <c r="E205" t="inlineStr">
        <is>
          <t>GÄLLIVARE</t>
        </is>
      </c>
      <c r="G205" t="n">
        <v>6.2</v>
      </c>
      <c r="H205" t="n">
        <v>0</v>
      </c>
      <c r="I205" t="n">
        <v>0</v>
      </c>
      <c r="J205" t="n">
        <v>0</v>
      </c>
      <c r="K205" t="n">
        <v>0</v>
      </c>
      <c r="L205" t="n">
        <v>0</v>
      </c>
      <c r="M205" t="n">
        <v>0</v>
      </c>
      <c r="N205" t="n">
        <v>0</v>
      </c>
      <c r="O205" t="n">
        <v>0</v>
      </c>
      <c r="P205" t="n">
        <v>0</v>
      </c>
      <c r="Q205" t="n">
        <v>0</v>
      </c>
      <c r="R205" s="2" t="inlineStr"/>
    </row>
    <row r="206" ht="15" customHeight="1">
      <c r="A206" t="inlineStr">
        <is>
          <t>A 48094-2019</t>
        </is>
      </c>
      <c r="B206" s="1" t="n">
        <v>43725</v>
      </c>
      <c r="C206" s="1" t="n">
        <v>45345</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50126-2019</t>
        </is>
      </c>
      <c r="B207" s="1" t="n">
        <v>43734</v>
      </c>
      <c r="C207" s="1" t="n">
        <v>45345</v>
      </c>
      <c r="D207" t="inlineStr">
        <is>
          <t>NORRBOTTENS LÄN</t>
        </is>
      </c>
      <c r="E207" t="inlineStr">
        <is>
          <t>GÄLLIVARE</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50123-2019</t>
        </is>
      </c>
      <c r="B208" s="1" t="n">
        <v>43734</v>
      </c>
      <c r="C208" s="1" t="n">
        <v>45345</v>
      </c>
      <c r="D208" t="inlineStr">
        <is>
          <t>NORRBOTTENS LÄN</t>
        </is>
      </c>
      <c r="E208" t="inlineStr">
        <is>
          <t>GÄLLIVARE</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52026-2019</t>
        </is>
      </c>
      <c r="B209" s="1" t="n">
        <v>43734</v>
      </c>
      <c r="C209" s="1" t="n">
        <v>45345</v>
      </c>
      <c r="D209" t="inlineStr">
        <is>
          <t>NORRBOTTENS LÄN</t>
        </is>
      </c>
      <c r="E209" t="inlineStr">
        <is>
          <t>GÄLLIVARE</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50120-2019</t>
        </is>
      </c>
      <c r="B210" s="1" t="n">
        <v>43734</v>
      </c>
      <c r="C210" s="1" t="n">
        <v>45345</v>
      </c>
      <c r="D210" t="inlineStr">
        <is>
          <t>NORRBOTTENS LÄN</t>
        </is>
      </c>
      <c r="E210" t="inlineStr">
        <is>
          <t>GÄLLIVARE</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52748-2019</t>
        </is>
      </c>
      <c r="B211" s="1" t="n">
        <v>43739</v>
      </c>
      <c r="C211" s="1" t="n">
        <v>45345</v>
      </c>
      <c r="D211" t="inlineStr">
        <is>
          <t>NORRBOTTENS LÄN</t>
        </is>
      </c>
      <c r="E211" t="inlineStr">
        <is>
          <t>GÄLLIVARE</t>
        </is>
      </c>
      <c r="G211" t="n">
        <v>6.2</v>
      </c>
      <c r="H211" t="n">
        <v>0</v>
      </c>
      <c r="I211" t="n">
        <v>0</v>
      </c>
      <c r="J211" t="n">
        <v>0</v>
      </c>
      <c r="K211" t="n">
        <v>0</v>
      </c>
      <c r="L211" t="n">
        <v>0</v>
      </c>
      <c r="M211" t="n">
        <v>0</v>
      </c>
      <c r="N211" t="n">
        <v>0</v>
      </c>
      <c r="O211" t="n">
        <v>0</v>
      </c>
      <c r="P211" t="n">
        <v>0</v>
      </c>
      <c r="Q211" t="n">
        <v>0</v>
      </c>
      <c r="R211" s="2" t="inlineStr"/>
    </row>
    <row r="212" ht="15" customHeight="1">
      <c r="A212" t="inlineStr">
        <is>
          <t>A 51514-2019</t>
        </is>
      </c>
      <c r="B212" s="1" t="n">
        <v>43740</v>
      </c>
      <c r="C212" s="1" t="n">
        <v>45345</v>
      </c>
      <c r="D212" t="inlineStr">
        <is>
          <t>NORRBOTTENS LÄN</t>
        </is>
      </c>
      <c r="E212" t="inlineStr">
        <is>
          <t>GÄLLIVARE</t>
        </is>
      </c>
      <c r="F212" t="inlineStr">
        <is>
          <t>Sveaskog</t>
        </is>
      </c>
      <c r="G212" t="n">
        <v>11.8</v>
      </c>
      <c r="H212" t="n">
        <v>0</v>
      </c>
      <c r="I212" t="n">
        <v>0</v>
      </c>
      <c r="J212" t="n">
        <v>0</v>
      </c>
      <c r="K212" t="n">
        <v>0</v>
      </c>
      <c r="L212" t="n">
        <v>0</v>
      </c>
      <c r="M212" t="n">
        <v>0</v>
      </c>
      <c r="N212" t="n">
        <v>0</v>
      </c>
      <c r="O212" t="n">
        <v>0</v>
      </c>
      <c r="P212" t="n">
        <v>0</v>
      </c>
      <c r="Q212" t="n">
        <v>0</v>
      </c>
      <c r="R212" s="2" t="inlineStr"/>
    </row>
    <row r="213" ht="15" customHeight="1">
      <c r="A213" t="inlineStr">
        <is>
          <t>A 53201-2019</t>
        </is>
      </c>
      <c r="B213" s="1" t="n">
        <v>43748</v>
      </c>
      <c r="C213" s="1" t="n">
        <v>45345</v>
      </c>
      <c r="D213" t="inlineStr">
        <is>
          <t>NORRBOTTENS LÄN</t>
        </is>
      </c>
      <c r="E213" t="inlineStr">
        <is>
          <t>GÄLLIVARE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53922-2019</t>
        </is>
      </c>
      <c r="B214" s="1" t="n">
        <v>43752</v>
      </c>
      <c r="C214" s="1" t="n">
        <v>45345</v>
      </c>
      <c r="D214" t="inlineStr">
        <is>
          <t>NORRBOTTENS LÄN</t>
        </is>
      </c>
      <c r="E214" t="inlineStr">
        <is>
          <t>GÄLLIVARE</t>
        </is>
      </c>
      <c r="F214" t="inlineStr">
        <is>
          <t>Sveaskog</t>
        </is>
      </c>
      <c r="G214" t="n">
        <v>15.9</v>
      </c>
      <c r="H214" t="n">
        <v>0</v>
      </c>
      <c r="I214" t="n">
        <v>0</v>
      </c>
      <c r="J214" t="n">
        <v>0</v>
      </c>
      <c r="K214" t="n">
        <v>0</v>
      </c>
      <c r="L214" t="n">
        <v>0</v>
      </c>
      <c r="M214" t="n">
        <v>0</v>
      </c>
      <c r="N214" t="n">
        <v>0</v>
      </c>
      <c r="O214" t="n">
        <v>0</v>
      </c>
      <c r="P214" t="n">
        <v>0</v>
      </c>
      <c r="Q214" t="n">
        <v>0</v>
      </c>
      <c r="R214" s="2" t="inlineStr"/>
    </row>
    <row r="215" ht="15" customHeight="1">
      <c r="A215" t="inlineStr">
        <is>
          <t>A 58826-2019</t>
        </is>
      </c>
      <c r="B215" s="1" t="n">
        <v>43752</v>
      </c>
      <c r="C215" s="1" t="n">
        <v>45345</v>
      </c>
      <c r="D215" t="inlineStr">
        <is>
          <t>NORRBOTTENS LÄN</t>
        </is>
      </c>
      <c r="E215" t="inlineStr">
        <is>
          <t>GÄLLIVARE</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54373-2019</t>
        </is>
      </c>
      <c r="B216" s="1" t="n">
        <v>43753</v>
      </c>
      <c r="C216" s="1" t="n">
        <v>45345</v>
      </c>
      <c r="D216" t="inlineStr">
        <is>
          <t>NORRBOTTENS LÄN</t>
        </is>
      </c>
      <c r="E216" t="inlineStr">
        <is>
          <t>GÄLLIVARE</t>
        </is>
      </c>
      <c r="F216" t="inlineStr">
        <is>
          <t>SCA</t>
        </is>
      </c>
      <c r="G216" t="n">
        <v>6.8</v>
      </c>
      <c r="H216" t="n">
        <v>0</v>
      </c>
      <c r="I216" t="n">
        <v>0</v>
      </c>
      <c r="J216" t="n">
        <v>0</v>
      </c>
      <c r="K216" t="n">
        <v>0</v>
      </c>
      <c r="L216" t="n">
        <v>0</v>
      </c>
      <c r="M216" t="n">
        <v>0</v>
      </c>
      <c r="N216" t="n">
        <v>0</v>
      </c>
      <c r="O216" t="n">
        <v>0</v>
      </c>
      <c r="P216" t="n">
        <v>0</v>
      </c>
      <c r="Q216" t="n">
        <v>0</v>
      </c>
      <c r="R216" s="2" t="inlineStr"/>
    </row>
    <row r="217" ht="15" customHeight="1">
      <c r="A217" t="inlineStr">
        <is>
          <t>A 54457-2019</t>
        </is>
      </c>
      <c r="B217" s="1" t="n">
        <v>43754</v>
      </c>
      <c r="C217" s="1" t="n">
        <v>45345</v>
      </c>
      <c r="D217" t="inlineStr">
        <is>
          <t>NORRBOTTENS LÄN</t>
        </is>
      </c>
      <c r="E217" t="inlineStr">
        <is>
          <t>GÄLLIVARE</t>
        </is>
      </c>
      <c r="F217" t="inlineStr">
        <is>
          <t>Sveaskog</t>
        </is>
      </c>
      <c r="G217" t="n">
        <v>39.5</v>
      </c>
      <c r="H217" t="n">
        <v>0</v>
      </c>
      <c r="I217" t="n">
        <v>0</v>
      </c>
      <c r="J217" t="n">
        <v>0</v>
      </c>
      <c r="K217" t="n">
        <v>0</v>
      </c>
      <c r="L217" t="n">
        <v>0</v>
      </c>
      <c r="M217" t="n">
        <v>0</v>
      </c>
      <c r="N217" t="n">
        <v>0</v>
      </c>
      <c r="O217" t="n">
        <v>0</v>
      </c>
      <c r="P217" t="n">
        <v>0</v>
      </c>
      <c r="Q217" t="n">
        <v>0</v>
      </c>
      <c r="R217" s="2" t="inlineStr"/>
    </row>
    <row r="218" ht="15" customHeight="1">
      <c r="A218" t="inlineStr">
        <is>
          <t>A 54476-2019</t>
        </is>
      </c>
      <c r="B218" s="1" t="n">
        <v>43754</v>
      </c>
      <c r="C218" s="1" t="n">
        <v>45345</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54525-2019</t>
        </is>
      </c>
      <c r="B219" s="1" t="n">
        <v>43754</v>
      </c>
      <c r="C219" s="1" t="n">
        <v>45345</v>
      </c>
      <c r="D219" t="inlineStr">
        <is>
          <t>NORRBOTTENS LÄN</t>
        </is>
      </c>
      <c r="E219" t="inlineStr">
        <is>
          <t>GÄLLIVARE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55027-2019</t>
        </is>
      </c>
      <c r="B220" s="1" t="n">
        <v>43755</v>
      </c>
      <c r="C220" s="1" t="n">
        <v>45345</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57322-2019</t>
        </is>
      </c>
      <c r="B221" s="1" t="n">
        <v>43759</v>
      </c>
      <c r="C221" s="1" t="n">
        <v>45345</v>
      </c>
      <c r="D221" t="inlineStr">
        <is>
          <t>NORRBOTTENS LÄN</t>
        </is>
      </c>
      <c r="E221" t="inlineStr">
        <is>
          <t>GÄLLIVARE</t>
        </is>
      </c>
      <c r="G221" t="n">
        <v>14.1</v>
      </c>
      <c r="H221" t="n">
        <v>0</v>
      </c>
      <c r="I221" t="n">
        <v>0</v>
      </c>
      <c r="J221" t="n">
        <v>0</v>
      </c>
      <c r="K221" t="n">
        <v>0</v>
      </c>
      <c r="L221" t="n">
        <v>0</v>
      </c>
      <c r="M221" t="n">
        <v>0</v>
      </c>
      <c r="N221" t="n">
        <v>0</v>
      </c>
      <c r="O221" t="n">
        <v>0</v>
      </c>
      <c r="P221" t="n">
        <v>0</v>
      </c>
      <c r="Q221" t="n">
        <v>0</v>
      </c>
      <c r="R221" s="2" t="inlineStr"/>
    </row>
    <row r="222" ht="15" customHeight="1">
      <c r="A222" t="inlineStr">
        <is>
          <t>A 57315-2019</t>
        </is>
      </c>
      <c r="B222" s="1" t="n">
        <v>43759</v>
      </c>
      <c r="C222" s="1" t="n">
        <v>45345</v>
      </c>
      <c r="D222" t="inlineStr">
        <is>
          <t>NORRBOTTENS LÄN</t>
        </is>
      </c>
      <c r="E222" t="inlineStr">
        <is>
          <t>GÄLLIVARE</t>
        </is>
      </c>
      <c r="G222" t="n">
        <v>15.2</v>
      </c>
      <c r="H222" t="n">
        <v>0</v>
      </c>
      <c r="I222" t="n">
        <v>0</v>
      </c>
      <c r="J222" t="n">
        <v>0</v>
      </c>
      <c r="K222" t="n">
        <v>0</v>
      </c>
      <c r="L222" t="n">
        <v>0</v>
      </c>
      <c r="M222" t="n">
        <v>0</v>
      </c>
      <c r="N222" t="n">
        <v>0</v>
      </c>
      <c r="O222" t="n">
        <v>0</v>
      </c>
      <c r="P222" t="n">
        <v>0</v>
      </c>
      <c r="Q222" t="n">
        <v>0</v>
      </c>
      <c r="R222" s="2" t="inlineStr"/>
    </row>
    <row r="223" ht="15" customHeight="1">
      <c r="A223" t="inlineStr">
        <is>
          <t>A 57069-2019</t>
        </is>
      </c>
      <c r="B223" s="1" t="n">
        <v>43766</v>
      </c>
      <c r="C223" s="1" t="n">
        <v>45345</v>
      </c>
      <c r="D223" t="inlineStr">
        <is>
          <t>NORRBOTTENS LÄN</t>
        </is>
      </c>
      <c r="E223" t="inlineStr">
        <is>
          <t>GÄLLIVARE</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57056-2019</t>
        </is>
      </c>
      <c r="B224" s="1" t="n">
        <v>43766</v>
      </c>
      <c r="C224" s="1" t="n">
        <v>45345</v>
      </c>
      <c r="D224" t="inlineStr">
        <is>
          <t>NORRBOTTENS LÄN</t>
        </is>
      </c>
      <c r="E224" t="inlineStr">
        <is>
          <t>GÄLLIVARE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57060-2019</t>
        </is>
      </c>
      <c r="B225" s="1" t="n">
        <v>43766</v>
      </c>
      <c r="C225" s="1" t="n">
        <v>45345</v>
      </c>
      <c r="D225" t="inlineStr">
        <is>
          <t>NORRBOTTENS LÄN</t>
        </is>
      </c>
      <c r="E225" t="inlineStr">
        <is>
          <t>GÄLLIVARE</t>
        </is>
      </c>
      <c r="F225" t="inlineStr">
        <is>
          <t>Sveaskog</t>
        </is>
      </c>
      <c r="G225" t="n">
        <v>17.9</v>
      </c>
      <c r="H225" t="n">
        <v>0</v>
      </c>
      <c r="I225" t="n">
        <v>0</v>
      </c>
      <c r="J225" t="n">
        <v>0</v>
      </c>
      <c r="K225" t="n">
        <v>0</v>
      </c>
      <c r="L225" t="n">
        <v>0</v>
      </c>
      <c r="M225" t="n">
        <v>0</v>
      </c>
      <c r="N225" t="n">
        <v>0</v>
      </c>
      <c r="O225" t="n">
        <v>0</v>
      </c>
      <c r="P225" t="n">
        <v>0</v>
      </c>
      <c r="Q225" t="n">
        <v>0</v>
      </c>
      <c r="R225" s="2" t="inlineStr"/>
    </row>
    <row r="226" ht="15" customHeight="1">
      <c r="A226" t="inlineStr">
        <is>
          <t>A 57081-2019</t>
        </is>
      </c>
      <c r="B226" s="1" t="n">
        <v>43766</v>
      </c>
      <c r="C226" s="1" t="n">
        <v>45345</v>
      </c>
      <c r="D226" t="inlineStr">
        <is>
          <t>NORRBOTTENS LÄN</t>
        </is>
      </c>
      <c r="E226" t="inlineStr">
        <is>
          <t>GÄLLIVARE</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57072-2019</t>
        </is>
      </c>
      <c r="B227" s="1" t="n">
        <v>43766</v>
      </c>
      <c r="C227" s="1" t="n">
        <v>45345</v>
      </c>
      <c r="D227" t="inlineStr">
        <is>
          <t>NORRBOTTENS LÄN</t>
        </is>
      </c>
      <c r="E227" t="inlineStr">
        <is>
          <t>GÄLLIVARE</t>
        </is>
      </c>
      <c r="F227" t="inlineStr">
        <is>
          <t>Sveaskog</t>
        </is>
      </c>
      <c r="G227" t="n">
        <v>15.7</v>
      </c>
      <c r="H227" t="n">
        <v>0</v>
      </c>
      <c r="I227" t="n">
        <v>0</v>
      </c>
      <c r="J227" t="n">
        <v>0</v>
      </c>
      <c r="K227" t="n">
        <v>0</v>
      </c>
      <c r="L227" t="n">
        <v>0</v>
      </c>
      <c r="M227" t="n">
        <v>0</v>
      </c>
      <c r="N227" t="n">
        <v>0</v>
      </c>
      <c r="O227" t="n">
        <v>0</v>
      </c>
      <c r="P227" t="n">
        <v>0</v>
      </c>
      <c r="Q227" t="n">
        <v>0</v>
      </c>
      <c r="R227" s="2" t="inlineStr"/>
    </row>
    <row r="228" ht="15" customHeight="1">
      <c r="A228" t="inlineStr">
        <is>
          <t>A 57087-2019</t>
        </is>
      </c>
      <c r="B228" s="1" t="n">
        <v>43766</v>
      </c>
      <c r="C228" s="1" t="n">
        <v>45345</v>
      </c>
      <c r="D228" t="inlineStr">
        <is>
          <t>NORRBOTTENS LÄN</t>
        </is>
      </c>
      <c r="E228" t="inlineStr">
        <is>
          <t>GÄLLIVARE</t>
        </is>
      </c>
      <c r="F228" t="inlineStr">
        <is>
          <t>Sveaskog</t>
        </is>
      </c>
      <c r="G228" t="n">
        <v>5.3</v>
      </c>
      <c r="H228" t="n">
        <v>0</v>
      </c>
      <c r="I228" t="n">
        <v>0</v>
      </c>
      <c r="J228" t="n">
        <v>0</v>
      </c>
      <c r="K228" t="n">
        <v>0</v>
      </c>
      <c r="L228" t="n">
        <v>0</v>
      </c>
      <c r="M228" t="n">
        <v>0</v>
      </c>
      <c r="N228" t="n">
        <v>0</v>
      </c>
      <c r="O228" t="n">
        <v>0</v>
      </c>
      <c r="P228" t="n">
        <v>0</v>
      </c>
      <c r="Q228" t="n">
        <v>0</v>
      </c>
      <c r="R228" s="2" t="inlineStr"/>
    </row>
    <row r="229" ht="15" customHeight="1">
      <c r="A229" t="inlineStr">
        <is>
          <t>A 58609-2019</t>
        </is>
      </c>
      <c r="B229" s="1" t="n">
        <v>43768</v>
      </c>
      <c r="C229" s="1" t="n">
        <v>45345</v>
      </c>
      <c r="D229" t="inlineStr">
        <is>
          <t>NORRBOTTENS LÄN</t>
        </is>
      </c>
      <c r="E229" t="inlineStr">
        <is>
          <t>GÄLLIVARE</t>
        </is>
      </c>
      <c r="G229" t="n">
        <v>7.8</v>
      </c>
      <c r="H229" t="n">
        <v>0</v>
      </c>
      <c r="I229" t="n">
        <v>0</v>
      </c>
      <c r="J229" t="n">
        <v>0</v>
      </c>
      <c r="K229" t="n">
        <v>0</v>
      </c>
      <c r="L229" t="n">
        <v>0</v>
      </c>
      <c r="M229" t="n">
        <v>0</v>
      </c>
      <c r="N229" t="n">
        <v>0</v>
      </c>
      <c r="O229" t="n">
        <v>0</v>
      </c>
      <c r="P229" t="n">
        <v>0</v>
      </c>
      <c r="Q229" t="n">
        <v>0</v>
      </c>
      <c r="R229" s="2" t="inlineStr"/>
    </row>
    <row r="230" ht="15" customHeight="1">
      <c r="A230" t="inlineStr">
        <is>
          <t>A 60542-2019</t>
        </is>
      </c>
      <c r="B230" s="1" t="n">
        <v>43776</v>
      </c>
      <c r="C230" s="1" t="n">
        <v>45345</v>
      </c>
      <c r="D230" t="inlineStr">
        <is>
          <t>NORRBOTTENS LÄN</t>
        </is>
      </c>
      <c r="E230" t="inlineStr">
        <is>
          <t>GÄLLIVARE</t>
        </is>
      </c>
      <c r="G230" t="n">
        <v>24.1</v>
      </c>
      <c r="H230" t="n">
        <v>0</v>
      </c>
      <c r="I230" t="n">
        <v>0</v>
      </c>
      <c r="J230" t="n">
        <v>0</v>
      </c>
      <c r="K230" t="n">
        <v>0</v>
      </c>
      <c r="L230" t="n">
        <v>0</v>
      </c>
      <c r="M230" t="n">
        <v>0</v>
      </c>
      <c r="N230" t="n">
        <v>0</v>
      </c>
      <c r="O230" t="n">
        <v>0</v>
      </c>
      <c r="P230" t="n">
        <v>0</v>
      </c>
      <c r="Q230" t="n">
        <v>0</v>
      </c>
      <c r="R230" s="2" t="inlineStr"/>
    </row>
    <row r="231" ht="15" customHeight="1">
      <c r="A231" t="inlineStr">
        <is>
          <t>A 61206-2019</t>
        </is>
      </c>
      <c r="B231" s="1" t="n">
        <v>43782</v>
      </c>
      <c r="C231" s="1" t="n">
        <v>45345</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61207-2019</t>
        </is>
      </c>
      <c r="B232" s="1" t="n">
        <v>43782</v>
      </c>
      <c r="C232" s="1" t="n">
        <v>45345</v>
      </c>
      <c r="D232" t="inlineStr">
        <is>
          <t>NORRBOTTENS LÄN</t>
        </is>
      </c>
      <c r="E232" t="inlineStr">
        <is>
          <t>GÄLLIVARE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63843-2019</t>
        </is>
      </c>
      <c r="B233" s="1" t="n">
        <v>43795</v>
      </c>
      <c r="C233" s="1" t="n">
        <v>45345</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65725-2019</t>
        </is>
      </c>
      <c r="B234" s="1" t="n">
        <v>43804</v>
      </c>
      <c r="C234" s="1" t="n">
        <v>45345</v>
      </c>
      <c r="D234" t="inlineStr">
        <is>
          <t>NORRBOTTENS LÄN</t>
        </is>
      </c>
      <c r="E234" t="inlineStr">
        <is>
          <t>GÄLLIVARE</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66409-2019</t>
        </is>
      </c>
      <c r="B235" s="1" t="n">
        <v>43809</v>
      </c>
      <c r="C235" s="1" t="n">
        <v>45345</v>
      </c>
      <c r="D235" t="inlineStr">
        <is>
          <t>NORRBOTTENS LÄN</t>
        </is>
      </c>
      <c r="E235" t="inlineStr">
        <is>
          <t>GÄLLIVARE</t>
        </is>
      </c>
      <c r="G235" t="n">
        <v>2.7</v>
      </c>
      <c r="H235" t="n">
        <v>0</v>
      </c>
      <c r="I235" t="n">
        <v>0</v>
      </c>
      <c r="J235" t="n">
        <v>0</v>
      </c>
      <c r="K235" t="n">
        <v>0</v>
      </c>
      <c r="L235" t="n">
        <v>0</v>
      </c>
      <c r="M235" t="n">
        <v>0</v>
      </c>
      <c r="N235" t="n">
        <v>0</v>
      </c>
      <c r="O235" t="n">
        <v>0</v>
      </c>
      <c r="P235" t="n">
        <v>0</v>
      </c>
      <c r="Q235" t="n">
        <v>0</v>
      </c>
      <c r="R235" s="2" t="inlineStr"/>
    </row>
    <row r="236" ht="15" customHeight="1">
      <c r="A236" t="inlineStr">
        <is>
          <t>A 68502-2019</t>
        </is>
      </c>
      <c r="B236" s="1" t="n">
        <v>43811</v>
      </c>
      <c r="C236" s="1" t="n">
        <v>45345</v>
      </c>
      <c r="D236" t="inlineStr">
        <is>
          <t>NORRBOTTENS LÄN</t>
        </is>
      </c>
      <c r="E236" t="inlineStr">
        <is>
          <t>GÄLLIVARE</t>
        </is>
      </c>
      <c r="F236" t="inlineStr">
        <is>
          <t>Sveaskog</t>
        </is>
      </c>
      <c r="G236" t="n">
        <v>101</v>
      </c>
      <c r="H236" t="n">
        <v>0</v>
      </c>
      <c r="I236" t="n">
        <v>0</v>
      </c>
      <c r="J236" t="n">
        <v>0</v>
      </c>
      <c r="K236" t="n">
        <v>0</v>
      </c>
      <c r="L236" t="n">
        <v>0</v>
      </c>
      <c r="M236" t="n">
        <v>0</v>
      </c>
      <c r="N236" t="n">
        <v>0</v>
      </c>
      <c r="O236" t="n">
        <v>0</v>
      </c>
      <c r="P236" t="n">
        <v>0</v>
      </c>
      <c r="Q236" t="n">
        <v>0</v>
      </c>
      <c r="R236" s="2" t="inlineStr"/>
    </row>
    <row r="237" ht="15" customHeight="1">
      <c r="A237" t="inlineStr">
        <is>
          <t>A 68576-2019</t>
        </is>
      </c>
      <c r="B237" s="1" t="n">
        <v>43812</v>
      </c>
      <c r="C237" s="1" t="n">
        <v>45345</v>
      </c>
      <c r="D237" t="inlineStr">
        <is>
          <t>NORRBOTTENS LÄN</t>
        </is>
      </c>
      <c r="E237" t="inlineStr">
        <is>
          <t>GÄLLIVARE</t>
        </is>
      </c>
      <c r="G237" t="n">
        <v>1.4</v>
      </c>
      <c r="H237" t="n">
        <v>0</v>
      </c>
      <c r="I237" t="n">
        <v>0</v>
      </c>
      <c r="J237" t="n">
        <v>0</v>
      </c>
      <c r="K237" t="n">
        <v>0</v>
      </c>
      <c r="L237" t="n">
        <v>0</v>
      </c>
      <c r="M237" t="n">
        <v>0</v>
      </c>
      <c r="N237" t="n">
        <v>0</v>
      </c>
      <c r="O237" t="n">
        <v>0</v>
      </c>
      <c r="P237" t="n">
        <v>0</v>
      </c>
      <c r="Q237" t="n">
        <v>0</v>
      </c>
      <c r="R237" s="2" t="inlineStr"/>
    </row>
    <row r="238" ht="15" customHeight="1">
      <c r="A238" t="inlineStr">
        <is>
          <t>A 68297-2019</t>
        </is>
      </c>
      <c r="B238" s="1" t="n">
        <v>43817</v>
      </c>
      <c r="C238" s="1" t="n">
        <v>45345</v>
      </c>
      <c r="D238" t="inlineStr">
        <is>
          <t>NORRBOTTENS LÄN</t>
        </is>
      </c>
      <c r="E238" t="inlineStr">
        <is>
          <t>GÄLLIVARE</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68569-2019</t>
        </is>
      </c>
      <c r="B239" s="1" t="n">
        <v>43818</v>
      </c>
      <c r="C239" s="1" t="n">
        <v>45345</v>
      </c>
      <c r="D239" t="inlineStr">
        <is>
          <t>NORRBOTTENS LÄN</t>
        </is>
      </c>
      <c r="E239" t="inlineStr">
        <is>
          <t>GÄLLIVARE</t>
        </is>
      </c>
      <c r="F239" t="inlineStr">
        <is>
          <t>Sveaskog</t>
        </is>
      </c>
      <c r="G239" t="n">
        <v>41.5</v>
      </c>
      <c r="H239" t="n">
        <v>0</v>
      </c>
      <c r="I239" t="n">
        <v>0</v>
      </c>
      <c r="J239" t="n">
        <v>0</v>
      </c>
      <c r="K239" t="n">
        <v>0</v>
      </c>
      <c r="L239" t="n">
        <v>0</v>
      </c>
      <c r="M239" t="n">
        <v>0</v>
      </c>
      <c r="N239" t="n">
        <v>0</v>
      </c>
      <c r="O239" t="n">
        <v>0</v>
      </c>
      <c r="P239" t="n">
        <v>0</v>
      </c>
      <c r="Q239" t="n">
        <v>0</v>
      </c>
      <c r="R239" s="2" t="inlineStr"/>
    </row>
    <row r="240" ht="15" customHeight="1">
      <c r="A240" t="inlineStr">
        <is>
          <t>A 2837-2020</t>
        </is>
      </c>
      <c r="B240" s="1" t="n">
        <v>43843</v>
      </c>
      <c r="C240" s="1" t="n">
        <v>45345</v>
      </c>
      <c r="D240" t="inlineStr">
        <is>
          <t>NORRBOTTENS LÄN</t>
        </is>
      </c>
      <c r="E240" t="inlineStr">
        <is>
          <t>GÄLLIVARE</t>
        </is>
      </c>
      <c r="F240" t="inlineStr">
        <is>
          <t>Sveaskog</t>
        </is>
      </c>
      <c r="G240" t="n">
        <v>21.7</v>
      </c>
      <c r="H240" t="n">
        <v>0</v>
      </c>
      <c r="I240" t="n">
        <v>0</v>
      </c>
      <c r="J240" t="n">
        <v>0</v>
      </c>
      <c r="K240" t="n">
        <v>0</v>
      </c>
      <c r="L240" t="n">
        <v>0</v>
      </c>
      <c r="M240" t="n">
        <v>0</v>
      </c>
      <c r="N240" t="n">
        <v>0</v>
      </c>
      <c r="O240" t="n">
        <v>0</v>
      </c>
      <c r="P240" t="n">
        <v>0</v>
      </c>
      <c r="Q240" t="n">
        <v>0</v>
      </c>
      <c r="R240" s="2" t="inlineStr"/>
    </row>
    <row r="241" ht="15" customHeight="1">
      <c r="A241" t="inlineStr">
        <is>
          <t>A 2761-2020</t>
        </is>
      </c>
      <c r="B241" s="1" t="n">
        <v>43843</v>
      </c>
      <c r="C241" s="1" t="n">
        <v>45345</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2804-2020</t>
        </is>
      </c>
      <c r="B242" s="1" t="n">
        <v>43843</v>
      </c>
      <c r="C242" s="1" t="n">
        <v>45345</v>
      </c>
      <c r="D242" t="inlineStr">
        <is>
          <t>NORRBOTTENS LÄN</t>
        </is>
      </c>
      <c r="E242" t="inlineStr">
        <is>
          <t>GÄLLIVARE</t>
        </is>
      </c>
      <c r="F242" t="inlineStr">
        <is>
          <t>Sveaskog</t>
        </is>
      </c>
      <c r="G242" t="n">
        <v>58.1</v>
      </c>
      <c r="H242" t="n">
        <v>0</v>
      </c>
      <c r="I242" t="n">
        <v>0</v>
      </c>
      <c r="J242" t="n">
        <v>0</v>
      </c>
      <c r="K242" t="n">
        <v>0</v>
      </c>
      <c r="L242" t="n">
        <v>0</v>
      </c>
      <c r="M242" t="n">
        <v>0</v>
      </c>
      <c r="N242" t="n">
        <v>0</v>
      </c>
      <c r="O242" t="n">
        <v>0</v>
      </c>
      <c r="P242" t="n">
        <v>0</v>
      </c>
      <c r="Q242" t="n">
        <v>0</v>
      </c>
      <c r="R242" s="2" t="inlineStr"/>
    </row>
    <row r="243" ht="15" customHeight="1">
      <c r="A243" t="inlineStr">
        <is>
          <t>A 2768-2020</t>
        </is>
      </c>
      <c r="B243" s="1" t="n">
        <v>43843</v>
      </c>
      <c r="C243" s="1" t="n">
        <v>45345</v>
      </c>
      <c r="D243" t="inlineStr">
        <is>
          <t>NORRBOTTENS LÄN</t>
        </is>
      </c>
      <c r="E243" t="inlineStr">
        <is>
          <t>GÄLLIVARE</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2816-2020</t>
        </is>
      </c>
      <c r="B244" s="1" t="n">
        <v>43843</v>
      </c>
      <c r="C244" s="1" t="n">
        <v>45345</v>
      </c>
      <c r="D244" t="inlineStr">
        <is>
          <t>NORRBOTTENS LÄN</t>
        </is>
      </c>
      <c r="E244" t="inlineStr">
        <is>
          <t>GÄLLIVARE</t>
        </is>
      </c>
      <c r="F244" t="inlineStr">
        <is>
          <t>Sveaskog</t>
        </is>
      </c>
      <c r="G244" t="n">
        <v>36</v>
      </c>
      <c r="H244" t="n">
        <v>0</v>
      </c>
      <c r="I244" t="n">
        <v>0</v>
      </c>
      <c r="J244" t="n">
        <v>0</v>
      </c>
      <c r="K244" t="n">
        <v>0</v>
      </c>
      <c r="L244" t="n">
        <v>0</v>
      </c>
      <c r="M244" t="n">
        <v>0</v>
      </c>
      <c r="N244" t="n">
        <v>0</v>
      </c>
      <c r="O244" t="n">
        <v>0</v>
      </c>
      <c r="P244" t="n">
        <v>0</v>
      </c>
      <c r="Q244" t="n">
        <v>0</v>
      </c>
      <c r="R244" s="2" t="inlineStr"/>
    </row>
    <row r="245" ht="15" customHeight="1">
      <c r="A245" t="inlineStr">
        <is>
          <t>A 1723-2020</t>
        </is>
      </c>
      <c r="B245" s="1" t="n">
        <v>43844</v>
      </c>
      <c r="C245" s="1" t="n">
        <v>45345</v>
      </c>
      <c r="D245" t="inlineStr">
        <is>
          <t>NORRBOTTENS LÄN</t>
        </is>
      </c>
      <c r="E245" t="inlineStr">
        <is>
          <t>GÄLLIVARE</t>
        </is>
      </c>
      <c r="F245" t="inlineStr">
        <is>
          <t>Sveaskog</t>
        </is>
      </c>
      <c r="G245" t="n">
        <v>16.9</v>
      </c>
      <c r="H245" t="n">
        <v>0</v>
      </c>
      <c r="I245" t="n">
        <v>0</v>
      </c>
      <c r="J245" t="n">
        <v>0</v>
      </c>
      <c r="K245" t="n">
        <v>0</v>
      </c>
      <c r="L245" t="n">
        <v>0</v>
      </c>
      <c r="M245" t="n">
        <v>0</v>
      </c>
      <c r="N245" t="n">
        <v>0</v>
      </c>
      <c r="O245" t="n">
        <v>0</v>
      </c>
      <c r="P245" t="n">
        <v>0</v>
      </c>
      <c r="Q245" t="n">
        <v>0</v>
      </c>
      <c r="R245" s="2" t="inlineStr"/>
    </row>
    <row r="246" ht="15" customHeight="1">
      <c r="A246" t="inlineStr">
        <is>
          <t>A 8575-2020</t>
        </is>
      </c>
      <c r="B246" s="1" t="n">
        <v>43875</v>
      </c>
      <c r="C246" s="1" t="n">
        <v>45345</v>
      </c>
      <c r="D246" t="inlineStr">
        <is>
          <t>NORRBOTTENS LÄN</t>
        </is>
      </c>
      <c r="E246" t="inlineStr">
        <is>
          <t>GÄLLIVARE</t>
        </is>
      </c>
      <c r="G246" t="n">
        <v>1.9</v>
      </c>
      <c r="H246" t="n">
        <v>0</v>
      </c>
      <c r="I246" t="n">
        <v>0</v>
      </c>
      <c r="J246" t="n">
        <v>0</v>
      </c>
      <c r="K246" t="n">
        <v>0</v>
      </c>
      <c r="L246" t="n">
        <v>0</v>
      </c>
      <c r="M246" t="n">
        <v>0</v>
      </c>
      <c r="N246" t="n">
        <v>0</v>
      </c>
      <c r="O246" t="n">
        <v>0</v>
      </c>
      <c r="P246" t="n">
        <v>0</v>
      </c>
      <c r="Q246" t="n">
        <v>0</v>
      </c>
      <c r="R246" s="2" t="inlineStr"/>
    </row>
    <row r="247" ht="15" customHeight="1">
      <c r="A247" t="inlineStr">
        <is>
          <t>A 8572-2020</t>
        </is>
      </c>
      <c r="B247" s="1" t="n">
        <v>43875</v>
      </c>
      <c r="C247" s="1" t="n">
        <v>45345</v>
      </c>
      <c r="D247" t="inlineStr">
        <is>
          <t>NORRBOTTENS LÄN</t>
        </is>
      </c>
      <c r="E247" t="inlineStr">
        <is>
          <t>GÄLLIVARE</t>
        </is>
      </c>
      <c r="G247" t="n">
        <v>7.5</v>
      </c>
      <c r="H247" t="n">
        <v>0</v>
      </c>
      <c r="I247" t="n">
        <v>0</v>
      </c>
      <c r="J247" t="n">
        <v>0</v>
      </c>
      <c r="K247" t="n">
        <v>0</v>
      </c>
      <c r="L247" t="n">
        <v>0</v>
      </c>
      <c r="M247" t="n">
        <v>0</v>
      </c>
      <c r="N247" t="n">
        <v>0</v>
      </c>
      <c r="O247" t="n">
        <v>0</v>
      </c>
      <c r="P247" t="n">
        <v>0</v>
      </c>
      <c r="Q247" t="n">
        <v>0</v>
      </c>
      <c r="R247" s="2" t="inlineStr"/>
    </row>
    <row r="248" ht="15" customHeight="1">
      <c r="A248" t="inlineStr">
        <is>
          <t>A 11758-2020</t>
        </is>
      </c>
      <c r="B248" s="1" t="n">
        <v>43887</v>
      </c>
      <c r="C248" s="1" t="n">
        <v>45345</v>
      </c>
      <c r="D248" t="inlineStr">
        <is>
          <t>NORRBOTTENS LÄN</t>
        </is>
      </c>
      <c r="E248" t="inlineStr">
        <is>
          <t>GÄLLIVARE</t>
        </is>
      </c>
      <c r="F248" t="inlineStr">
        <is>
          <t>Övriga statliga verk och myndigheter</t>
        </is>
      </c>
      <c r="G248" t="n">
        <v>5</v>
      </c>
      <c r="H248" t="n">
        <v>0</v>
      </c>
      <c r="I248" t="n">
        <v>0</v>
      </c>
      <c r="J248" t="n">
        <v>0</v>
      </c>
      <c r="K248" t="n">
        <v>0</v>
      </c>
      <c r="L248" t="n">
        <v>0</v>
      </c>
      <c r="M248" t="n">
        <v>0</v>
      </c>
      <c r="N248" t="n">
        <v>0</v>
      </c>
      <c r="O248" t="n">
        <v>0</v>
      </c>
      <c r="P248" t="n">
        <v>0</v>
      </c>
      <c r="Q248" t="n">
        <v>0</v>
      </c>
      <c r="R248" s="2" t="inlineStr"/>
    </row>
    <row r="249" ht="15" customHeight="1">
      <c r="A249" t="inlineStr">
        <is>
          <t>A 11136-2020</t>
        </is>
      </c>
      <c r="B249" s="1" t="n">
        <v>43890</v>
      </c>
      <c r="C249" s="1" t="n">
        <v>45345</v>
      </c>
      <c r="D249" t="inlineStr">
        <is>
          <t>NORRBOTTENS LÄN</t>
        </is>
      </c>
      <c r="E249" t="inlineStr">
        <is>
          <t>GÄLLIVARE</t>
        </is>
      </c>
      <c r="G249" t="n">
        <v>13.4</v>
      </c>
      <c r="H249" t="n">
        <v>0</v>
      </c>
      <c r="I249" t="n">
        <v>0</v>
      </c>
      <c r="J249" t="n">
        <v>0</v>
      </c>
      <c r="K249" t="n">
        <v>0</v>
      </c>
      <c r="L249" t="n">
        <v>0</v>
      </c>
      <c r="M249" t="n">
        <v>0</v>
      </c>
      <c r="N249" t="n">
        <v>0</v>
      </c>
      <c r="O249" t="n">
        <v>0</v>
      </c>
      <c r="P249" t="n">
        <v>0</v>
      </c>
      <c r="Q249" t="n">
        <v>0</v>
      </c>
      <c r="R249" s="2" t="inlineStr"/>
    </row>
    <row r="250" ht="15" customHeight="1">
      <c r="A250" t="inlineStr">
        <is>
          <t>A 16621-2020</t>
        </is>
      </c>
      <c r="B250" s="1" t="n">
        <v>43910</v>
      </c>
      <c r="C250" s="1" t="n">
        <v>45345</v>
      </c>
      <c r="D250" t="inlineStr">
        <is>
          <t>NORRBOTTENS LÄN</t>
        </is>
      </c>
      <c r="E250" t="inlineStr">
        <is>
          <t>GÄLLIVARE</t>
        </is>
      </c>
      <c r="G250" t="n">
        <v>13.2</v>
      </c>
      <c r="H250" t="n">
        <v>0</v>
      </c>
      <c r="I250" t="n">
        <v>0</v>
      </c>
      <c r="J250" t="n">
        <v>0</v>
      </c>
      <c r="K250" t="n">
        <v>0</v>
      </c>
      <c r="L250" t="n">
        <v>0</v>
      </c>
      <c r="M250" t="n">
        <v>0</v>
      </c>
      <c r="N250" t="n">
        <v>0</v>
      </c>
      <c r="O250" t="n">
        <v>0</v>
      </c>
      <c r="P250" t="n">
        <v>0</v>
      </c>
      <c r="Q250" t="n">
        <v>0</v>
      </c>
      <c r="R250" s="2" t="inlineStr"/>
    </row>
    <row r="251" ht="15" customHeight="1">
      <c r="A251" t="inlineStr">
        <is>
          <t>A 15644-2020</t>
        </is>
      </c>
      <c r="B251" s="1" t="n">
        <v>43914</v>
      </c>
      <c r="C251" s="1" t="n">
        <v>45345</v>
      </c>
      <c r="D251" t="inlineStr">
        <is>
          <t>NORRBOTTENS LÄN</t>
        </is>
      </c>
      <c r="E251" t="inlineStr">
        <is>
          <t>GÄLLIVARE</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15636-2020</t>
        </is>
      </c>
      <c r="B252" s="1" t="n">
        <v>43914</v>
      </c>
      <c r="C252" s="1" t="n">
        <v>45345</v>
      </c>
      <c r="D252" t="inlineStr">
        <is>
          <t>NORRBOTTENS LÄN</t>
        </is>
      </c>
      <c r="E252" t="inlineStr">
        <is>
          <t>GÄLLIVARE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15642-2020</t>
        </is>
      </c>
      <c r="B253" s="1" t="n">
        <v>43914</v>
      </c>
      <c r="C253" s="1" t="n">
        <v>45345</v>
      </c>
      <c r="D253" t="inlineStr">
        <is>
          <t>NORRBOTTENS LÄN</t>
        </is>
      </c>
      <c r="E253" t="inlineStr">
        <is>
          <t>GÄLLIVARE</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15648-2020</t>
        </is>
      </c>
      <c r="B254" s="1" t="n">
        <v>43914</v>
      </c>
      <c r="C254" s="1" t="n">
        <v>45345</v>
      </c>
      <c r="D254" t="inlineStr">
        <is>
          <t>NORRBOTTENS LÄN</t>
        </is>
      </c>
      <c r="E254" t="inlineStr">
        <is>
          <t>GÄLLIVARE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15637-2020</t>
        </is>
      </c>
      <c r="B255" s="1" t="n">
        <v>43914</v>
      </c>
      <c r="C255" s="1" t="n">
        <v>45345</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15643-2020</t>
        </is>
      </c>
      <c r="B256" s="1" t="n">
        <v>43914</v>
      </c>
      <c r="C256" s="1" t="n">
        <v>45345</v>
      </c>
      <c r="D256" t="inlineStr">
        <is>
          <t>NORRBOTTENS LÄN</t>
        </is>
      </c>
      <c r="E256" t="inlineStr">
        <is>
          <t>GÄLLIVARE</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16162-2020</t>
        </is>
      </c>
      <c r="B257" s="1" t="n">
        <v>43916</v>
      </c>
      <c r="C257" s="1" t="n">
        <v>45345</v>
      </c>
      <c r="D257" t="inlineStr">
        <is>
          <t>NORRBOTTENS LÄN</t>
        </is>
      </c>
      <c r="E257" t="inlineStr">
        <is>
          <t>GÄLLIVARE</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16161-2020</t>
        </is>
      </c>
      <c r="B258" s="1" t="n">
        <v>43916</v>
      </c>
      <c r="C258" s="1" t="n">
        <v>45345</v>
      </c>
      <c r="D258" t="inlineStr">
        <is>
          <t>NORRBOTTENS LÄN</t>
        </is>
      </c>
      <c r="E258" t="inlineStr">
        <is>
          <t>GÄLLIVARE</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16164-2020</t>
        </is>
      </c>
      <c r="B259" s="1" t="n">
        <v>43916</v>
      </c>
      <c r="C259" s="1" t="n">
        <v>45345</v>
      </c>
      <c r="D259" t="inlineStr">
        <is>
          <t>NORRBOTTENS LÄN</t>
        </is>
      </c>
      <c r="E259" t="inlineStr">
        <is>
          <t>GÄLLIVARE</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16163-2020</t>
        </is>
      </c>
      <c r="B260" s="1" t="n">
        <v>43916</v>
      </c>
      <c r="C260" s="1" t="n">
        <v>45345</v>
      </c>
      <c r="D260" t="inlineStr">
        <is>
          <t>NORRBOTTENS LÄN</t>
        </is>
      </c>
      <c r="E260" t="inlineStr">
        <is>
          <t>GÄLLIVARE</t>
        </is>
      </c>
      <c r="F260" t="inlineStr">
        <is>
          <t>SCA</t>
        </is>
      </c>
      <c r="G260" t="n">
        <v>7.4</v>
      </c>
      <c r="H260" t="n">
        <v>0</v>
      </c>
      <c r="I260" t="n">
        <v>0</v>
      </c>
      <c r="J260" t="n">
        <v>0</v>
      </c>
      <c r="K260" t="n">
        <v>0</v>
      </c>
      <c r="L260" t="n">
        <v>0</v>
      </c>
      <c r="M260" t="n">
        <v>0</v>
      </c>
      <c r="N260" t="n">
        <v>0</v>
      </c>
      <c r="O260" t="n">
        <v>0</v>
      </c>
      <c r="P260" t="n">
        <v>0</v>
      </c>
      <c r="Q260" t="n">
        <v>0</v>
      </c>
      <c r="R260" s="2" t="inlineStr"/>
    </row>
    <row r="261" ht="15" customHeight="1">
      <c r="A261" t="inlineStr">
        <is>
          <t>A 16424-2020</t>
        </is>
      </c>
      <c r="B261" s="1" t="n">
        <v>43919</v>
      </c>
      <c r="C261" s="1" t="n">
        <v>45345</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18213-2020</t>
        </is>
      </c>
      <c r="B262" s="1" t="n">
        <v>43927</v>
      </c>
      <c r="C262" s="1" t="n">
        <v>45345</v>
      </c>
      <c r="D262" t="inlineStr">
        <is>
          <t>NORRBOTTENS LÄN</t>
        </is>
      </c>
      <c r="E262" t="inlineStr">
        <is>
          <t>GÄLLIVARE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18203-2020</t>
        </is>
      </c>
      <c r="B263" s="1" t="n">
        <v>43927</v>
      </c>
      <c r="C263" s="1" t="n">
        <v>45345</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18214-2020</t>
        </is>
      </c>
      <c r="B264" s="1" t="n">
        <v>43927</v>
      </c>
      <c r="C264" s="1" t="n">
        <v>45345</v>
      </c>
      <c r="D264" t="inlineStr">
        <is>
          <t>NORRBOTTENS LÄN</t>
        </is>
      </c>
      <c r="E264" t="inlineStr">
        <is>
          <t>GÄLLIVARE</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22779-2020</t>
        </is>
      </c>
      <c r="B265" s="1" t="n">
        <v>43958</v>
      </c>
      <c r="C265" s="1" t="n">
        <v>45345</v>
      </c>
      <c r="D265" t="inlineStr">
        <is>
          <t>NORRBOTTENS LÄN</t>
        </is>
      </c>
      <c r="E265" t="inlineStr">
        <is>
          <t>GÄLLIVARE</t>
        </is>
      </c>
      <c r="G265" t="n">
        <v>0.2</v>
      </c>
      <c r="H265" t="n">
        <v>0</v>
      </c>
      <c r="I265" t="n">
        <v>0</v>
      </c>
      <c r="J265" t="n">
        <v>0</v>
      </c>
      <c r="K265" t="n">
        <v>0</v>
      </c>
      <c r="L265" t="n">
        <v>0</v>
      </c>
      <c r="M265" t="n">
        <v>0</v>
      </c>
      <c r="N265" t="n">
        <v>0</v>
      </c>
      <c r="O265" t="n">
        <v>0</v>
      </c>
      <c r="P265" t="n">
        <v>0</v>
      </c>
      <c r="Q265" t="n">
        <v>0</v>
      </c>
      <c r="R265" s="2" t="inlineStr"/>
    </row>
    <row r="266" ht="15" customHeight="1">
      <c r="A266" t="inlineStr">
        <is>
          <t>A 22780-2020</t>
        </is>
      </c>
      <c r="B266" s="1" t="n">
        <v>43958</v>
      </c>
      <c r="C266" s="1" t="n">
        <v>45345</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22786-2020</t>
        </is>
      </c>
      <c r="B267" s="1" t="n">
        <v>43958</v>
      </c>
      <c r="C267" s="1" t="n">
        <v>45345</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22774-2020</t>
        </is>
      </c>
      <c r="B268" s="1" t="n">
        <v>43958</v>
      </c>
      <c r="C268" s="1" t="n">
        <v>45345</v>
      </c>
      <c r="D268" t="inlineStr">
        <is>
          <t>NORRBOTTENS LÄN</t>
        </is>
      </c>
      <c r="E268" t="inlineStr">
        <is>
          <t>GÄLLIVARE</t>
        </is>
      </c>
      <c r="G268" t="n">
        <v>0.1</v>
      </c>
      <c r="H268" t="n">
        <v>0</v>
      </c>
      <c r="I268" t="n">
        <v>0</v>
      </c>
      <c r="J268" t="n">
        <v>0</v>
      </c>
      <c r="K268" t="n">
        <v>0</v>
      </c>
      <c r="L268" t="n">
        <v>0</v>
      </c>
      <c r="M268" t="n">
        <v>0</v>
      </c>
      <c r="N268" t="n">
        <v>0</v>
      </c>
      <c r="O268" t="n">
        <v>0</v>
      </c>
      <c r="P268" t="n">
        <v>0</v>
      </c>
      <c r="Q268" t="n">
        <v>0</v>
      </c>
      <c r="R268" s="2" t="inlineStr"/>
    </row>
    <row r="269" ht="15" customHeight="1">
      <c r="A269" t="inlineStr">
        <is>
          <t>A 22784-2020</t>
        </is>
      </c>
      <c r="B269" s="1" t="n">
        <v>43958</v>
      </c>
      <c r="C269" s="1" t="n">
        <v>45345</v>
      </c>
      <c r="D269" t="inlineStr">
        <is>
          <t>NORRBOTTENS LÄN</t>
        </is>
      </c>
      <c r="E269" t="inlineStr">
        <is>
          <t>GÄLLIVARE</t>
        </is>
      </c>
      <c r="G269" t="n">
        <v>0.4</v>
      </c>
      <c r="H269" t="n">
        <v>0</v>
      </c>
      <c r="I269" t="n">
        <v>0</v>
      </c>
      <c r="J269" t="n">
        <v>0</v>
      </c>
      <c r="K269" t="n">
        <v>0</v>
      </c>
      <c r="L269" t="n">
        <v>0</v>
      </c>
      <c r="M269" t="n">
        <v>0</v>
      </c>
      <c r="N269" t="n">
        <v>0</v>
      </c>
      <c r="O269" t="n">
        <v>0</v>
      </c>
      <c r="P269" t="n">
        <v>0</v>
      </c>
      <c r="Q269" t="n">
        <v>0</v>
      </c>
      <c r="R269" s="2" t="inlineStr"/>
    </row>
    <row r="270" ht="15" customHeight="1">
      <c r="A270" t="inlineStr">
        <is>
          <t>A 22782-2020</t>
        </is>
      </c>
      <c r="B270" s="1" t="n">
        <v>43958</v>
      </c>
      <c r="C270" s="1" t="n">
        <v>45345</v>
      </c>
      <c r="D270" t="inlineStr">
        <is>
          <t>NORRBOTTENS LÄN</t>
        </is>
      </c>
      <c r="E270" t="inlineStr">
        <is>
          <t>GÄLLIVARE</t>
        </is>
      </c>
      <c r="G270" t="n">
        <v>6.9</v>
      </c>
      <c r="H270" t="n">
        <v>0</v>
      </c>
      <c r="I270" t="n">
        <v>0</v>
      </c>
      <c r="J270" t="n">
        <v>0</v>
      </c>
      <c r="K270" t="n">
        <v>0</v>
      </c>
      <c r="L270" t="n">
        <v>0</v>
      </c>
      <c r="M270" t="n">
        <v>0</v>
      </c>
      <c r="N270" t="n">
        <v>0</v>
      </c>
      <c r="O270" t="n">
        <v>0</v>
      </c>
      <c r="P270" t="n">
        <v>0</v>
      </c>
      <c r="Q270" t="n">
        <v>0</v>
      </c>
      <c r="R270" s="2" t="inlineStr"/>
    </row>
    <row r="271" ht="15" customHeight="1">
      <c r="A271" t="inlineStr">
        <is>
          <t>A 22177-2020</t>
        </is>
      </c>
      <c r="B271" s="1" t="n">
        <v>43959</v>
      </c>
      <c r="C271" s="1" t="n">
        <v>45345</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24241-2020</t>
        </is>
      </c>
      <c r="B272" s="1" t="n">
        <v>43976</v>
      </c>
      <c r="C272" s="1" t="n">
        <v>45345</v>
      </c>
      <c r="D272" t="inlineStr">
        <is>
          <t>NORRBOTTENS LÄN</t>
        </is>
      </c>
      <c r="E272" t="inlineStr">
        <is>
          <t>GÄLLIVARE</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26850-2020</t>
        </is>
      </c>
      <c r="B273" s="1" t="n">
        <v>43987</v>
      </c>
      <c r="C273" s="1" t="n">
        <v>45345</v>
      </c>
      <c r="D273" t="inlineStr">
        <is>
          <t>NORRBOTTENS LÄN</t>
        </is>
      </c>
      <c r="E273" t="inlineStr">
        <is>
          <t>GÄLLIVARE</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29589-2020</t>
        </is>
      </c>
      <c r="B274" s="1" t="n">
        <v>44004</v>
      </c>
      <c r="C274" s="1" t="n">
        <v>45345</v>
      </c>
      <c r="D274" t="inlineStr">
        <is>
          <t>NORRBOTTENS LÄN</t>
        </is>
      </c>
      <c r="E274" t="inlineStr">
        <is>
          <t>GÄLLIVARE</t>
        </is>
      </c>
      <c r="G274" t="n">
        <v>3.7</v>
      </c>
      <c r="H274" t="n">
        <v>0</v>
      </c>
      <c r="I274" t="n">
        <v>0</v>
      </c>
      <c r="J274" t="n">
        <v>0</v>
      </c>
      <c r="K274" t="n">
        <v>0</v>
      </c>
      <c r="L274" t="n">
        <v>0</v>
      </c>
      <c r="M274" t="n">
        <v>0</v>
      </c>
      <c r="N274" t="n">
        <v>0</v>
      </c>
      <c r="O274" t="n">
        <v>0</v>
      </c>
      <c r="P274" t="n">
        <v>0</v>
      </c>
      <c r="Q274" t="n">
        <v>0</v>
      </c>
      <c r="R274" s="2" t="inlineStr"/>
    </row>
    <row r="275" ht="15" customHeight="1">
      <c r="A275" t="inlineStr">
        <is>
          <t>A 29981-2020</t>
        </is>
      </c>
      <c r="B275" s="1" t="n">
        <v>44006</v>
      </c>
      <c r="C275" s="1" t="n">
        <v>45345</v>
      </c>
      <c r="D275" t="inlineStr">
        <is>
          <t>NORRBOTTENS LÄN</t>
        </is>
      </c>
      <c r="E275" t="inlineStr">
        <is>
          <t>GÄLLIVARE</t>
        </is>
      </c>
      <c r="F275" t="inlineStr">
        <is>
          <t>Allmännings- och besparingsskogar</t>
        </is>
      </c>
      <c r="G275" t="n">
        <v>6.1</v>
      </c>
      <c r="H275" t="n">
        <v>0</v>
      </c>
      <c r="I275" t="n">
        <v>0</v>
      </c>
      <c r="J275" t="n">
        <v>0</v>
      </c>
      <c r="K275" t="n">
        <v>0</v>
      </c>
      <c r="L275" t="n">
        <v>0</v>
      </c>
      <c r="M275" t="n">
        <v>0</v>
      </c>
      <c r="N275" t="n">
        <v>0</v>
      </c>
      <c r="O275" t="n">
        <v>0</v>
      </c>
      <c r="P275" t="n">
        <v>0</v>
      </c>
      <c r="Q275" t="n">
        <v>0</v>
      </c>
      <c r="R275" s="2" t="inlineStr"/>
    </row>
    <row r="276" ht="15" customHeight="1">
      <c r="A276" t="inlineStr">
        <is>
          <t>A 32776-2020</t>
        </is>
      </c>
      <c r="B276" s="1" t="n">
        <v>44019</v>
      </c>
      <c r="C276" s="1" t="n">
        <v>45345</v>
      </c>
      <c r="D276" t="inlineStr">
        <is>
          <t>NORRBOTTENS LÄN</t>
        </is>
      </c>
      <c r="E276" t="inlineStr">
        <is>
          <t>GÄLLIVARE</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33595-2020</t>
        </is>
      </c>
      <c r="B277" s="1" t="n">
        <v>44025</v>
      </c>
      <c r="C277" s="1" t="n">
        <v>45345</v>
      </c>
      <c r="D277" t="inlineStr">
        <is>
          <t>NORRBOTTENS LÄN</t>
        </is>
      </c>
      <c r="E277" t="inlineStr">
        <is>
          <t>GÄLLIVARE</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33981-2020</t>
        </is>
      </c>
      <c r="B278" s="1" t="n">
        <v>44028</v>
      </c>
      <c r="C278" s="1" t="n">
        <v>45345</v>
      </c>
      <c r="D278" t="inlineStr">
        <is>
          <t>NORRBOTTENS LÄN</t>
        </is>
      </c>
      <c r="E278" t="inlineStr">
        <is>
          <t>GÄLLIVARE</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34663-2020</t>
        </is>
      </c>
      <c r="B279" s="1" t="n">
        <v>44034</v>
      </c>
      <c r="C279" s="1" t="n">
        <v>45345</v>
      </c>
      <c r="D279" t="inlineStr">
        <is>
          <t>NORRBOTTENS LÄN</t>
        </is>
      </c>
      <c r="E279" t="inlineStr">
        <is>
          <t>GÄLLIVARE</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36333-2020</t>
        </is>
      </c>
      <c r="B280" s="1" t="n">
        <v>44049</v>
      </c>
      <c r="C280" s="1" t="n">
        <v>45345</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36578-2020</t>
        </is>
      </c>
      <c r="B281" s="1" t="n">
        <v>44050</v>
      </c>
      <c r="C281" s="1" t="n">
        <v>45345</v>
      </c>
      <c r="D281" t="inlineStr">
        <is>
          <t>NORRBOTTENS LÄN</t>
        </is>
      </c>
      <c r="E281" t="inlineStr">
        <is>
          <t>GÄLLIVARE</t>
        </is>
      </c>
      <c r="G281" t="n">
        <v>0.6</v>
      </c>
      <c r="H281" t="n">
        <v>0</v>
      </c>
      <c r="I281" t="n">
        <v>0</v>
      </c>
      <c r="J281" t="n">
        <v>0</v>
      </c>
      <c r="K281" t="n">
        <v>0</v>
      </c>
      <c r="L281" t="n">
        <v>0</v>
      </c>
      <c r="M281" t="n">
        <v>0</v>
      </c>
      <c r="N281" t="n">
        <v>0</v>
      </c>
      <c r="O281" t="n">
        <v>0</v>
      </c>
      <c r="P281" t="n">
        <v>0</v>
      </c>
      <c r="Q281" t="n">
        <v>0</v>
      </c>
      <c r="R281" s="2" t="inlineStr"/>
    </row>
    <row r="282" ht="15" customHeight="1">
      <c r="A282" t="inlineStr">
        <is>
          <t>A 37392-2020</t>
        </is>
      </c>
      <c r="B282" s="1" t="n">
        <v>44055</v>
      </c>
      <c r="C282" s="1" t="n">
        <v>45345</v>
      </c>
      <c r="D282" t="inlineStr">
        <is>
          <t>NORRBOTTENS LÄN</t>
        </is>
      </c>
      <c r="E282" t="inlineStr">
        <is>
          <t>GÄLLIVARE</t>
        </is>
      </c>
      <c r="F282" t="inlineStr">
        <is>
          <t>Allmännings- och besparingsskogar</t>
        </is>
      </c>
      <c r="G282" t="n">
        <v>8.4</v>
      </c>
      <c r="H282" t="n">
        <v>0</v>
      </c>
      <c r="I282" t="n">
        <v>0</v>
      </c>
      <c r="J282" t="n">
        <v>0</v>
      </c>
      <c r="K282" t="n">
        <v>0</v>
      </c>
      <c r="L282" t="n">
        <v>0</v>
      </c>
      <c r="M282" t="n">
        <v>0</v>
      </c>
      <c r="N282" t="n">
        <v>0</v>
      </c>
      <c r="O282" t="n">
        <v>0</v>
      </c>
      <c r="P282" t="n">
        <v>0</v>
      </c>
      <c r="Q282" t="n">
        <v>0</v>
      </c>
      <c r="R282" s="2" t="inlineStr"/>
    </row>
    <row r="283" ht="15" customHeight="1">
      <c r="A283" t="inlineStr">
        <is>
          <t>A 38115-2020</t>
        </is>
      </c>
      <c r="B283" s="1" t="n">
        <v>44058</v>
      </c>
      <c r="C283" s="1" t="n">
        <v>45345</v>
      </c>
      <c r="D283" t="inlineStr">
        <is>
          <t>NORRBOTTENS LÄN</t>
        </is>
      </c>
      <c r="E283" t="inlineStr">
        <is>
          <t>GÄLLIVARE</t>
        </is>
      </c>
      <c r="G283" t="n">
        <v>2.6</v>
      </c>
      <c r="H283" t="n">
        <v>0</v>
      </c>
      <c r="I283" t="n">
        <v>0</v>
      </c>
      <c r="J283" t="n">
        <v>0</v>
      </c>
      <c r="K283" t="n">
        <v>0</v>
      </c>
      <c r="L283" t="n">
        <v>0</v>
      </c>
      <c r="M283" t="n">
        <v>0</v>
      </c>
      <c r="N283" t="n">
        <v>0</v>
      </c>
      <c r="O283" t="n">
        <v>0</v>
      </c>
      <c r="P283" t="n">
        <v>0</v>
      </c>
      <c r="Q283" t="n">
        <v>0</v>
      </c>
      <c r="R283" s="2" t="inlineStr"/>
    </row>
    <row r="284" ht="15" customHeight="1">
      <c r="A284" t="inlineStr">
        <is>
          <t>A 38114-2020</t>
        </is>
      </c>
      <c r="B284" s="1" t="n">
        <v>44058</v>
      </c>
      <c r="C284" s="1" t="n">
        <v>45345</v>
      </c>
      <c r="D284" t="inlineStr">
        <is>
          <t>NORRBOTTENS LÄN</t>
        </is>
      </c>
      <c r="E284" t="inlineStr">
        <is>
          <t>GÄLLIVARE</t>
        </is>
      </c>
      <c r="G284" t="n">
        <v>0.2</v>
      </c>
      <c r="H284" t="n">
        <v>0</v>
      </c>
      <c r="I284" t="n">
        <v>0</v>
      </c>
      <c r="J284" t="n">
        <v>0</v>
      </c>
      <c r="K284" t="n">
        <v>0</v>
      </c>
      <c r="L284" t="n">
        <v>0</v>
      </c>
      <c r="M284" t="n">
        <v>0</v>
      </c>
      <c r="N284" t="n">
        <v>0</v>
      </c>
      <c r="O284" t="n">
        <v>0</v>
      </c>
      <c r="P284" t="n">
        <v>0</v>
      </c>
      <c r="Q284" t="n">
        <v>0</v>
      </c>
      <c r="R284" s="2" t="inlineStr"/>
    </row>
    <row r="285" ht="15" customHeight="1">
      <c r="A285" t="inlineStr">
        <is>
          <t>A 39248-2020</t>
        </is>
      </c>
      <c r="B285" s="1" t="n">
        <v>44063</v>
      </c>
      <c r="C285" s="1" t="n">
        <v>45345</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39319-2020</t>
        </is>
      </c>
      <c r="B286" s="1" t="n">
        <v>44063</v>
      </c>
      <c r="C286" s="1" t="n">
        <v>45345</v>
      </c>
      <c r="D286" t="inlineStr">
        <is>
          <t>NORRBOTTENS LÄN</t>
        </is>
      </c>
      <c r="E286" t="inlineStr">
        <is>
          <t>GÄLLIVARE</t>
        </is>
      </c>
      <c r="G286" t="n">
        <v>1.8</v>
      </c>
      <c r="H286" t="n">
        <v>0</v>
      </c>
      <c r="I286" t="n">
        <v>0</v>
      </c>
      <c r="J286" t="n">
        <v>0</v>
      </c>
      <c r="K286" t="n">
        <v>0</v>
      </c>
      <c r="L286" t="n">
        <v>0</v>
      </c>
      <c r="M286" t="n">
        <v>0</v>
      </c>
      <c r="N286" t="n">
        <v>0</v>
      </c>
      <c r="O286" t="n">
        <v>0</v>
      </c>
      <c r="P286" t="n">
        <v>0</v>
      </c>
      <c r="Q286" t="n">
        <v>0</v>
      </c>
      <c r="R286" s="2" t="inlineStr"/>
    </row>
    <row r="287" ht="15" customHeight="1">
      <c r="A287" t="inlineStr">
        <is>
          <t>A 39330-2020</t>
        </is>
      </c>
      <c r="B287" s="1" t="n">
        <v>44063</v>
      </c>
      <c r="C287" s="1" t="n">
        <v>45345</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39331-2020</t>
        </is>
      </c>
      <c r="B288" s="1" t="n">
        <v>44063</v>
      </c>
      <c r="C288" s="1" t="n">
        <v>45345</v>
      </c>
      <c r="D288" t="inlineStr">
        <is>
          <t>NORRBOTTENS LÄN</t>
        </is>
      </c>
      <c r="E288" t="inlineStr">
        <is>
          <t>GÄLLIVARE</t>
        </is>
      </c>
      <c r="G288" t="n">
        <v>0.6</v>
      </c>
      <c r="H288" t="n">
        <v>0</v>
      </c>
      <c r="I288" t="n">
        <v>0</v>
      </c>
      <c r="J288" t="n">
        <v>0</v>
      </c>
      <c r="K288" t="n">
        <v>0</v>
      </c>
      <c r="L288" t="n">
        <v>0</v>
      </c>
      <c r="M288" t="n">
        <v>0</v>
      </c>
      <c r="N288" t="n">
        <v>0</v>
      </c>
      <c r="O288" t="n">
        <v>0</v>
      </c>
      <c r="P288" t="n">
        <v>0</v>
      </c>
      <c r="Q288" t="n">
        <v>0</v>
      </c>
      <c r="R288" s="2" t="inlineStr"/>
    </row>
    <row r="289" ht="15" customHeight="1">
      <c r="A289" t="inlineStr">
        <is>
          <t>A 40899-2020</t>
        </is>
      </c>
      <c r="B289" s="1" t="n">
        <v>44070</v>
      </c>
      <c r="C289" s="1" t="n">
        <v>45345</v>
      </c>
      <c r="D289" t="inlineStr">
        <is>
          <t>NORRBOTTENS LÄN</t>
        </is>
      </c>
      <c r="E289" t="inlineStr">
        <is>
          <t>GÄLLIVARE</t>
        </is>
      </c>
      <c r="G289" t="n">
        <v>3.8</v>
      </c>
      <c r="H289" t="n">
        <v>0</v>
      </c>
      <c r="I289" t="n">
        <v>0</v>
      </c>
      <c r="J289" t="n">
        <v>0</v>
      </c>
      <c r="K289" t="n">
        <v>0</v>
      </c>
      <c r="L289" t="n">
        <v>0</v>
      </c>
      <c r="M289" t="n">
        <v>0</v>
      </c>
      <c r="N289" t="n">
        <v>0</v>
      </c>
      <c r="O289" t="n">
        <v>0</v>
      </c>
      <c r="P289" t="n">
        <v>0</v>
      </c>
      <c r="Q289" t="n">
        <v>0</v>
      </c>
      <c r="R289" s="2" t="inlineStr"/>
    </row>
    <row r="290" ht="15" customHeight="1">
      <c r="A290" t="inlineStr">
        <is>
          <t>A 41736-2020</t>
        </is>
      </c>
      <c r="B290" s="1" t="n">
        <v>44070</v>
      </c>
      <c r="C290" s="1" t="n">
        <v>45345</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41692-2020</t>
        </is>
      </c>
      <c r="B291" s="1" t="n">
        <v>44070</v>
      </c>
      <c r="C291" s="1" t="n">
        <v>45345</v>
      </c>
      <c r="D291" t="inlineStr">
        <is>
          <t>NORRBOTTENS LÄN</t>
        </is>
      </c>
      <c r="E291" t="inlineStr">
        <is>
          <t>GÄLLIVARE</t>
        </is>
      </c>
      <c r="F291" t="inlineStr">
        <is>
          <t>Allmännings- och besparingsskogar</t>
        </is>
      </c>
      <c r="G291" t="n">
        <v>27.7</v>
      </c>
      <c r="H291" t="n">
        <v>0</v>
      </c>
      <c r="I291" t="n">
        <v>0</v>
      </c>
      <c r="J291" t="n">
        <v>0</v>
      </c>
      <c r="K291" t="n">
        <v>0</v>
      </c>
      <c r="L291" t="n">
        <v>0</v>
      </c>
      <c r="M291" t="n">
        <v>0</v>
      </c>
      <c r="N291" t="n">
        <v>0</v>
      </c>
      <c r="O291" t="n">
        <v>0</v>
      </c>
      <c r="P291" t="n">
        <v>0</v>
      </c>
      <c r="Q291" t="n">
        <v>0</v>
      </c>
      <c r="R291" s="2" t="inlineStr"/>
    </row>
    <row r="292" ht="15" customHeight="1">
      <c r="A292" t="inlineStr">
        <is>
          <t>A 43909-2020</t>
        </is>
      </c>
      <c r="B292" s="1" t="n">
        <v>44081</v>
      </c>
      <c r="C292" s="1" t="n">
        <v>45345</v>
      </c>
      <c r="D292" t="inlineStr">
        <is>
          <t>NORRBOTTENS LÄN</t>
        </is>
      </c>
      <c r="E292" t="inlineStr">
        <is>
          <t>GÄLLIVARE</t>
        </is>
      </c>
      <c r="G292" t="n">
        <v>14.2</v>
      </c>
      <c r="H292" t="n">
        <v>0</v>
      </c>
      <c r="I292" t="n">
        <v>0</v>
      </c>
      <c r="J292" t="n">
        <v>0</v>
      </c>
      <c r="K292" t="n">
        <v>0</v>
      </c>
      <c r="L292" t="n">
        <v>0</v>
      </c>
      <c r="M292" t="n">
        <v>0</v>
      </c>
      <c r="N292" t="n">
        <v>0</v>
      </c>
      <c r="O292" t="n">
        <v>0</v>
      </c>
      <c r="P292" t="n">
        <v>0</v>
      </c>
      <c r="Q292" t="n">
        <v>0</v>
      </c>
      <c r="R292" s="2" t="inlineStr"/>
    </row>
    <row r="293" ht="15" customHeight="1">
      <c r="A293" t="inlineStr">
        <is>
          <t>A 43910-2020</t>
        </is>
      </c>
      <c r="B293" s="1" t="n">
        <v>44081</v>
      </c>
      <c r="C293" s="1" t="n">
        <v>45345</v>
      </c>
      <c r="D293" t="inlineStr">
        <is>
          <t>NORRBOTTENS LÄN</t>
        </is>
      </c>
      <c r="E293" t="inlineStr">
        <is>
          <t>GÄLLIVARE</t>
        </is>
      </c>
      <c r="G293" t="n">
        <v>3.4</v>
      </c>
      <c r="H293" t="n">
        <v>0</v>
      </c>
      <c r="I293" t="n">
        <v>0</v>
      </c>
      <c r="J293" t="n">
        <v>0</v>
      </c>
      <c r="K293" t="n">
        <v>0</v>
      </c>
      <c r="L293" t="n">
        <v>0</v>
      </c>
      <c r="M293" t="n">
        <v>0</v>
      </c>
      <c r="N293" t="n">
        <v>0</v>
      </c>
      <c r="O293" t="n">
        <v>0</v>
      </c>
      <c r="P293" t="n">
        <v>0</v>
      </c>
      <c r="Q293" t="n">
        <v>0</v>
      </c>
      <c r="R293" s="2" t="inlineStr"/>
    </row>
    <row r="294" ht="15" customHeight="1">
      <c r="A294" t="inlineStr">
        <is>
          <t>A 46133-2020</t>
        </is>
      </c>
      <c r="B294" s="1" t="n">
        <v>44091</v>
      </c>
      <c r="C294" s="1" t="n">
        <v>45345</v>
      </c>
      <c r="D294" t="inlineStr">
        <is>
          <t>NORRBOTTENS LÄN</t>
        </is>
      </c>
      <c r="E294" t="inlineStr">
        <is>
          <t>GÄLLIVARE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46131-2020</t>
        </is>
      </c>
      <c r="B295" s="1" t="n">
        <v>44091</v>
      </c>
      <c r="C295" s="1" t="n">
        <v>45345</v>
      </c>
      <c r="D295" t="inlineStr">
        <is>
          <t>NORRBOTTENS LÄN</t>
        </is>
      </c>
      <c r="E295" t="inlineStr">
        <is>
          <t>GÄLLIVARE</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46368-2020</t>
        </is>
      </c>
      <c r="B296" s="1" t="n">
        <v>44092</v>
      </c>
      <c r="C296" s="1" t="n">
        <v>45345</v>
      </c>
      <c r="D296" t="inlineStr">
        <is>
          <t>NORRBOTTENS LÄN</t>
        </is>
      </c>
      <c r="E296" t="inlineStr">
        <is>
          <t>GÄLLIVARE</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47311-2020</t>
        </is>
      </c>
      <c r="B297" s="1" t="n">
        <v>44095</v>
      </c>
      <c r="C297" s="1" t="n">
        <v>45345</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47379-2020</t>
        </is>
      </c>
      <c r="B298" s="1" t="n">
        <v>44097</v>
      </c>
      <c r="C298" s="1" t="n">
        <v>45345</v>
      </c>
      <c r="D298" t="inlineStr">
        <is>
          <t>NORRBOTTENS LÄN</t>
        </is>
      </c>
      <c r="E298" t="inlineStr">
        <is>
          <t>GÄLLIVARE</t>
        </is>
      </c>
      <c r="F298" t="inlineStr">
        <is>
          <t>Sveaskog</t>
        </is>
      </c>
      <c r="G298" t="n">
        <v>9.6</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45345</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45345</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45345</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45345</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45345</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45345</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45345</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45345</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45345</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45345</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45345</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45345</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45345</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45345</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45345</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45345</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45345</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45345</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45345</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45345</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45345</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45345</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45345</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45345</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45345</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45345</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45345</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45345</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45345</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45345</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45345</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45345</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45345</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45345</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45345</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45345</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45345</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45345</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45345</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45345</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45345</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45345</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45345</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45345</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45345</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45345</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45345</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45345</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45345</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45345</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45345</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45345</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45345</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45345</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45345</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45345</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45345</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45345</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45345</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45345</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45345</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45345</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45345</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45345</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45345</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45345</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45345</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45345</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45345</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45345</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45345</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45345</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45345</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45345</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45345</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45345</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45345</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45345</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45345</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45345</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45345</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45345</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45345</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45345</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45345</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45345</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45345</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45345</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45345</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45345</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45345</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45345</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45345</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45345</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45345</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45345</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45345</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45345</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45345</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45345</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45345</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45345</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45345</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45345</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45345</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45345</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45345</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45345</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45345</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45345</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45345</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45345</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45345</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45345</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45345</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45345</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45345</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45345</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45345</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45345</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45345</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45345</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45345</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45345</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45345</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45345</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45345</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45345</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45345</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45345</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45345</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45345</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45345</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45345</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45345</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45345</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45345</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45345</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45345</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45345</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45345</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45345</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45345</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45345</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45345</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45345</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45345</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45345</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45345</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45345</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45345</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45345</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45345</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45345</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45345</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45345</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45345</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45345</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45345</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45345</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45345</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45345</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45345</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45345</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45345</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45345</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45345</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45345</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45345</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45345</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45345</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45345</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45345</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45345</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45345</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45345</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45345</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45345</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45345</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45345</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45345</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45345</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45345</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45345</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45345</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45345</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45345</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45345</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45345</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45345</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45345</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45345</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45345</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45345</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45345</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45345</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45345</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45345</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45345</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45345</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45345</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45345</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45345</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45345</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45345</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45345</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45345</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45345</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45345</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45345</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45345</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45345</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45345</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45345</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45345</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45345</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45345</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45345</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45345</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45345</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45345</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45345</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45345</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45345</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45345</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45345</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45345</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45345</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45345</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45345</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45345</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45345</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45345</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45345</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45345</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45345</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45345</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45345</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45345</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45345</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45345</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45345</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45345</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45345</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45345</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45345</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45345</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45345</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45345</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45345</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45345</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45345</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45345</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45345</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45345</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45345</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45345</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45345</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45345</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45345</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45345</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45345</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45345</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45345</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45345</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45345</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45345</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45345</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45345</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45345</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45345</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45345</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45345</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45345</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45345</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45345</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45345</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45345</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45345</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45345</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45345</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45345</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45345</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45345</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45345</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45345</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45345</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45345</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45345</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45345</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45345</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45345</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45345</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45345</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45345</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45345</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45345</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45345</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45345</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45345</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45345</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45345</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45345</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45345</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45345</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45345</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45345</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45345</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45345</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45345</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45345</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45345</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45345</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45345</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45345</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45345</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45345</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45345</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45345</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45345</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45345</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45345</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45345</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45345</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45345</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45345</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45345</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45345</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45345</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45345</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45345</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45345</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45345</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45345</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45345</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45345</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45345</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45345</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45345</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45345</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45345</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45345</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45345</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45345</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45345</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45345</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45345</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45345</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45345</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45345</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45345</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45345</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45345</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45345</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45345</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45345</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45345</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45345</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45345</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45345</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45345</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45345</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45345</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45345</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45345</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45345</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45345</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45345</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45345</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45345</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45345</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45345</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45345</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45345</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45345</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45345</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45345</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45345</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45345</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45345</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45345</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45345</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45345</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45345</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45345</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45345</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45345</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45345</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45345</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45345</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45345</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45345</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45345</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45345</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45345</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45345</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45345</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45345</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45345</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45345</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45345</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45345</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45345</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45345</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45345</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45345</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45345</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45345</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45345</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45345</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45345</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45345</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45345</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45345</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45345</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45345</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45345</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45345</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45345</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3096-2024</t>
        </is>
      </c>
      <c r="B718" s="1" t="n">
        <v>45316</v>
      </c>
      <c r="C718" s="1" t="n">
        <v>45345</v>
      </c>
      <c r="D718" t="inlineStr">
        <is>
          <t>NORRBOTTENS LÄN</t>
        </is>
      </c>
      <c r="E718" t="inlineStr">
        <is>
          <t>GÄLLIVARE</t>
        </is>
      </c>
      <c r="F718" t="inlineStr">
        <is>
          <t>Sveaskog</t>
        </is>
      </c>
      <c r="G718" t="n">
        <v>9</v>
      </c>
      <c r="H718" t="n">
        <v>0</v>
      </c>
      <c r="I718" t="n">
        <v>0</v>
      </c>
      <c r="J718" t="n">
        <v>0</v>
      </c>
      <c r="K718" t="n">
        <v>0</v>
      </c>
      <c r="L718" t="n">
        <v>0</v>
      </c>
      <c r="M718" t="n">
        <v>0</v>
      </c>
      <c r="N718" t="n">
        <v>0</v>
      </c>
      <c r="O718" t="n">
        <v>0</v>
      </c>
      <c r="P718" t="n">
        <v>0</v>
      </c>
      <c r="Q718" t="n">
        <v>0</v>
      </c>
      <c r="R718" s="2" t="inlineStr"/>
    </row>
    <row r="719" ht="15" customHeight="1">
      <c r="A719" t="inlineStr">
        <is>
          <t>A 3025-2024</t>
        </is>
      </c>
      <c r="B719" s="1" t="n">
        <v>45316</v>
      </c>
      <c r="C719" s="1" t="n">
        <v>45345</v>
      </c>
      <c r="D719" t="inlineStr">
        <is>
          <t>NORRBOTTENS LÄN</t>
        </is>
      </c>
      <c r="E719" t="inlineStr">
        <is>
          <t>GÄLLIVARE</t>
        </is>
      </c>
      <c r="F719" t="inlineStr">
        <is>
          <t>Sveaskog</t>
        </is>
      </c>
      <c r="G719" t="n">
        <v>16.9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45345</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45345</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4091-2024</t>
        </is>
      </c>
      <c r="B722" s="1" t="n">
        <v>45323</v>
      </c>
      <c r="C722" s="1" t="n">
        <v>45345</v>
      </c>
      <c r="D722" t="inlineStr">
        <is>
          <t>NORRBOTTENS LÄN</t>
        </is>
      </c>
      <c r="E722" t="inlineStr">
        <is>
          <t>GÄLLIVARE</t>
        </is>
      </c>
      <c r="F722" t="inlineStr">
        <is>
          <t>Sveaskog</t>
        </is>
      </c>
      <c r="G722" t="n">
        <v>10.4</v>
      </c>
      <c r="H722" t="n">
        <v>0</v>
      </c>
      <c r="I722" t="n">
        <v>0</v>
      </c>
      <c r="J722" t="n">
        <v>0</v>
      </c>
      <c r="K722" t="n">
        <v>0</v>
      </c>
      <c r="L722" t="n">
        <v>0</v>
      </c>
      <c r="M722" t="n">
        <v>0</v>
      </c>
      <c r="N722" t="n">
        <v>0</v>
      </c>
      <c r="O722" t="n">
        <v>0</v>
      </c>
      <c r="P722" t="n">
        <v>0</v>
      </c>
      <c r="Q722" t="n">
        <v>0</v>
      </c>
      <c r="R722" s="2" t="inlineStr"/>
    </row>
    <row r="723" ht="15" customHeight="1">
      <c r="A723" t="inlineStr">
        <is>
          <t>A 4109-2024</t>
        </is>
      </c>
      <c r="B723" s="1" t="n">
        <v>45323</v>
      </c>
      <c r="C723" s="1" t="n">
        <v>45345</v>
      </c>
      <c r="D723" t="inlineStr">
        <is>
          <t>NORRBOTTENS LÄN</t>
        </is>
      </c>
      <c r="E723" t="inlineStr">
        <is>
          <t>GÄLLIVARE</t>
        </is>
      </c>
      <c r="F723" t="inlineStr">
        <is>
          <t>Sveaskog</t>
        </is>
      </c>
      <c r="G723" t="n">
        <v>32.7</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45345</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45345</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45345</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45345</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6268-2024</t>
        </is>
      </c>
      <c r="B728" s="1" t="n">
        <v>45337</v>
      </c>
      <c r="C728" s="1" t="n">
        <v>45345</v>
      </c>
      <c r="D728" t="inlineStr">
        <is>
          <t>NORRBOTTENS LÄN</t>
        </is>
      </c>
      <c r="E728" t="inlineStr">
        <is>
          <t>GÄLLIVARE</t>
        </is>
      </c>
      <c r="G728" t="n">
        <v>10.1</v>
      </c>
      <c r="H728" t="n">
        <v>0</v>
      </c>
      <c r="I728" t="n">
        <v>0</v>
      </c>
      <c r="J728" t="n">
        <v>0</v>
      </c>
      <c r="K728" t="n">
        <v>0</v>
      </c>
      <c r="L728" t="n">
        <v>0</v>
      </c>
      <c r="M728" t="n">
        <v>0</v>
      </c>
      <c r="N728" t="n">
        <v>0</v>
      </c>
      <c r="O728" t="n">
        <v>0</v>
      </c>
      <c r="P728" t="n">
        <v>0</v>
      </c>
      <c r="Q728" t="n">
        <v>0</v>
      </c>
      <c r="R728" s="2" t="inlineStr"/>
    </row>
    <row r="729" ht="15" customHeight="1">
      <c r="A729" t="inlineStr">
        <is>
          <t>A 6272-2024</t>
        </is>
      </c>
      <c r="B729" s="1" t="n">
        <v>45337</v>
      </c>
      <c r="C729" s="1" t="n">
        <v>45345</v>
      </c>
      <c r="D729" t="inlineStr">
        <is>
          <t>NORRBOTTENS LÄN</t>
        </is>
      </c>
      <c r="E729" t="inlineStr">
        <is>
          <t>GÄLLIVARE</t>
        </is>
      </c>
      <c r="G729" t="n">
        <v>5.3</v>
      </c>
      <c r="H729" t="n">
        <v>0</v>
      </c>
      <c r="I729" t="n">
        <v>0</v>
      </c>
      <c r="J729" t="n">
        <v>0</v>
      </c>
      <c r="K729" t="n">
        <v>0</v>
      </c>
      <c r="L729" t="n">
        <v>0</v>
      </c>
      <c r="M729" t="n">
        <v>0</v>
      </c>
      <c r="N729" t="n">
        <v>0</v>
      </c>
      <c r="O729" t="n">
        <v>0</v>
      </c>
      <c r="P729" t="n">
        <v>0</v>
      </c>
      <c r="Q729" t="n">
        <v>0</v>
      </c>
      <c r="R729" s="2" t="inlineStr"/>
    </row>
    <row r="730" ht="15" customHeight="1">
      <c r="A730" t="inlineStr">
        <is>
          <t>A 6271-2024</t>
        </is>
      </c>
      <c r="B730" s="1" t="n">
        <v>45337</v>
      </c>
      <c r="C730" s="1" t="n">
        <v>45345</v>
      </c>
      <c r="D730" t="inlineStr">
        <is>
          <t>NORRBOTTENS LÄN</t>
        </is>
      </c>
      <c r="E730" t="inlineStr">
        <is>
          <t>GÄLLIVARE</t>
        </is>
      </c>
      <c r="G730" t="n">
        <v>14.7</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45345</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c r="A732" t="inlineStr">
        <is>
          <t>A 7197-2024</t>
        </is>
      </c>
      <c r="B732" s="1" t="n">
        <v>45344</v>
      </c>
      <c r="C732" s="1" t="n">
        <v>45345</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2024-02-23T06:53:34Z</dcterms:created>
  <dcterms:modified xmlns:dcterms="http://purl.org/dc/terms/" xmlns:xsi="http://www.w3.org/2001/XMLSchema-instance" xsi:type="dcterms:W3CDTF">2024-02-23T06:53:35Z</dcterms:modified>
</cp:coreProperties>
</file>