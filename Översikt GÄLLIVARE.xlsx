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45672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45672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45672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45672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45672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45672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45672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45672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45672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45672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45672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45672</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45672</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45672</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45672</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45672</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45672</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45672</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45672</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45672</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45672</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19907-2023</t>
        </is>
      </c>
      <c r="B23" s="1" t="n">
        <v>45054</v>
      </c>
      <c r="C23" s="1" t="n">
        <v>45672</v>
      </c>
      <c r="D23" t="inlineStr">
        <is>
          <t>NORRBOTTENS LÄN</t>
        </is>
      </c>
      <c r="E23" t="inlineStr">
        <is>
          <t>GÄLLIVARE</t>
        </is>
      </c>
      <c r="F23" t="inlineStr">
        <is>
          <t>Sveaskog</t>
        </is>
      </c>
      <c r="G23" t="n">
        <v>18.6</v>
      </c>
      <c r="H23" t="n">
        <v>0</v>
      </c>
      <c r="I23" t="n">
        <v>1</v>
      </c>
      <c r="J23" t="n">
        <v>2</v>
      </c>
      <c r="K23" t="n">
        <v>2</v>
      </c>
      <c r="L23" t="n">
        <v>0</v>
      </c>
      <c r="M23" t="n">
        <v>1</v>
      </c>
      <c r="N23" t="n">
        <v>0</v>
      </c>
      <c r="O23" t="n">
        <v>5</v>
      </c>
      <c r="P23" t="n">
        <v>3</v>
      </c>
      <c r="Q23" t="n">
        <v>6</v>
      </c>
      <c r="R23" s="2" t="inlineStr">
        <is>
          <t>Kritporing
Gräddporing
Tallgråticka
Blå taggsvamp
Motaggsvamp
Dropptaggsvamp</t>
        </is>
      </c>
      <c r="S23">
        <f>HYPERLINK("https://klasma.github.io/Logging_2523/artfynd/A 19907-2023 artfynd.xlsx", "A 19907-2023")</f>
        <v/>
      </c>
      <c r="T23">
        <f>HYPERLINK("https://klasma.github.io/Logging_2523/kartor/A 19907-2023 karta.png", "A 19907-2023")</f>
        <v/>
      </c>
      <c r="V23">
        <f>HYPERLINK("https://klasma.github.io/Logging_2523/klagomål/A 19907-2023 FSC-klagomål.docx", "A 19907-2023")</f>
        <v/>
      </c>
      <c r="W23">
        <f>HYPERLINK("https://klasma.github.io/Logging_2523/klagomålsmail/A 19907-2023 FSC-klagomål mail.docx", "A 19907-2023")</f>
        <v/>
      </c>
      <c r="X23">
        <f>HYPERLINK("https://klasma.github.io/Logging_2523/tillsyn/A 19907-2023 tillsynsbegäran.docx", "A 19907-2023")</f>
        <v/>
      </c>
      <c r="Y23">
        <f>HYPERLINK("https://klasma.github.io/Logging_2523/tillsynsmail/A 19907-2023 tillsynsbegäran mail.docx", "A 19907-2023")</f>
        <v/>
      </c>
    </row>
    <row r="24" ht="15" customHeight="1">
      <c r="A24" t="inlineStr">
        <is>
          <t>A 41652-2023</t>
        </is>
      </c>
      <c r="B24" s="1" t="n">
        <v>45175</v>
      </c>
      <c r="C24" s="1" t="n">
        <v>45672</v>
      </c>
      <c r="D24" t="inlineStr">
        <is>
          <t>NORRBOTTENS LÄN</t>
        </is>
      </c>
      <c r="E24" t="inlineStr">
        <is>
          <t>GÄLLIVARE</t>
        </is>
      </c>
      <c r="F24" t="inlineStr">
        <is>
          <t>SCA</t>
        </is>
      </c>
      <c r="G24" t="n">
        <v>16.1</v>
      </c>
      <c r="H24" t="n">
        <v>1</v>
      </c>
      <c r="I24" t="n">
        <v>0</v>
      </c>
      <c r="J24" t="n">
        <v>4</v>
      </c>
      <c r="K24" t="n">
        <v>2</v>
      </c>
      <c r="L24" t="n">
        <v>0</v>
      </c>
      <c r="M24" t="n">
        <v>0</v>
      </c>
      <c r="N24" t="n">
        <v>0</v>
      </c>
      <c r="O24" t="n">
        <v>6</v>
      </c>
      <c r="P24" t="n">
        <v>2</v>
      </c>
      <c r="Q24" t="n">
        <v>6</v>
      </c>
      <c r="R24" s="2" t="inlineStr">
        <is>
          <t>Fläckporing
Mörk blåslav
Garnlav
Knottrig blåslav
Kolflarnlav
Tretåig hackspett</t>
        </is>
      </c>
      <c r="S24">
        <f>HYPERLINK("https://klasma.github.io/Logging_2523/artfynd/A 41652-2023 artfynd.xlsx", "A 41652-2023")</f>
        <v/>
      </c>
      <c r="T24">
        <f>HYPERLINK("https://klasma.github.io/Logging_2523/kartor/A 41652-2023 karta.png", "A 41652-2023")</f>
        <v/>
      </c>
      <c r="V24">
        <f>HYPERLINK("https://klasma.github.io/Logging_2523/klagomål/A 41652-2023 FSC-klagomål.docx", "A 41652-2023")</f>
        <v/>
      </c>
      <c r="W24">
        <f>HYPERLINK("https://klasma.github.io/Logging_2523/klagomålsmail/A 41652-2023 FSC-klagomål mail.docx", "A 41652-2023")</f>
        <v/>
      </c>
      <c r="X24">
        <f>HYPERLINK("https://klasma.github.io/Logging_2523/tillsyn/A 41652-2023 tillsynsbegäran.docx", "A 41652-2023")</f>
        <v/>
      </c>
      <c r="Y24">
        <f>HYPERLINK("https://klasma.github.io/Logging_2523/tillsynsmail/A 41652-2023 tillsynsbegäran mail.docx", "A 41652-2023")</f>
        <v/>
      </c>
      <c r="Z24">
        <f>HYPERLINK("https://klasma.github.io/Logging_2523/fåglar/A 41652-2023 prioriterade fågelarter.docx", "A 41652-2023")</f>
        <v/>
      </c>
    </row>
    <row r="25" ht="15" customHeight="1">
      <c r="A25" t="inlineStr">
        <is>
          <t>A 51381-2023</t>
        </is>
      </c>
      <c r="B25" s="1" t="n">
        <v>45213</v>
      </c>
      <c r="C25" s="1" t="n">
        <v>45672</v>
      </c>
      <c r="D25" t="inlineStr">
        <is>
          <t>NORRBOTTENS LÄN</t>
        </is>
      </c>
      <c r="E25" t="inlineStr">
        <is>
          <t>GÄLLIVARE</t>
        </is>
      </c>
      <c r="G25" t="n">
        <v>9.1</v>
      </c>
      <c r="H25" t="n">
        <v>2</v>
      </c>
      <c r="I25" t="n">
        <v>1</v>
      </c>
      <c r="J25" t="n">
        <v>4</v>
      </c>
      <c r="K25" t="n">
        <v>0</v>
      </c>
      <c r="L25" t="n">
        <v>0</v>
      </c>
      <c r="M25" t="n">
        <v>0</v>
      </c>
      <c r="N25" t="n">
        <v>0</v>
      </c>
      <c r="O25" t="n">
        <v>4</v>
      </c>
      <c r="P25" t="n">
        <v>0</v>
      </c>
      <c r="Q25" t="n">
        <v>6</v>
      </c>
      <c r="R25" s="2" t="inlineStr">
        <is>
          <t>Kolflarnlav
Mörk kolflarnlav
Spillkråka
Vedskivlav
Dropptaggsvamp
Kungsfågel</t>
        </is>
      </c>
      <c r="S25">
        <f>HYPERLINK("https://klasma.github.io/Logging_2523/artfynd/A 51381-2023 artfynd.xlsx", "A 51381-2023")</f>
        <v/>
      </c>
      <c r="T25">
        <f>HYPERLINK("https://klasma.github.io/Logging_2523/kartor/A 51381-2023 karta.png", "A 51381-2023")</f>
        <v/>
      </c>
      <c r="V25">
        <f>HYPERLINK("https://klasma.github.io/Logging_2523/klagomål/A 51381-2023 FSC-klagomål.docx", "A 51381-2023")</f>
        <v/>
      </c>
      <c r="W25">
        <f>HYPERLINK("https://klasma.github.io/Logging_2523/klagomålsmail/A 51381-2023 FSC-klagomål mail.docx", "A 51381-2023")</f>
        <v/>
      </c>
      <c r="X25">
        <f>HYPERLINK("https://klasma.github.io/Logging_2523/tillsyn/A 51381-2023 tillsynsbegäran.docx", "A 51381-2023")</f>
        <v/>
      </c>
      <c r="Y25">
        <f>HYPERLINK("https://klasma.github.io/Logging_2523/tillsynsmail/A 51381-2023 tillsynsbegäran mail.docx", "A 51381-2023")</f>
        <v/>
      </c>
      <c r="Z25">
        <f>HYPERLINK("https://klasma.github.io/Logging_2523/fåglar/A 51381-2023 prioriterade fågelarter.docx", "A 51381-2023")</f>
        <v/>
      </c>
    </row>
    <row r="26" ht="15" customHeight="1">
      <c r="A26" t="inlineStr">
        <is>
          <t>A 62891-2023</t>
        </is>
      </c>
      <c r="B26" s="1" t="n">
        <v>45272</v>
      </c>
      <c r="C26" s="1" t="n">
        <v>45672</v>
      </c>
      <c r="D26" t="inlineStr">
        <is>
          <t>NORRBOTTENS LÄN</t>
        </is>
      </c>
      <c r="E26" t="inlineStr">
        <is>
          <t>GÄLLIVARE</t>
        </is>
      </c>
      <c r="F26" t="inlineStr">
        <is>
          <t>Sveaskog</t>
        </is>
      </c>
      <c r="G26" t="n">
        <v>2.4</v>
      </c>
      <c r="H26" t="n">
        <v>1</v>
      </c>
      <c r="I26" t="n">
        <v>2</v>
      </c>
      <c r="J26" t="n">
        <v>2</v>
      </c>
      <c r="K26" t="n">
        <v>2</v>
      </c>
      <c r="L26" t="n">
        <v>0</v>
      </c>
      <c r="M26" t="n">
        <v>0</v>
      </c>
      <c r="N26" t="n">
        <v>0</v>
      </c>
      <c r="O26" t="n">
        <v>4</v>
      </c>
      <c r="P26" t="n">
        <v>2</v>
      </c>
      <c r="Q26" t="n">
        <v>6</v>
      </c>
      <c r="R26" s="2" t="inlineStr">
        <is>
          <t>Goliatmusseron
Smalfotad taggsvamp
Blå taggsvamp
Svart taggsvamp
Dropptaggsvamp
Plattlummer</t>
        </is>
      </c>
      <c r="S26">
        <f>HYPERLINK("https://klasma.github.io/Logging_2523/artfynd/A 62891-2023 artfynd.xlsx", "A 62891-2023")</f>
        <v/>
      </c>
      <c r="T26">
        <f>HYPERLINK("https://klasma.github.io/Logging_2523/kartor/A 62891-2023 karta.png", "A 62891-2023")</f>
        <v/>
      </c>
      <c r="V26">
        <f>HYPERLINK("https://klasma.github.io/Logging_2523/klagomål/A 62891-2023 FSC-klagomål.docx", "A 62891-2023")</f>
        <v/>
      </c>
      <c r="W26">
        <f>HYPERLINK("https://klasma.github.io/Logging_2523/klagomålsmail/A 62891-2023 FSC-klagomål mail.docx", "A 62891-2023")</f>
        <v/>
      </c>
      <c r="X26">
        <f>HYPERLINK("https://klasma.github.io/Logging_2523/tillsyn/A 62891-2023 tillsynsbegäran.docx", "A 62891-2023")</f>
        <v/>
      </c>
      <c r="Y26">
        <f>HYPERLINK("https://klasma.github.io/Logging_2523/tillsynsmail/A 62891-2023 tillsynsbegäran mail.docx", "A 62891-2023")</f>
        <v/>
      </c>
    </row>
    <row r="27" ht="15" customHeight="1">
      <c r="A27" t="inlineStr">
        <is>
          <t>A 62893-2023</t>
        </is>
      </c>
      <c r="B27" s="1" t="n">
        <v>45272</v>
      </c>
      <c r="C27" s="1" t="n">
        <v>45672</v>
      </c>
      <c r="D27" t="inlineStr">
        <is>
          <t>NORRBOTTENS LÄN</t>
        </is>
      </c>
      <c r="E27" t="inlineStr">
        <is>
          <t>GÄLLIVARE</t>
        </is>
      </c>
      <c r="F27" t="inlineStr">
        <is>
          <t>Sveaskog</t>
        </is>
      </c>
      <c r="G27" t="n">
        <v>11.4</v>
      </c>
      <c r="H27" t="n">
        <v>1</v>
      </c>
      <c r="I27" t="n">
        <v>3</v>
      </c>
      <c r="J27" t="n">
        <v>3</v>
      </c>
      <c r="K27" t="n">
        <v>0</v>
      </c>
      <c r="L27" t="n">
        <v>0</v>
      </c>
      <c r="M27" t="n">
        <v>0</v>
      </c>
      <c r="N27" t="n">
        <v>0</v>
      </c>
      <c r="O27" t="n">
        <v>3</v>
      </c>
      <c r="P27" t="n">
        <v>0</v>
      </c>
      <c r="Q27" t="n">
        <v>6</v>
      </c>
      <c r="R27" s="2" t="inlineStr">
        <is>
          <t>Blå taggsvamp
Orange taggsvamp
Svart taggsvamp
Dropptaggsvamp
Plattlummer
Skarp dropptaggsvamp</t>
        </is>
      </c>
      <c r="S27">
        <f>HYPERLINK("https://klasma.github.io/Logging_2523/artfynd/A 62893-2023 artfynd.xlsx", "A 62893-2023")</f>
        <v/>
      </c>
      <c r="T27">
        <f>HYPERLINK("https://klasma.github.io/Logging_2523/kartor/A 62893-2023 karta.png", "A 62893-2023")</f>
        <v/>
      </c>
      <c r="V27">
        <f>HYPERLINK("https://klasma.github.io/Logging_2523/klagomål/A 62893-2023 FSC-klagomål.docx", "A 62893-2023")</f>
        <v/>
      </c>
      <c r="W27">
        <f>HYPERLINK("https://klasma.github.io/Logging_2523/klagomålsmail/A 62893-2023 FSC-klagomål mail.docx", "A 62893-2023")</f>
        <v/>
      </c>
      <c r="X27">
        <f>HYPERLINK("https://klasma.github.io/Logging_2523/tillsyn/A 62893-2023 tillsynsbegäran.docx", "A 62893-2023")</f>
        <v/>
      </c>
      <c r="Y27">
        <f>HYPERLINK("https://klasma.github.io/Logging_2523/tillsynsmail/A 62893-2023 tillsynsbegäran mail.docx", "A 62893-2023")</f>
        <v/>
      </c>
    </row>
    <row r="28" ht="15" customHeight="1">
      <c r="A28" t="inlineStr">
        <is>
          <t>A 32492-2019</t>
        </is>
      </c>
      <c r="B28" s="1" t="n">
        <v>43644</v>
      </c>
      <c r="C28" s="1" t="n">
        <v>45672</v>
      </c>
      <c r="D28" t="inlineStr">
        <is>
          <t>NORRBOTTENS LÄN</t>
        </is>
      </c>
      <c r="E28" t="inlineStr">
        <is>
          <t>GÄLLIVARE</t>
        </is>
      </c>
      <c r="F28" t="inlineStr">
        <is>
          <t>SCA</t>
        </is>
      </c>
      <c r="G28" t="n">
        <v>13.6</v>
      </c>
      <c r="H28" t="n">
        <v>1</v>
      </c>
      <c r="I28" t="n">
        <v>1</v>
      </c>
      <c r="J28" t="n">
        <v>2</v>
      </c>
      <c r="K28" t="n">
        <v>2</v>
      </c>
      <c r="L28" t="n">
        <v>0</v>
      </c>
      <c r="M28" t="n">
        <v>0</v>
      </c>
      <c r="N28" t="n">
        <v>0</v>
      </c>
      <c r="O28" t="n">
        <v>4</v>
      </c>
      <c r="P28" t="n">
        <v>2</v>
      </c>
      <c r="Q28" t="n">
        <v>5</v>
      </c>
      <c r="R28" s="2" t="inlineStr">
        <is>
          <t>Fläckporing
Smalfotad taggsvamp
Skrovlig taggsvamp
Vaddporing
Plattlummer</t>
        </is>
      </c>
      <c r="S28">
        <f>HYPERLINK("https://klasma.github.io/Logging_2523/artfynd/A 32492-2019 artfynd.xlsx", "A 32492-2019")</f>
        <v/>
      </c>
      <c r="T28">
        <f>HYPERLINK("https://klasma.github.io/Logging_2523/kartor/A 32492-2019 karta.png", "A 32492-2019")</f>
        <v/>
      </c>
      <c r="V28">
        <f>HYPERLINK("https://klasma.github.io/Logging_2523/klagomål/A 32492-2019 FSC-klagomål.docx", "A 32492-2019")</f>
        <v/>
      </c>
      <c r="W28">
        <f>HYPERLINK("https://klasma.github.io/Logging_2523/klagomålsmail/A 32492-2019 FSC-klagomål mail.docx", "A 32492-2019")</f>
        <v/>
      </c>
      <c r="X28">
        <f>HYPERLINK("https://klasma.github.io/Logging_2523/tillsyn/A 32492-2019 tillsynsbegäran.docx", "A 32492-2019")</f>
        <v/>
      </c>
      <c r="Y28">
        <f>HYPERLINK("https://klasma.github.io/Logging_2523/tillsynsmail/A 32492-2019 tillsynsbegäran mail.docx", "A 32492-2019")</f>
        <v/>
      </c>
    </row>
    <row r="29" ht="15" customHeight="1">
      <c r="A29" t="inlineStr">
        <is>
          <t>A 38647-2019</t>
        </is>
      </c>
      <c r="B29" s="1" t="n">
        <v>43686</v>
      </c>
      <c r="C29" s="1" t="n">
        <v>45672</v>
      </c>
      <c r="D29" t="inlineStr">
        <is>
          <t>NORRBOTTENS LÄN</t>
        </is>
      </c>
      <c r="E29" t="inlineStr">
        <is>
          <t>GÄLLIVARE</t>
        </is>
      </c>
      <c r="F29" t="inlineStr">
        <is>
          <t>Sveaskog</t>
        </is>
      </c>
      <c r="G29" t="n">
        <v>5.9</v>
      </c>
      <c r="H29" t="n">
        <v>3</v>
      </c>
      <c r="I29" t="n">
        <v>3</v>
      </c>
      <c r="J29" t="n">
        <v>1</v>
      </c>
      <c r="K29" t="n">
        <v>1</v>
      </c>
      <c r="L29" t="n">
        <v>0</v>
      </c>
      <c r="M29" t="n">
        <v>0</v>
      </c>
      <c r="N29" t="n">
        <v>0</v>
      </c>
      <c r="O29" t="n">
        <v>2</v>
      </c>
      <c r="P29" t="n">
        <v>1</v>
      </c>
      <c r="Q29" t="n">
        <v>5</v>
      </c>
      <c r="R29" s="2" t="inlineStr">
        <is>
          <t>Norna
Äggvaxskivling
Grönkulla
Spindelblomster
Ögonpyrola</t>
        </is>
      </c>
      <c r="S29">
        <f>HYPERLINK("https://klasma.github.io/Logging_2523/artfynd/A 38647-2019 artfynd.xlsx", "A 38647-2019")</f>
        <v/>
      </c>
      <c r="T29">
        <f>HYPERLINK("https://klasma.github.io/Logging_2523/kartor/A 38647-2019 karta.png", "A 38647-2019")</f>
        <v/>
      </c>
      <c r="V29">
        <f>HYPERLINK("https://klasma.github.io/Logging_2523/klagomål/A 38647-2019 FSC-klagomål.docx", "A 38647-2019")</f>
        <v/>
      </c>
      <c r="W29">
        <f>HYPERLINK("https://klasma.github.io/Logging_2523/klagomålsmail/A 38647-2019 FSC-klagomål mail.docx", "A 38647-2019")</f>
        <v/>
      </c>
      <c r="X29">
        <f>HYPERLINK("https://klasma.github.io/Logging_2523/tillsyn/A 38647-2019 tillsynsbegäran.docx", "A 38647-2019")</f>
        <v/>
      </c>
      <c r="Y29">
        <f>HYPERLINK("https://klasma.github.io/Logging_2523/tillsynsmail/A 38647-2019 tillsynsbegäran mail.docx", "A 38647-2019")</f>
        <v/>
      </c>
    </row>
    <row r="30" ht="15" customHeight="1">
      <c r="A30" t="inlineStr">
        <is>
          <t>A 56289-2021</t>
        </is>
      </c>
      <c r="B30" s="1" t="n">
        <v>44479</v>
      </c>
      <c r="C30" s="1" t="n">
        <v>45672</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45672</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45672</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45672</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45672</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45672</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45672</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45672</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45672</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45672</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45672</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45672</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45672</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45672</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45672</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45672</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45672</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45672</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45672</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45672</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45672</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45672</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45672</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45672</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45672</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45672</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45672</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45672</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45672</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45672</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45672</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45672</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45672</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45672</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45672</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45672</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45672</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45672</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45672</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45672</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45672</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45672</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45672</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45672</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45672</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45672</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45672</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45672</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45672</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45672</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45672</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45672</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45672</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45672</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45672</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45672</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45672</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45672</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45672</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45672</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45672</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45672</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45672</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45672</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45672</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45672</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45672</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45672</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45672</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45672</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45672</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45672</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45672</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45672</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45672</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45672</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45672</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45672</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45672</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19954-2019</t>
        </is>
      </c>
      <c r="B109" s="1" t="n">
        <v>43569</v>
      </c>
      <c r="C109" s="1" t="n">
        <v>45672</v>
      </c>
      <c r="D109" t="inlineStr">
        <is>
          <t>NORRBOTTENS LÄN</t>
        </is>
      </c>
      <c r="E109" t="inlineStr">
        <is>
          <t>GÄLLIVARE</t>
        </is>
      </c>
      <c r="G109" t="n">
        <v>1.9</v>
      </c>
      <c r="H109" t="n">
        <v>0</v>
      </c>
      <c r="I109" t="n">
        <v>0</v>
      </c>
      <c r="J109" t="n">
        <v>0</v>
      </c>
      <c r="K109" t="n">
        <v>0</v>
      </c>
      <c r="L109" t="n">
        <v>0</v>
      </c>
      <c r="M109" t="n">
        <v>0</v>
      </c>
      <c r="N109" t="n">
        <v>0</v>
      </c>
      <c r="O109" t="n">
        <v>0</v>
      </c>
      <c r="P109" t="n">
        <v>0</v>
      </c>
      <c r="Q109" t="n">
        <v>0</v>
      </c>
      <c r="R109" s="2" t="inlineStr"/>
    </row>
    <row r="110" ht="15" customHeight="1">
      <c r="A110" t="inlineStr">
        <is>
          <t>A 21118-2019</t>
        </is>
      </c>
      <c r="B110" s="1" t="n">
        <v>43578</v>
      </c>
      <c r="C110" s="1" t="n">
        <v>45672</v>
      </c>
      <c r="D110" t="inlineStr">
        <is>
          <t>NORRBOTTENS LÄN</t>
        </is>
      </c>
      <c r="E110" t="inlineStr">
        <is>
          <t>GÄLLIVARE</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21556-2019</t>
        </is>
      </c>
      <c r="B111" s="1" t="n">
        <v>43579</v>
      </c>
      <c r="C111" s="1" t="n">
        <v>45672</v>
      </c>
      <c r="D111" t="inlineStr">
        <is>
          <t>NORRBOTTENS LÄN</t>
        </is>
      </c>
      <c r="E111" t="inlineStr">
        <is>
          <t>GÄLLIVARE</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22481-2019</t>
        </is>
      </c>
      <c r="B112" s="1" t="n">
        <v>43587</v>
      </c>
      <c r="C112" s="1" t="n">
        <v>45672</v>
      </c>
      <c r="D112" t="inlineStr">
        <is>
          <t>NORRBOTTENS LÄN</t>
        </is>
      </c>
      <c r="E112" t="inlineStr">
        <is>
          <t>GÄLLIVARE</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23806-2019</t>
        </is>
      </c>
      <c r="B113" s="1" t="n">
        <v>43595</v>
      </c>
      <c r="C113" s="1" t="n">
        <v>45672</v>
      </c>
      <c r="D113" t="inlineStr">
        <is>
          <t>NORRBOTTENS LÄN</t>
        </is>
      </c>
      <c r="E113" t="inlineStr">
        <is>
          <t>GÄLLIVARE</t>
        </is>
      </c>
      <c r="G113" t="n">
        <v>10.4</v>
      </c>
      <c r="H113" t="n">
        <v>0</v>
      </c>
      <c r="I113" t="n">
        <v>0</v>
      </c>
      <c r="J113" t="n">
        <v>0</v>
      </c>
      <c r="K113" t="n">
        <v>0</v>
      </c>
      <c r="L113" t="n">
        <v>0</v>
      </c>
      <c r="M113" t="n">
        <v>0</v>
      </c>
      <c r="N113" t="n">
        <v>0</v>
      </c>
      <c r="O113" t="n">
        <v>0</v>
      </c>
      <c r="P113" t="n">
        <v>0</v>
      </c>
      <c r="Q113" t="n">
        <v>0</v>
      </c>
      <c r="R113" s="2" t="inlineStr"/>
    </row>
    <row r="114" ht="15" customHeight="1">
      <c r="A114" t="inlineStr">
        <is>
          <t>A 23812-2019</t>
        </is>
      </c>
      <c r="B114" s="1" t="n">
        <v>43595</v>
      </c>
      <c r="C114" s="1" t="n">
        <v>45672</v>
      </c>
      <c r="D114" t="inlineStr">
        <is>
          <t>NORRBOTTENS LÄN</t>
        </is>
      </c>
      <c r="E114" t="inlineStr">
        <is>
          <t>GÄLLIVARE</t>
        </is>
      </c>
      <c r="G114" t="n">
        <v>5.1</v>
      </c>
      <c r="H114" t="n">
        <v>0</v>
      </c>
      <c r="I114" t="n">
        <v>0</v>
      </c>
      <c r="J114" t="n">
        <v>0</v>
      </c>
      <c r="K114" t="n">
        <v>0</v>
      </c>
      <c r="L114" t="n">
        <v>0</v>
      </c>
      <c r="M114" t="n">
        <v>0</v>
      </c>
      <c r="N114" t="n">
        <v>0</v>
      </c>
      <c r="O114" t="n">
        <v>0</v>
      </c>
      <c r="P114" t="n">
        <v>0</v>
      </c>
      <c r="Q114" t="n">
        <v>0</v>
      </c>
      <c r="R114" s="2" t="inlineStr"/>
    </row>
    <row r="115" ht="15" customHeight="1">
      <c r="A115" t="inlineStr">
        <is>
          <t>A 23880-2019</t>
        </is>
      </c>
      <c r="B115" s="1" t="n">
        <v>43595</v>
      </c>
      <c r="C115" s="1" t="n">
        <v>45672</v>
      </c>
      <c r="D115" t="inlineStr">
        <is>
          <t>NORRBOTTENS LÄN</t>
        </is>
      </c>
      <c r="E115" t="inlineStr">
        <is>
          <t>GÄLLIVARE</t>
        </is>
      </c>
      <c r="G115" t="n">
        <v>2.3</v>
      </c>
      <c r="H115" t="n">
        <v>0</v>
      </c>
      <c r="I115" t="n">
        <v>0</v>
      </c>
      <c r="J115" t="n">
        <v>0</v>
      </c>
      <c r="K115" t="n">
        <v>0</v>
      </c>
      <c r="L115" t="n">
        <v>0</v>
      </c>
      <c r="M115" t="n">
        <v>0</v>
      </c>
      <c r="N115" t="n">
        <v>0</v>
      </c>
      <c r="O115" t="n">
        <v>0</v>
      </c>
      <c r="P115" t="n">
        <v>0</v>
      </c>
      <c r="Q115" t="n">
        <v>0</v>
      </c>
      <c r="R115" s="2" t="inlineStr"/>
    </row>
    <row r="116" ht="15" customHeight="1">
      <c r="A116" t="inlineStr">
        <is>
          <t>A 24996-2019</t>
        </is>
      </c>
      <c r="B116" s="1" t="n">
        <v>43600</v>
      </c>
      <c r="C116" s="1" t="n">
        <v>45672</v>
      </c>
      <c r="D116" t="inlineStr">
        <is>
          <t>NORRBOTTENS LÄN</t>
        </is>
      </c>
      <c r="E116" t="inlineStr">
        <is>
          <t>GÄLLIVARE</t>
        </is>
      </c>
      <c r="G116" t="n">
        <v>5.5</v>
      </c>
      <c r="H116" t="n">
        <v>0</v>
      </c>
      <c r="I116" t="n">
        <v>0</v>
      </c>
      <c r="J116" t="n">
        <v>0</v>
      </c>
      <c r="K116" t="n">
        <v>0</v>
      </c>
      <c r="L116" t="n">
        <v>0</v>
      </c>
      <c r="M116" t="n">
        <v>0</v>
      </c>
      <c r="N116" t="n">
        <v>0</v>
      </c>
      <c r="O116" t="n">
        <v>0</v>
      </c>
      <c r="P116" t="n">
        <v>0</v>
      </c>
      <c r="Q116" t="n">
        <v>0</v>
      </c>
      <c r="R116" s="2" t="inlineStr"/>
    </row>
    <row r="117" ht="15" customHeight="1">
      <c r="A117" t="inlineStr">
        <is>
          <t>A 27498-2019</t>
        </is>
      </c>
      <c r="B117" s="1" t="n">
        <v>43612</v>
      </c>
      <c r="C117" s="1" t="n">
        <v>45672</v>
      </c>
      <c r="D117" t="inlineStr">
        <is>
          <t>NORRBOTTENS LÄN</t>
        </is>
      </c>
      <c r="E117" t="inlineStr">
        <is>
          <t>GÄLLIVARE</t>
        </is>
      </c>
      <c r="F117" t="inlineStr">
        <is>
          <t>Allmännings- och besparingsskogar</t>
        </is>
      </c>
      <c r="G117" t="n">
        <v>24</v>
      </c>
      <c r="H117" t="n">
        <v>0</v>
      </c>
      <c r="I117" t="n">
        <v>0</v>
      </c>
      <c r="J117" t="n">
        <v>0</v>
      </c>
      <c r="K117" t="n">
        <v>0</v>
      </c>
      <c r="L117" t="n">
        <v>0</v>
      </c>
      <c r="M117" t="n">
        <v>0</v>
      </c>
      <c r="N117" t="n">
        <v>0</v>
      </c>
      <c r="O117" t="n">
        <v>0</v>
      </c>
      <c r="P117" t="n">
        <v>0</v>
      </c>
      <c r="Q117" t="n">
        <v>0</v>
      </c>
      <c r="R117" s="2" t="inlineStr"/>
    </row>
    <row r="118" ht="15" customHeight="1">
      <c r="A118" t="inlineStr">
        <is>
          <t>A 26948-2019</t>
        </is>
      </c>
      <c r="B118" s="1" t="n">
        <v>43613</v>
      </c>
      <c r="C118" s="1" t="n">
        <v>45672</v>
      </c>
      <c r="D118" t="inlineStr">
        <is>
          <t>NORRBOTTENS LÄN</t>
        </is>
      </c>
      <c r="E118" t="inlineStr">
        <is>
          <t>GÄLLIVARE</t>
        </is>
      </c>
      <c r="F118" t="inlineStr">
        <is>
          <t>SCA</t>
        </is>
      </c>
      <c r="G118" t="n">
        <v>32.6</v>
      </c>
      <c r="H118" t="n">
        <v>0</v>
      </c>
      <c r="I118" t="n">
        <v>0</v>
      </c>
      <c r="J118" t="n">
        <v>0</v>
      </c>
      <c r="K118" t="n">
        <v>0</v>
      </c>
      <c r="L118" t="n">
        <v>0</v>
      </c>
      <c r="M118" t="n">
        <v>0</v>
      </c>
      <c r="N118" t="n">
        <v>0</v>
      </c>
      <c r="O118" t="n">
        <v>0</v>
      </c>
      <c r="P118" t="n">
        <v>0</v>
      </c>
      <c r="Q118" t="n">
        <v>0</v>
      </c>
      <c r="R118" s="2" t="inlineStr"/>
    </row>
    <row r="119" ht="15" customHeight="1">
      <c r="A119" t="inlineStr">
        <is>
          <t>A 26743-2019</t>
        </is>
      </c>
      <c r="B119" s="1" t="n">
        <v>43613</v>
      </c>
      <c r="C119" s="1" t="n">
        <v>45672</v>
      </c>
      <c r="D119" t="inlineStr">
        <is>
          <t>NORRBOTTENS LÄN</t>
        </is>
      </c>
      <c r="E119" t="inlineStr">
        <is>
          <t>GÄLLIVARE</t>
        </is>
      </c>
      <c r="F119" t="inlineStr">
        <is>
          <t>Sveaskog</t>
        </is>
      </c>
      <c r="G119" t="n">
        <v>7.6</v>
      </c>
      <c r="H119" t="n">
        <v>0</v>
      </c>
      <c r="I119" t="n">
        <v>0</v>
      </c>
      <c r="J119" t="n">
        <v>0</v>
      </c>
      <c r="K119" t="n">
        <v>0</v>
      </c>
      <c r="L119" t="n">
        <v>0</v>
      </c>
      <c r="M119" t="n">
        <v>0</v>
      </c>
      <c r="N119" t="n">
        <v>0</v>
      </c>
      <c r="O119" t="n">
        <v>0</v>
      </c>
      <c r="P119" t="n">
        <v>0</v>
      </c>
      <c r="Q119" t="n">
        <v>0</v>
      </c>
      <c r="R119" s="2" t="inlineStr"/>
    </row>
    <row r="120" ht="15" customHeight="1">
      <c r="A120" t="inlineStr">
        <is>
          <t>A 27043-2019</t>
        </is>
      </c>
      <c r="B120" s="1" t="n">
        <v>43614</v>
      </c>
      <c r="C120" s="1" t="n">
        <v>45672</v>
      </c>
      <c r="D120" t="inlineStr">
        <is>
          <t>NORRBOTTENS LÄN</t>
        </is>
      </c>
      <c r="E120" t="inlineStr">
        <is>
          <t>GÄLLIVARE</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27245-2019</t>
        </is>
      </c>
      <c r="B121" s="1" t="n">
        <v>43614</v>
      </c>
      <c r="C121" s="1" t="n">
        <v>45672</v>
      </c>
      <c r="D121" t="inlineStr">
        <is>
          <t>NORRBOTTENS LÄN</t>
        </is>
      </c>
      <c r="E121" t="inlineStr">
        <is>
          <t>GÄLLIVARE</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27243-2019</t>
        </is>
      </c>
      <c r="B122" s="1" t="n">
        <v>43614</v>
      </c>
      <c r="C122" s="1" t="n">
        <v>45672</v>
      </c>
      <c r="D122" t="inlineStr">
        <is>
          <t>NORRBOTTENS LÄN</t>
        </is>
      </c>
      <c r="E122" t="inlineStr">
        <is>
          <t>GÄLLIVARE</t>
        </is>
      </c>
      <c r="F122" t="inlineStr">
        <is>
          <t>SCA</t>
        </is>
      </c>
      <c r="G122" t="n">
        <v>7.4</v>
      </c>
      <c r="H122" t="n">
        <v>0</v>
      </c>
      <c r="I122" t="n">
        <v>0</v>
      </c>
      <c r="J122" t="n">
        <v>0</v>
      </c>
      <c r="K122" t="n">
        <v>0</v>
      </c>
      <c r="L122" t="n">
        <v>0</v>
      </c>
      <c r="M122" t="n">
        <v>0</v>
      </c>
      <c r="N122" t="n">
        <v>0</v>
      </c>
      <c r="O122" t="n">
        <v>0</v>
      </c>
      <c r="P122" t="n">
        <v>0</v>
      </c>
      <c r="Q122" t="n">
        <v>0</v>
      </c>
      <c r="R122" s="2" t="inlineStr"/>
    </row>
    <row r="123" ht="15" customHeight="1">
      <c r="A123" t="inlineStr">
        <is>
          <t>A 27247-2019</t>
        </is>
      </c>
      <c r="B123" s="1" t="n">
        <v>43614</v>
      </c>
      <c r="C123" s="1" t="n">
        <v>45672</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28635-2019</t>
        </is>
      </c>
      <c r="B124" s="1" t="n">
        <v>43621</v>
      </c>
      <c r="C124" s="1" t="n">
        <v>45672</v>
      </c>
      <c r="D124" t="inlineStr">
        <is>
          <t>NORRBOTTENS LÄN</t>
        </is>
      </c>
      <c r="E124" t="inlineStr">
        <is>
          <t>GÄLLIVARE</t>
        </is>
      </c>
      <c r="F124" t="inlineStr">
        <is>
          <t>SCA</t>
        </is>
      </c>
      <c r="G124" t="n">
        <v>5.4</v>
      </c>
      <c r="H124" t="n">
        <v>0</v>
      </c>
      <c r="I124" t="n">
        <v>0</v>
      </c>
      <c r="J124" t="n">
        <v>0</v>
      </c>
      <c r="K124" t="n">
        <v>0</v>
      </c>
      <c r="L124" t="n">
        <v>0</v>
      </c>
      <c r="M124" t="n">
        <v>0</v>
      </c>
      <c r="N124" t="n">
        <v>0</v>
      </c>
      <c r="O124" t="n">
        <v>0</v>
      </c>
      <c r="P124" t="n">
        <v>0</v>
      </c>
      <c r="Q124" t="n">
        <v>0</v>
      </c>
      <c r="R124" s="2" t="inlineStr"/>
    </row>
    <row r="125" ht="15" customHeight="1">
      <c r="A125" t="inlineStr">
        <is>
          <t>A 28634-2019</t>
        </is>
      </c>
      <c r="B125" s="1" t="n">
        <v>43621</v>
      </c>
      <c r="C125" s="1" t="n">
        <v>45672</v>
      </c>
      <c r="D125" t="inlineStr">
        <is>
          <t>NORRBOTTENS LÄN</t>
        </is>
      </c>
      <c r="E125" t="inlineStr">
        <is>
          <t>GÄLLIVARE</t>
        </is>
      </c>
      <c r="F125" t="inlineStr">
        <is>
          <t>SCA</t>
        </is>
      </c>
      <c r="G125" t="n">
        <v>7.1</v>
      </c>
      <c r="H125" t="n">
        <v>0</v>
      </c>
      <c r="I125" t="n">
        <v>0</v>
      </c>
      <c r="J125" t="n">
        <v>0</v>
      </c>
      <c r="K125" t="n">
        <v>0</v>
      </c>
      <c r="L125" t="n">
        <v>0</v>
      </c>
      <c r="M125" t="n">
        <v>0</v>
      </c>
      <c r="N125" t="n">
        <v>0</v>
      </c>
      <c r="O125" t="n">
        <v>0</v>
      </c>
      <c r="P125" t="n">
        <v>0</v>
      </c>
      <c r="Q125" t="n">
        <v>0</v>
      </c>
      <c r="R125" s="2" t="inlineStr"/>
    </row>
    <row r="126" ht="15" customHeight="1">
      <c r="A126" t="inlineStr">
        <is>
          <t>A 28633-2019</t>
        </is>
      </c>
      <c r="B126" s="1" t="n">
        <v>43621</v>
      </c>
      <c r="C126" s="1" t="n">
        <v>45672</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28476-2019</t>
        </is>
      </c>
      <c r="B127" s="1" t="n">
        <v>43626</v>
      </c>
      <c r="C127" s="1" t="n">
        <v>45672</v>
      </c>
      <c r="D127" t="inlineStr">
        <is>
          <t>NORRBOTTENS LÄN</t>
        </is>
      </c>
      <c r="E127" t="inlineStr">
        <is>
          <t>GÄLLIVARE</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29148-2019</t>
        </is>
      </c>
      <c r="B128" s="1" t="n">
        <v>43628</v>
      </c>
      <c r="C128" s="1" t="n">
        <v>45672</v>
      </c>
      <c r="D128" t="inlineStr">
        <is>
          <t>NORRBOTTENS LÄN</t>
        </is>
      </c>
      <c r="E128" t="inlineStr">
        <is>
          <t>GÄLLIVARE</t>
        </is>
      </c>
      <c r="F128" t="inlineStr">
        <is>
          <t>SCA</t>
        </is>
      </c>
      <c r="G128" t="n">
        <v>11.3</v>
      </c>
      <c r="H128" t="n">
        <v>0</v>
      </c>
      <c r="I128" t="n">
        <v>0</v>
      </c>
      <c r="J128" t="n">
        <v>0</v>
      </c>
      <c r="K128" t="n">
        <v>0</v>
      </c>
      <c r="L128" t="n">
        <v>0</v>
      </c>
      <c r="M128" t="n">
        <v>0</v>
      </c>
      <c r="N128" t="n">
        <v>0</v>
      </c>
      <c r="O128" t="n">
        <v>0</v>
      </c>
      <c r="P128" t="n">
        <v>0</v>
      </c>
      <c r="Q128" t="n">
        <v>0</v>
      </c>
      <c r="R128" s="2" t="inlineStr"/>
    </row>
    <row r="129" ht="15" customHeight="1">
      <c r="A129" t="inlineStr">
        <is>
          <t>A 29149-2019</t>
        </is>
      </c>
      <c r="B129" s="1" t="n">
        <v>43628</v>
      </c>
      <c r="C129" s="1" t="n">
        <v>45672</v>
      </c>
      <c r="D129" t="inlineStr">
        <is>
          <t>NORRBOTTENS LÄN</t>
        </is>
      </c>
      <c r="E129" t="inlineStr">
        <is>
          <t>GÄLLIVARE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29552-2019</t>
        </is>
      </c>
      <c r="B130" s="1" t="n">
        <v>43630</v>
      </c>
      <c r="C130" s="1" t="n">
        <v>45672</v>
      </c>
      <c r="D130" t="inlineStr">
        <is>
          <t>NORRBOTTENS LÄN</t>
        </is>
      </c>
      <c r="E130" t="inlineStr">
        <is>
          <t>GÄLLIVARE</t>
        </is>
      </c>
      <c r="F130" t="inlineStr">
        <is>
          <t>Sveaskog</t>
        </is>
      </c>
      <c r="G130" t="n">
        <v>73.09999999999999</v>
      </c>
      <c r="H130" t="n">
        <v>0</v>
      </c>
      <c r="I130" t="n">
        <v>0</v>
      </c>
      <c r="J130" t="n">
        <v>0</v>
      </c>
      <c r="K130" t="n">
        <v>0</v>
      </c>
      <c r="L130" t="n">
        <v>0</v>
      </c>
      <c r="M130" t="n">
        <v>0</v>
      </c>
      <c r="N130" t="n">
        <v>0</v>
      </c>
      <c r="O130" t="n">
        <v>0</v>
      </c>
      <c r="P130" t="n">
        <v>0</v>
      </c>
      <c r="Q130" t="n">
        <v>0</v>
      </c>
      <c r="R130" s="2" t="inlineStr"/>
    </row>
    <row r="131" ht="15" customHeight="1">
      <c r="A131" t="inlineStr">
        <is>
          <t>A 30501-2019</t>
        </is>
      </c>
      <c r="B131" s="1" t="n">
        <v>43634</v>
      </c>
      <c r="C131" s="1" t="n">
        <v>45672</v>
      </c>
      <c r="D131" t="inlineStr">
        <is>
          <t>NORRBOTTENS LÄN</t>
        </is>
      </c>
      <c r="E131" t="inlineStr">
        <is>
          <t>GÄLLIVARE</t>
        </is>
      </c>
      <c r="G131" t="n">
        <v>4.5</v>
      </c>
      <c r="H131" t="n">
        <v>0</v>
      </c>
      <c r="I131" t="n">
        <v>0</v>
      </c>
      <c r="J131" t="n">
        <v>0</v>
      </c>
      <c r="K131" t="n">
        <v>0</v>
      </c>
      <c r="L131" t="n">
        <v>0</v>
      </c>
      <c r="M131" t="n">
        <v>0</v>
      </c>
      <c r="N131" t="n">
        <v>0</v>
      </c>
      <c r="O131" t="n">
        <v>0</v>
      </c>
      <c r="P131" t="n">
        <v>0</v>
      </c>
      <c r="Q131" t="n">
        <v>0</v>
      </c>
      <c r="R131" s="2" t="inlineStr"/>
    </row>
    <row r="132" ht="15" customHeight="1">
      <c r="A132" t="inlineStr">
        <is>
          <t>A 30652-2019</t>
        </is>
      </c>
      <c r="B132" s="1" t="n">
        <v>43636</v>
      </c>
      <c r="C132" s="1" t="n">
        <v>45672</v>
      </c>
      <c r="D132" t="inlineStr">
        <is>
          <t>NORRBOTTENS LÄN</t>
        </is>
      </c>
      <c r="E132" t="inlineStr">
        <is>
          <t>GÄLLIVARE</t>
        </is>
      </c>
      <c r="F132" t="inlineStr">
        <is>
          <t>Sveaskog</t>
        </is>
      </c>
      <c r="G132" t="n">
        <v>7.9</v>
      </c>
      <c r="H132" t="n">
        <v>0</v>
      </c>
      <c r="I132" t="n">
        <v>0</v>
      </c>
      <c r="J132" t="n">
        <v>0</v>
      </c>
      <c r="K132" t="n">
        <v>0</v>
      </c>
      <c r="L132" t="n">
        <v>0</v>
      </c>
      <c r="M132" t="n">
        <v>0</v>
      </c>
      <c r="N132" t="n">
        <v>0</v>
      </c>
      <c r="O132" t="n">
        <v>0</v>
      </c>
      <c r="P132" t="n">
        <v>0</v>
      </c>
      <c r="Q132" t="n">
        <v>0</v>
      </c>
      <c r="R132" s="2" t="inlineStr"/>
    </row>
    <row r="133" ht="15" customHeight="1">
      <c r="A133" t="inlineStr">
        <is>
          <t>A 31453-2019</t>
        </is>
      </c>
      <c r="B133" s="1" t="n">
        <v>43640</v>
      </c>
      <c r="C133" s="1" t="n">
        <v>45672</v>
      </c>
      <c r="D133" t="inlineStr">
        <is>
          <t>NORRBOTTENS LÄN</t>
        </is>
      </c>
      <c r="E133" t="inlineStr">
        <is>
          <t>GÄLLIVARE</t>
        </is>
      </c>
      <c r="G133" t="n">
        <v>5.9</v>
      </c>
      <c r="H133" t="n">
        <v>0</v>
      </c>
      <c r="I133" t="n">
        <v>0</v>
      </c>
      <c r="J133" t="n">
        <v>0</v>
      </c>
      <c r="K133" t="n">
        <v>0</v>
      </c>
      <c r="L133" t="n">
        <v>0</v>
      </c>
      <c r="M133" t="n">
        <v>0</v>
      </c>
      <c r="N133" t="n">
        <v>0</v>
      </c>
      <c r="O133" t="n">
        <v>0</v>
      </c>
      <c r="P133" t="n">
        <v>0</v>
      </c>
      <c r="Q133" t="n">
        <v>0</v>
      </c>
      <c r="R133" s="2" t="inlineStr"/>
    </row>
    <row r="134" ht="15" customHeight="1">
      <c r="A134" t="inlineStr">
        <is>
          <t>A 31525-2019</t>
        </is>
      </c>
      <c r="B134" s="1" t="n">
        <v>43641</v>
      </c>
      <c r="C134" s="1" t="n">
        <v>45672</v>
      </c>
      <c r="D134" t="inlineStr">
        <is>
          <t>NORRBOTTENS LÄN</t>
        </is>
      </c>
      <c r="E134" t="inlineStr">
        <is>
          <t>GÄLLIVARE</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31515-2019</t>
        </is>
      </c>
      <c r="B135" s="1" t="n">
        <v>43641</v>
      </c>
      <c r="C135" s="1" t="n">
        <v>45672</v>
      </c>
      <c r="D135" t="inlineStr">
        <is>
          <t>NORRBOTTENS LÄN</t>
        </is>
      </c>
      <c r="E135" t="inlineStr">
        <is>
          <t>GÄLLIVARE</t>
        </is>
      </c>
      <c r="F135" t="inlineStr">
        <is>
          <t>Sveaskog</t>
        </is>
      </c>
      <c r="G135" t="n">
        <v>13.6</v>
      </c>
      <c r="H135" t="n">
        <v>0</v>
      </c>
      <c r="I135" t="n">
        <v>0</v>
      </c>
      <c r="J135" t="n">
        <v>0</v>
      </c>
      <c r="K135" t="n">
        <v>0</v>
      </c>
      <c r="L135" t="n">
        <v>0</v>
      </c>
      <c r="M135" t="n">
        <v>0</v>
      </c>
      <c r="N135" t="n">
        <v>0</v>
      </c>
      <c r="O135" t="n">
        <v>0</v>
      </c>
      <c r="P135" t="n">
        <v>0</v>
      </c>
      <c r="Q135" t="n">
        <v>0</v>
      </c>
      <c r="R135" s="2" t="inlineStr"/>
    </row>
    <row r="136" ht="15" customHeight="1">
      <c r="A136" t="inlineStr">
        <is>
          <t>A 32671-2019</t>
        </is>
      </c>
      <c r="B136" s="1" t="n">
        <v>43647</v>
      </c>
      <c r="C136" s="1" t="n">
        <v>45672</v>
      </c>
      <c r="D136" t="inlineStr">
        <is>
          <t>NORRBOTTENS LÄN</t>
        </is>
      </c>
      <c r="E136" t="inlineStr">
        <is>
          <t>GÄLLIVARE</t>
        </is>
      </c>
      <c r="G136" t="n">
        <v>10</v>
      </c>
      <c r="H136" t="n">
        <v>0</v>
      </c>
      <c r="I136" t="n">
        <v>0</v>
      </c>
      <c r="J136" t="n">
        <v>0</v>
      </c>
      <c r="K136" t="n">
        <v>0</v>
      </c>
      <c r="L136" t="n">
        <v>0</v>
      </c>
      <c r="M136" t="n">
        <v>0</v>
      </c>
      <c r="N136" t="n">
        <v>0</v>
      </c>
      <c r="O136" t="n">
        <v>0</v>
      </c>
      <c r="P136" t="n">
        <v>0</v>
      </c>
      <c r="Q136" t="n">
        <v>0</v>
      </c>
      <c r="R136" s="2" t="inlineStr"/>
    </row>
    <row r="137" ht="15" customHeight="1">
      <c r="A137" t="inlineStr">
        <is>
          <t>A 32549-2019</t>
        </is>
      </c>
      <c r="B137" s="1" t="n">
        <v>43647</v>
      </c>
      <c r="C137" s="1" t="n">
        <v>45672</v>
      </c>
      <c r="D137" t="inlineStr">
        <is>
          <t>NORRBOTTENS LÄN</t>
        </is>
      </c>
      <c r="E137" t="inlineStr">
        <is>
          <t>GÄLLIVARE</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32869-2019</t>
        </is>
      </c>
      <c r="B138" s="1" t="n">
        <v>43648</v>
      </c>
      <c r="C138" s="1" t="n">
        <v>45672</v>
      </c>
      <c r="D138" t="inlineStr">
        <is>
          <t>NORRBOTTENS LÄN</t>
        </is>
      </c>
      <c r="E138" t="inlineStr">
        <is>
          <t>GÄLLIVARE</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34053-2019</t>
        </is>
      </c>
      <c r="B139" s="1" t="n">
        <v>43654</v>
      </c>
      <c r="C139" s="1" t="n">
        <v>45672</v>
      </c>
      <c r="D139" t="inlineStr">
        <is>
          <t>NORRBOTTENS LÄN</t>
        </is>
      </c>
      <c r="E139" t="inlineStr">
        <is>
          <t>GÄLLIVARE</t>
        </is>
      </c>
      <c r="F139" t="inlineStr">
        <is>
          <t>Sveaskog</t>
        </is>
      </c>
      <c r="G139" t="n">
        <v>13.8</v>
      </c>
      <c r="H139" t="n">
        <v>0</v>
      </c>
      <c r="I139" t="n">
        <v>0</v>
      </c>
      <c r="J139" t="n">
        <v>0</v>
      </c>
      <c r="K139" t="n">
        <v>0</v>
      </c>
      <c r="L139" t="n">
        <v>0</v>
      </c>
      <c r="M139" t="n">
        <v>0</v>
      </c>
      <c r="N139" t="n">
        <v>0</v>
      </c>
      <c r="O139" t="n">
        <v>0</v>
      </c>
      <c r="P139" t="n">
        <v>0</v>
      </c>
      <c r="Q139" t="n">
        <v>0</v>
      </c>
      <c r="R139" s="2" t="inlineStr"/>
    </row>
    <row r="140" ht="15" customHeight="1">
      <c r="A140" t="inlineStr">
        <is>
          <t>A 34049-2019</t>
        </is>
      </c>
      <c r="B140" s="1" t="n">
        <v>43654</v>
      </c>
      <c r="C140" s="1" t="n">
        <v>45672</v>
      </c>
      <c r="D140" t="inlineStr">
        <is>
          <t>NORRBOTTENS LÄN</t>
        </is>
      </c>
      <c r="E140" t="inlineStr">
        <is>
          <t>GÄLLIVARE</t>
        </is>
      </c>
      <c r="F140" t="inlineStr">
        <is>
          <t>Sveaskog</t>
        </is>
      </c>
      <c r="G140" t="n">
        <v>10.2</v>
      </c>
      <c r="H140" t="n">
        <v>0</v>
      </c>
      <c r="I140" t="n">
        <v>0</v>
      </c>
      <c r="J140" t="n">
        <v>0</v>
      </c>
      <c r="K140" t="n">
        <v>0</v>
      </c>
      <c r="L140" t="n">
        <v>0</v>
      </c>
      <c r="M140" t="n">
        <v>0</v>
      </c>
      <c r="N140" t="n">
        <v>0</v>
      </c>
      <c r="O140" t="n">
        <v>0</v>
      </c>
      <c r="P140" t="n">
        <v>0</v>
      </c>
      <c r="Q140" t="n">
        <v>0</v>
      </c>
      <c r="R140" s="2" t="inlineStr"/>
    </row>
    <row r="141" ht="15" customHeight="1">
      <c r="A141" t="inlineStr">
        <is>
          <t>A 34255-2019</t>
        </is>
      </c>
      <c r="B141" s="1" t="n">
        <v>43655</v>
      </c>
      <c r="C141" s="1" t="n">
        <v>45672</v>
      </c>
      <c r="D141" t="inlineStr">
        <is>
          <t>NORRBOTTENS LÄN</t>
        </is>
      </c>
      <c r="E141" t="inlineStr">
        <is>
          <t>GÄLLIVARE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36046-2019</t>
        </is>
      </c>
      <c r="B142" s="1" t="n">
        <v>43668</v>
      </c>
      <c r="C142" s="1" t="n">
        <v>45672</v>
      </c>
      <c r="D142" t="inlineStr">
        <is>
          <t>NORRBOTTENS LÄN</t>
        </is>
      </c>
      <c r="E142" t="inlineStr">
        <is>
          <t>GÄLLIVARE</t>
        </is>
      </c>
      <c r="F142" t="inlineStr">
        <is>
          <t>Sveaskog</t>
        </is>
      </c>
      <c r="G142" t="n">
        <v>14.9</v>
      </c>
      <c r="H142" t="n">
        <v>0</v>
      </c>
      <c r="I142" t="n">
        <v>0</v>
      </c>
      <c r="J142" t="n">
        <v>0</v>
      </c>
      <c r="K142" t="n">
        <v>0</v>
      </c>
      <c r="L142" t="n">
        <v>0</v>
      </c>
      <c r="M142" t="n">
        <v>0</v>
      </c>
      <c r="N142" t="n">
        <v>0</v>
      </c>
      <c r="O142" t="n">
        <v>0</v>
      </c>
      <c r="P142" t="n">
        <v>0</v>
      </c>
      <c r="Q142" t="n">
        <v>0</v>
      </c>
      <c r="R142" s="2" t="inlineStr"/>
    </row>
    <row r="143" ht="15" customHeight="1">
      <c r="A143" t="inlineStr">
        <is>
          <t>A 37123-2019</t>
        </is>
      </c>
      <c r="B143" s="1" t="n">
        <v>43676</v>
      </c>
      <c r="C143" s="1" t="n">
        <v>45672</v>
      </c>
      <c r="D143" t="inlineStr">
        <is>
          <t>NORRBOTTENS LÄN</t>
        </is>
      </c>
      <c r="E143" t="inlineStr">
        <is>
          <t>GÄLLIVARE</t>
        </is>
      </c>
      <c r="F143" t="inlineStr">
        <is>
          <t>SCA</t>
        </is>
      </c>
      <c r="G143" t="n">
        <v>3.5</v>
      </c>
      <c r="H143" t="n">
        <v>0</v>
      </c>
      <c r="I143" t="n">
        <v>0</v>
      </c>
      <c r="J143" t="n">
        <v>0</v>
      </c>
      <c r="K143" t="n">
        <v>0</v>
      </c>
      <c r="L143" t="n">
        <v>0</v>
      </c>
      <c r="M143" t="n">
        <v>0</v>
      </c>
      <c r="N143" t="n">
        <v>0</v>
      </c>
      <c r="O143" t="n">
        <v>0</v>
      </c>
      <c r="P143" t="n">
        <v>0</v>
      </c>
      <c r="Q143" t="n">
        <v>0</v>
      </c>
      <c r="R143" s="2" t="inlineStr"/>
    </row>
    <row r="144" ht="15" customHeight="1">
      <c r="A144" t="inlineStr">
        <is>
          <t>A 37122-2019</t>
        </is>
      </c>
      <c r="B144" s="1" t="n">
        <v>43676</v>
      </c>
      <c r="C144" s="1" t="n">
        <v>45672</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38322-2019</t>
        </is>
      </c>
      <c r="B145" s="1" t="n">
        <v>43684</v>
      </c>
      <c r="C145" s="1" t="n">
        <v>45672</v>
      </c>
      <c r="D145" t="inlineStr">
        <is>
          <t>NORRBOTTENS LÄN</t>
        </is>
      </c>
      <c r="E145" t="inlineStr">
        <is>
          <t>GÄLLIVARE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39604-2019</t>
        </is>
      </c>
      <c r="B146" s="1" t="n">
        <v>43686</v>
      </c>
      <c r="C146" s="1" t="n">
        <v>45672</v>
      </c>
      <c r="D146" t="inlineStr">
        <is>
          <t>NORRBOTTENS LÄN</t>
        </is>
      </c>
      <c r="E146" t="inlineStr">
        <is>
          <t>GÄLLIVARE</t>
        </is>
      </c>
      <c r="G146" t="n">
        <v>2</v>
      </c>
      <c r="H146" t="n">
        <v>0</v>
      </c>
      <c r="I146" t="n">
        <v>0</v>
      </c>
      <c r="J146" t="n">
        <v>0</v>
      </c>
      <c r="K146" t="n">
        <v>0</v>
      </c>
      <c r="L146" t="n">
        <v>0</v>
      </c>
      <c r="M146" t="n">
        <v>0</v>
      </c>
      <c r="N146" t="n">
        <v>0</v>
      </c>
      <c r="O146" t="n">
        <v>0</v>
      </c>
      <c r="P146" t="n">
        <v>0</v>
      </c>
      <c r="Q146" t="n">
        <v>0</v>
      </c>
      <c r="R146" s="2" t="inlineStr"/>
    </row>
    <row r="147" ht="15" customHeight="1">
      <c r="A147" t="inlineStr">
        <is>
          <t>A 39893-2019</t>
        </is>
      </c>
      <c r="B147" s="1" t="n">
        <v>43689</v>
      </c>
      <c r="C147" s="1" t="n">
        <v>45672</v>
      </c>
      <c r="D147" t="inlineStr">
        <is>
          <t>NORRBOTTENS LÄN</t>
        </is>
      </c>
      <c r="E147" t="inlineStr">
        <is>
          <t>GÄLLIVARE</t>
        </is>
      </c>
      <c r="G147" t="n">
        <v>7</v>
      </c>
      <c r="H147" t="n">
        <v>0</v>
      </c>
      <c r="I147" t="n">
        <v>0</v>
      </c>
      <c r="J147" t="n">
        <v>0</v>
      </c>
      <c r="K147" t="n">
        <v>0</v>
      </c>
      <c r="L147" t="n">
        <v>0</v>
      </c>
      <c r="M147" t="n">
        <v>0</v>
      </c>
      <c r="N147" t="n">
        <v>0</v>
      </c>
      <c r="O147" t="n">
        <v>0</v>
      </c>
      <c r="P147" t="n">
        <v>0</v>
      </c>
      <c r="Q147" t="n">
        <v>0</v>
      </c>
      <c r="R147" s="2" t="inlineStr"/>
    </row>
    <row r="148" ht="15" customHeight="1">
      <c r="A148" t="inlineStr">
        <is>
          <t>A 39907-2019</t>
        </is>
      </c>
      <c r="B148" s="1" t="n">
        <v>43689</v>
      </c>
      <c r="C148" s="1" t="n">
        <v>45672</v>
      </c>
      <c r="D148" t="inlineStr">
        <is>
          <t>NORRBOTTENS LÄN</t>
        </is>
      </c>
      <c r="E148" t="inlineStr">
        <is>
          <t>GÄLLIVARE</t>
        </is>
      </c>
      <c r="G148" t="n">
        <v>5.8</v>
      </c>
      <c r="H148" t="n">
        <v>0</v>
      </c>
      <c r="I148" t="n">
        <v>0</v>
      </c>
      <c r="J148" t="n">
        <v>0</v>
      </c>
      <c r="K148" t="n">
        <v>0</v>
      </c>
      <c r="L148" t="n">
        <v>0</v>
      </c>
      <c r="M148" t="n">
        <v>0</v>
      </c>
      <c r="N148" t="n">
        <v>0</v>
      </c>
      <c r="O148" t="n">
        <v>0</v>
      </c>
      <c r="P148" t="n">
        <v>0</v>
      </c>
      <c r="Q148" t="n">
        <v>0</v>
      </c>
      <c r="R148" s="2" t="inlineStr"/>
    </row>
    <row r="149" ht="15" customHeight="1">
      <c r="A149" t="inlineStr">
        <is>
          <t>A 40435-2019</t>
        </is>
      </c>
      <c r="B149" s="1" t="n">
        <v>43690</v>
      </c>
      <c r="C149" s="1" t="n">
        <v>45672</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39733-2019</t>
        </is>
      </c>
      <c r="B150" s="1" t="n">
        <v>43691</v>
      </c>
      <c r="C150" s="1" t="n">
        <v>45672</v>
      </c>
      <c r="D150" t="inlineStr">
        <is>
          <t>NORRBOTTENS LÄN</t>
        </is>
      </c>
      <c r="E150" t="inlineStr">
        <is>
          <t>GÄLLIVARE</t>
        </is>
      </c>
      <c r="G150" t="n">
        <v>10.2</v>
      </c>
      <c r="H150" t="n">
        <v>0</v>
      </c>
      <c r="I150" t="n">
        <v>0</v>
      </c>
      <c r="J150" t="n">
        <v>0</v>
      </c>
      <c r="K150" t="n">
        <v>0</v>
      </c>
      <c r="L150" t="n">
        <v>0</v>
      </c>
      <c r="M150" t="n">
        <v>0</v>
      </c>
      <c r="N150" t="n">
        <v>0</v>
      </c>
      <c r="O150" t="n">
        <v>0</v>
      </c>
      <c r="P150" t="n">
        <v>0</v>
      </c>
      <c r="Q150" t="n">
        <v>0</v>
      </c>
      <c r="R150" s="2" t="inlineStr"/>
    </row>
    <row r="151" ht="15" customHeight="1">
      <c r="A151" t="inlineStr">
        <is>
          <t>A 40147-2019</t>
        </is>
      </c>
      <c r="B151" s="1" t="n">
        <v>43693</v>
      </c>
      <c r="C151" s="1" t="n">
        <v>45672</v>
      </c>
      <c r="D151" t="inlineStr">
        <is>
          <t>NORRBOTTENS LÄN</t>
        </is>
      </c>
      <c r="E151" t="inlineStr">
        <is>
          <t>GÄLLIVARE</t>
        </is>
      </c>
      <c r="F151" t="inlineStr">
        <is>
          <t>Sveaskog</t>
        </is>
      </c>
      <c r="G151" t="n">
        <v>6.5</v>
      </c>
      <c r="H151" t="n">
        <v>0</v>
      </c>
      <c r="I151" t="n">
        <v>0</v>
      </c>
      <c r="J151" t="n">
        <v>0</v>
      </c>
      <c r="K151" t="n">
        <v>0</v>
      </c>
      <c r="L151" t="n">
        <v>0</v>
      </c>
      <c r="M151" t="n">
        <v>0</v>
      </c>
      <c r="N151" t="n">
        <v>0</v>
      </c>
      <c r="O151" t="n">
        <v>0</v>
      </c>
      <c r="P151" t="n">
        <v>0</v>
      </c>
      <c r="Q151" t="n">
        <v>0</v>
      </c>
      <c r="R151" s="2" t="inlineStr"/>
    </row>
    <row r="152" ht="15" customHeight="1">
      <c r="A152" t="inlineStr">
        <is>
          <t>A 42081-2019</t>
        </is>
      </c>
      <c r="B152" s="1" t="n">
        <v>43700</v>
      </c>
      <c r="C152" s="1" t="n">
        <v>45672</v>
      </c>
      <c r="D152" t="inlineStr">
        <is>
          <t>NORRBOTTENS LÄN</t>
        </is>
      </c>
      <c r="E152" t="inlineStr">
        <is>
          <t>GÄLLIVARE</t>
        </is>
      </c>
      <c r="F152" t="inlineStr">
        <is>
          <t>SCA</t>
        </is>
      </c>
      <c r="G152" t="n">
        <v>15.2</v>
      </c>
      <c r="H152" t="n">
        <v>0</v>
      </c>
      <c r="I152" t="n">
        <v>0</v>
      </c>
      <c r="J152" t="n">
        <v>0</v>
      </c>
      <c r="K152" t="n">
        <v>0</v>
      </c>
      <c r="L152" t="n">
        <v>0</v>
      </c>
      <c r="M152" t="n">
        <v>0</v>
      </c>
      <c r="N152" t="n">
        <v>0</v>
      </c>
      <c r="O152" t="n">
        <v>0</v>
      </c>
      <c r="P152" t="n">
        <v>0</v>
      </c>
      <c r="Q152" t="n">
        <v>0</v>
      </c>
      <c r="R152" s="2" t="inlineStr"/>
    </row>
    <row r="153" ht="15" customHeight="1">
      <c r="A153" t="inlineStr">
        <is>
          <t>A 43256-2019</t>
        </is>
      </c>
      <c r="B153" s="1" t="n">
        <v>43703</v>
      </c>
      <c r="C153" s="1" t="n">
        <v>45672</v>
      </c>
      <c r="D153" t="inlineStr">
        <is>
          <t>NORRBOTTENS LÄN</t>
        </is>
      </c>
      <c r="E153" t="inlineStr">
        <is>
          <t>GÄLLIVARE</t>
        </is>
      </c>
      <c r="F153" t="inlineStr">
        <is>
          <t>Allmännings- och besparingsskogar</t>
        </is>
      </c>
      <c r="G153" t="n">
        <v>26.8</v>
      </c>
      <c r="H153" t="n">
        <v>0</v>
      </c>
      <c r="I153" t="n">
        <v>0</v>
      </c>
      <c r="J153" t="n">
        <v>0</v>
      </c>
      <c r="K153" t="n">
        <v>0</v>
      </c>
      <c r="L153" t="n">
        <v>0</v>
      </c>
      <c r="M153" t="n">
        <v>0</v>
      </c>
      <c r="N153" t="n">
        <v>0</v>
      </c>
      <c r="O153" t="n">
        <v>0</v>
      </c>
      <c r="P153" t="n">
        <v>0</v>
      </c>
      <c r="Q153" t="n">
        <v>0</v>
      </c>
      <c r="R153" s="2" t="inlineStr"/>
    </row>
    <row r="154" ht="15" customHeight="1">
      <c r="A154" t="inlineStr">
        <is>
          <t>A 42505-2019</t>
        </is>
      </c>
      <c r="B154" s="1" t="n">
        <v>43704</v>
      </c>
      <c r="C154" s="1" t="n">
        <v>45672</v>
      </c>
      <c r="D154" t="inlineStr">
        <is>
          <t>NORRBOTTENS LÄN</t>
        </is>
      </c>
      <c r="E154" t="inlineStr">
        <is>
          <t>GÄLLIVARE</t>
        </is>
      </c>
      <c r="F154" t="inlineStr">
        <is>
          <t>Sveaskog</t>
        </is>
      </c>
      <c r="G154" t="n">
        <v>11.2</v>
      </c>
      <c r="H154" t="n">
        <v>0</v>
      </c>
      <c r="I154" t="n">
        <v>0</v>
      </c>
      <c r="J154" t="n">
        <v>0</v>
      </c>
      <c r="K154" t="n">
        <v>0</v>
      </c>
      <c r="L154" t="n">
        <v>0</v>
      </c>
      <c r="M154" t="n">
        <v>0</v>
      </c>
      <c r="N154" t="n">
        <v>0</v>
      </c>
      <c r="O154" t="n">
        <v>0</v>
      </c>
      <c r="P154" t="n">
        <v>0</v>
      </c>
      <c r="Q154" t="n">
        <v>0</v>
      </c>
      <c r="R154" s="2" t="inlineStr"/>
    </row>
    <row r="155" ht="15" customHeight="1">
      <c r="A155" t="inlineStr">
        <is>
          <t>A 42513-2019</t>
        </is>
      </c>
      <c r="B155" s="1" t="n">
        <v>43704</v>
      </c>
      <c r="C155" s="1" t="n">
        <v>45672</v>
      </c>
      <c r="D155" t="inlineStr">
        <is>
          <t>NORRBOTTENS LÄN</t>
        </is>
      </c>
      <c r="E155" t="inlineStr">
        <is>
          <t>GÄLLIVARE</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44239-2019</t>
        </is>
      </c>
      <c r="B156" s="1" t="n">
        <v>43704</v>
      </c>
      <c r="C156" s="1" t="n">
        <v>45672</v>
      </c>
      <c r="D156" t="inlineStr">
        <is>
          <t>NORRBOTTENS LÄN</t>
        </is>
      </c>
      <c r="E156" t="inlineStr">
        <is>
          <t>GÄLLIVARE</t>
        </is>
      </c>
      <c r="G156" t="n">
        <v>0.4</v>
      </c>
      <c r="H156" t="n">
        <v>0</v>
      </c>
      <c r="I156" t="n">
        <v>0</v>
      </c>
      <c r="J156" t="n">
        <v>0</v>
      </c>
      <c r="K156" t="n">
        <v>0</v>
      </c>
      <c r="L156" t="n">
        <v>0</v>
      </c>
      <c r="M156" t="n">
        <v>0</v>
      </c>
      <c r="N156" t="n">
        <v>0</v>
      </c>
      <c r="O156" t="n">
        <v>0</v>
      </c>
      <c r="P156" t="n">
        <v>0</v>
      </c>
      <c r="Q156" t="n">
        <v>0</v>
      </c>
      <c r="R156" s="2" t="inlineStr"/>
    </row>
    <row r="157" ht="15" customHeight="1">
      <c r="A157" t="inlineStr">
        <is>
          <t>A 45655-2019</t>
        </is>
      </c>
      <c r="B157" s="1" t="n">
        <v>43704</v>
      </c>
      <c r="C157" s="1" t="n">
        <v>45672</v>
      </c>
      <c r="D157" t="inlineStr">
        <is>
          <t>NORRBOTTENS LÄN</t>
        </is>
      </c>
      <c r="E157" t="inlineStr">
        <is>
          <t>GÄLLIVARE</t>
        </is>
      </c>
      <c r="G157" t="n">
        <v>0.9</v>
      </c>
      <c r="H157" t="n">
        <v>0</v>
      </c>
      <c r="I157" t="n">
        <v>0</v>
      </c>
      <c r="J157" t="n">
        <v>0</v>
      </c>
      <c r="K157" t="n">
        <v>0</v>
      </c>
      <c r="L157" t="n">
        <v>0</v>
      </c>
      <c r="M157" t="n">
        <v>0</v>
      </c>
      <c r="N157" t="n">
        <v>0</v>
      </c>
      <c r="O157" t="n">
        <v>0</v>
      </c>
      <c r="P157" t="n">
        <v>0</v>
      </c>
      <c r="Q157" t="n">
        <v>0</v>
      </c>
      <c r="R157" s="2" t="inlineStr"/>
    </row>
    <row r="158" ht="15" customHeight="1">
      <c r="A158" t="inlineStr">
        <is>
          <t>A 45652-2019</t>
        </is>
      </c>
      <c r="B158" s="1" t="n">
        <v>43704</v>
      </c>
      <c r="C158" s="1" t="n">
        <v>45672</v>
      </c>
      <c r="D158" t="inlineStr">
        <is>
          <t>NORRBOTTENS LÄN</t>
        </is>
      </c>
      <c r="E158" t="inlineStr">
        <is>
          <t>GÄLLIVARE</t>
        </is>
      </c>
      <c r="G158" t="n">
        <v>1</v>
      </c>
      <c r="H158" t="n">
        <v>0</v>
      </c>
      <c r="I158" t="n">
        <v>0</v>
      </c>
      <c r="J158" t="n">
        <v>0</v>
      </c>
      <c r="K158" t="n">
        <v>0</v>
      </c>
      <c r="L158" t="n">
        <v>0</v>
      </c>
      <c r="M158" t="n">
        <v>0</v>
      </c>
      <c r="N158" t="n">
        <v>0</v>
      </c>
      <c r="O158" t="n">
        <v>0</v>
      </c>
      <c r="P158" t="n">
        <v>0</v>
      </c>
      <c r="Q158" t="n">
        <v>0</v>
      </c>
      <c r="R158" s="2" t="inlineStr"/>
    </row>
    <row r="159" ht="15" customHeight="1">
      <c r="A159" t="inlineStr">
        <is>
          <t>A 45656-2019</t>
        </is>
      </c>
      <c r="B159" s="1" t="n">
        <v>43704</v>
      </c>
      <c r="C159" s="1" t="n">
        <v>45672</v>
      </c>
      <c r="D159" t="inlineStr">
        <is>
          <t>NORRBOTTENS LÄN</t>
        </is>
      </c>
      <c r="E159" t="inlineStr">
        <is>
          <t>GÄLLIVARE</t>
        </is>
      </c>
      <c r="G159" t="n">
        <v>1.5</v>
      </c>
      <c r="H159" t="n">
        <v>0</v>
      </c>
      <c r="I159" t="n">
        <v>0</v>
      </c>
      <c r="J159" t="n">
        <v>0</v>
      </c>
      <c r="K159" t="n">
        <v>0</v>
      </c>
      <c r="L159" t="n">
        <v>0</v>
      </c>
      <c r="M159" t="n">
        <v>0</v>
      </c>
      <c r="N159" t="n">
        <v>0</v>
      </c>
      <c r="O159" t="n">
        <v>0</v>
      </c>
      <c r="P159" t="n">
        <v>0</v>
      </c>
      <c r="Q159" t="n">
        <v>0</v>
      </c>
      <c r="R159" s="2" t="inlineStr"/>
    </row>
    <row r="160" ht="15" customHeight="1">
      <c r="A160" t="inlineStr">
        <is>
          <t>A 43505-2019</t>
        </is>
      </c>
      <c r="B160" s="1" t="n">
        <v>43706</v>
      </c>
      <c r="C160" s="1" t="n">
        <v>45672</v>
      </c>
      <c r="D160" t="inlineStr">
        <is>
          <t>NORRBOTTENS LÄN</t>
        </is>
      </c>
      <c r="E160" t="inlineStr">
        <is>
          <t>GÄLLIVARE</t>
        </is>
      </c>
      <c r="G160" t="n">
        <v>60.2</v>
      </c>
      <c r="H160" t="n">
        <v>0</v>
      </c>
      <c r="I160" t="n">
        <v>0</v>
      </c>
      <c r="J160" t="n">
        <v>0</v>
      </c>
      <c r="K160" t="n">
        <v>0</v>
      </c>
      <c r="L160" t="n">
        <v>0</v>
      </c>
      <c r="M160" t="n">
        <v>0</v>
      </c>
      <c r="N160" t="n">
        <v>0</v>
      </c>
      <c r="O160" t="n">
        <v>0</v>
      </c>
      <c r="P160" t="n">
        <v>0</v>
      </c>
      <c r="Q160" t="n">
        <v>0</v>
      </c>
      <c r="R160" s="2" t="inlineStr"/>
    </row>
    <row r="161" ht="15" customHeight="1">
      <c r="A161" t="inlineStr">
        <is>
          <t>A 43597-2019</t>
        </is>
      </c>
      <c r="B161" s="1" t="n">
        <v>43706</v>
      </c>
      <c r="C161" s="1" t="n">
        <v>45672</v>
      </c>
      <c r="D161" t="inlineStr">
        <is>
          <t>NORRBOTTENS LÄN</t>
        </is>
      </c>
      <c r="E161" t="inlineStr">
        <is>
          <t>GÄLLIVARE</t>
        </is>
      </c>
      <c r="F161" t="inlineStr">
        <is>
          <t>SCA</t>
        </is>
      </c>
      <c r="G161" t="n">
        <v>17.7</v>
      </c>
      <c r="H161" t="n">
        <v>0</v>
      </c>
      <c r="I161" t="n">
        <v>0</v>
      </c>
      <c r="J161" t="n">
        <v>0</v>
      </c>
      <c r="K161" t="n">
        <v>0</v>
      </c>
      <c r="L161" t="n">
        <v>0</v>
      </c>
      <c r="M161" t="n">
        <v>0</v>
      </c>
      <c r="N161" t="n">
        <v>0</v>
      </c>
      <c r="O161" t="n">
        <v>0</v>
      </c>
      <c r="P161" t="n">
        <v>0</v>
      </c>
      <c r="Q161" t="n">
        <v>0</v>
      </c>
      <c r="R161" s="2" t="inlineStr"/>
    </row>
    <row r="162" ht="15" customHeight="1">
      <c r="A162" t="inlineStr">
        <is>
          <t>A 43596-2019</t>
        </is>
      </c>
      <c r="B162" s="1" t="n">
        <v>43706</v>
      </c>
      <c r="C162" s="1" t="n">
        <v>45672</v>
      </c>
      <c r="D162" t="inlineStr">
        <is>
          <t>NORRBOTTENS LÄN</t>
        </is>
      </c>
      <c r="E162" t="inlineStr">
        <is>
          <t>GÄLLIVARE</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46662-2019</t>
        </is>
      </c>
      <c r="B163" s="1" t="n">
        <v>43718</v>
      </c>
      <c r="C163" s="1" t="n">
        <v>45672</v>
      </c>
      <c r="D163" t="inlineStr">
        <is>
          <t>NORRBOTTENS LÄN</t>
        </is>
      </c>
      <c r="E163" t="inlineStr">
        <is>
          <t>GÄLLIVARE</t>
        </is>
      </c>
      <c r="G163" t="n">
        <v>2.1</v>
      </c>
      <c r="H163" t="n">
        <v>0</v>
      </c>
      <c r="I163" t="n">
        <v>0</v>
      </c>
      <c r="J163" t="n">
        <v>0</v>
      </c>
      <c r="K163" t="n">
        <v>0</v>
      </c>
      <c r="L163" t="n">
        <v>0</v>
      </c>
      <c r="M163" t="n">
        <v>0</v>
      </c>
      <c r="N163" t="n">
        <v>0</v>
      </c>
      <c r="O163" t="n">
        <v>0</v>
      </c>
      <c r="P163" t="n">
        <v>0</v>
      </c>
      <c r="Q163" t="n">
        <v>0</v>
      </c>
      <c r="R163" s="2" t="inlineStr"/>
    </row>
    <row r="164" ht="15" customHeight="1">
      <c r="A164" t="inlineStr">
        <is>
          <t>A 47093-2019</t>
        </is>
      </c>
      <c r="B164" s="1" t="n">
        <v>43720</v>
      </c>
      <c r="C164" s="1" t="n">
        <v>45672</v>
      </c>
      <c r="D164" t="inlineStr">
        <is>
          <t>NORRBOTTENS LÄN</t>
        </is>
      </c>
      <c r="E164" t="inlineStr">
        <is>
          <t>GÄLLIVARE</t>
        </is>
      </c>
      <c r="F164" t="inlineStr">
        <is>
          <t>SCA</t>
        </is>
      </c>
      <c r="G164" t="n">
        <v>20.4</v>
      </c>
      <c r="H164" t="n">
        <v>0</v>
      </c>
      <c r="I164" t="n">
        <v>0</v>
      </c>
      <c r="J164" t="n">
        <v>0</v>
      </c>
      <c r="K164" t="n">
        <v>0</v>
      </c>
      <c r="L164" t="n">
        <v>0</v>
      </c>
      <c r="M164" t="n">
        <v>0</v>
      </c>
      <c r="N164" t="n">
        <v>0</v>
      </c>
      <c r="O164" t="n">
        <v>0</v>
      </c>
      <c r="P164" t="n">
        <v>0</v>
      </c>
      <c r="Q164" t="n">
        <v>0</v>
      </c>
      <c r="R164" s="2" t="inlineStr"/>
    </row>
    <row r="165" ht="15" customHeight="1">
      <c r="A165" t="inlineStr">
        <is>
          <t>A 47637-2019</t>
        </is>
      </c>
      <c r="B165" s="1" t="n">
        <v>43724</v>
      </c>
      <c r="C165" s="1" t="n">
        <v>45672</v>
      </c>
      <c r="D165" t="inlineStr">
        <is>
          <t>NORRBOTTENS LÄN</t>
        </is>
      </c>
      <c r="E165" t="inlineStr">
        <is>
          <t>GÄLLIVARE</t>
        </is>
      </c>
      <c r="G165" t="n">
        <v>1.9</v>
      </c>
      <c r="H165" t="n">
        <v>0</v>
      </c>
      <c r="I165" t="n">
        <v>0</v>
      </c>
      <c r="J165" t="n">
        <v>0</v>
      </c>
      <c r="K165" t="n">
        <v>0</v>
      </c>
      <c r="L165" t="n">
        <v>0</v>
      </c>
      <c r="M165" t="n">
        <v>0</v>
      </c>
      <c r="N165" t="n">
        <v>0</v>
      </c>
      <c r="O165" t="n">
        <v>0</v>
      </c>
      <c r="P165" t="n">
        <v>0</v>
      </c>
      <c r="Q165" t="n">
        <v>0</v>
      </c>
      <c r="R165" s="2" t="inlineStr"/>
    </row>
    <row r="166" ht="15" customHeight="1">
      <c r="A166" t="inlineStr">
        <is>
          <t>A 47761-2019</t>
        </is>
      </c>
      <c r="B166" s="1" t="n">
        <v>43724</v>
      </c>
      <c r="C166" s="1" t="n">
        <v>45672</v>
      </c>
      <c r="D166" t="inlineStr">
        <is>
          <t>NORRBOTTENS LÄN</t>
        </is>
      </c>
      <c r="E166" t="inlineStr">
        <is>
          <t>GÄLLIVARE</t>
        </is>
      </c>
      <c r="F166" t="inlineStr">
        <is>
          <t>Sveaskog</t>
        </is>
      </c>
      <c r="G166" t="n">
        <v>13.1</v>
      </c>
      <c r="H166" t="n">
        <v>0</v>
      </c>
      <c r="I166" t="n">
        <v>0</v>
      </c>
      <c r="J166" t="n">
        <v>0</v>
      </c>
      <c r="K166" t="n">
        <v>0</v>
      </c>
      <c r="L166" t="n">
        <v>0</v>
      </c>
      <c r="M166" t="n">
        <v>0</v>
      </c>
      <c r="N166" t="n">
        <v>0</v>
      </c>
      <c r="O166" t="n">
        <v>0</v>
      </c>
      <c r="P166" t="n">
        <v>0</v>
      </c>
      <c r="Q166" t="n">
        <v>0</v>
      </c>
      <c r="R166" s="2" t="inlineStr"/>
    </row>
    <row r="167" ht="15" customHeight="1">
      <c r="A167" t="inlineStr">
        <is>
          <t>A 47625-2019</t>
        </is>
      </c>
      <c r="B167" s="1" t="n">
        <v>43724</v>
      </c>
      <c r="C167" s="1" t="n">
        <v>45672</v>
      </c>
      <c r="D167" t="inlineStr">
        <is>
          <t>NORRBOTTENS LÄN</t>
        </is>
      </c>
      <c r="E167" t="inlineStr">
        <is>
          <t>GÄLLIVARE</t>
        </is>
      </c>
      <c r="G167" t="n">
        <v>6.4</v>
      </c>
      <c r="H167" t="n">
        <v>0</v>
      </c>
      <c r="I167" t="n">
        <v>0</v>
      </c>
      <c r="J167" t="n">
        <v>0</v>
      </c>
      <c r="K167" t="n">
        <v>0</v>
      </c>
      <c r="L167" t="n">
        <v>0</v>
      </c>
      <c r="M167" t="n">
        <v>0</v>
      </c>
      <c r="N167" t="n">
        <v>0</v>
      </c>
      <c r="O167" t="n">
        <v>0</v>
      </c>
      <c r="P167" t="n">
        <v>0</v>
      </c>
      <c r="Q167" t="n">
        <v>0</v>
      </c>
      <c r="R167" s="2" t="inlineStr"/>
    </row>
    <row r="168" ht="15" customHeight="1">
      <c r="A168" t="inlineStr">
        <is>
          <t>A 47635-2019</t>
        </is>
      </c>
      <c r="B168" s="1" t="n">
        <v>43724</v>
      </c>
      <c r="C168" s="1" t="n">
        <v>45672</v>
      </c>
      <c r="D168" t="inlineStr">
        <is>
          <t>NORRBOTTENS LÄN</t>
        </is>
      </c>
      <c r="E168" t="inlineStr">
        <is>
          <t>GÄLLIVARE</t>
        </is>
      </c>
      <c r="G168" t="n">
        <v>6.2</v>
      </c>
      <c r="H168" t="n">
        <v>0</v>
      </c>
      <c r="I168" t="n">
        <v>0</v>
      </c>
      <c r="J168" t="n">
        <v>0</v>
      </c>
      <c r="K168" t="n">
        <v>0</v>
      </c>
      <c r="L168" t="n">
        <v>0</v>
      </c>
      <c r="M168" t="n">
        <v>0</v>
      </c>
      <c r="N168" t="n">
        <v>0</v>
      </c>
      <c r="O168" t="n">
        <v>0</v>
      </c>
      <c r="P168" t="n">
        <v>0</v>
      </c>
      <c r="Q168" t="n">
        <v>0</v>
      </c>
      <c r="R168" s="2" t="inlineStr"/>
    </row>
    <row r="169" ht="15" customHeight="1">
      <c r="A169" t="inlineStr">
        <is>
          <t>A 48094-2019</t>
        </is>
      </c>
      <c r="B169" s="1" t="n">
        <v>43725</v>
      </c>
      <c r="C169" s="1" t="n">
        <v>45672</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50126-2019</t>
        </is>
      </c>
      <c r="B170" s="1" t="n">
        <v>43734</v>
      </c>
      <c r="C170" s="1" t="n">
        <v>45672</v>
      </c>
      <c r="D170" t="inlineStr">
        <is>
          <t>NORRBOTTENS LÄN</t>
        </is>
      </c>
      <c r="E170" t="inlineStr">
        <is>
          <t>GÄLLIVARE</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50123-2019</t>
        </is>
      </c>
      <c r="B171" s="1" t="n">
        <v>43734</v>
      </c>
      <c r="C171" s="1" t="n">
        <v>45672</v>
      </c>
      <c r="D171" t="inlineStr">
        <is>
          <t>NORRBOTTENS LÄN</t>
        </is>
      </c>
      <c r="E171" t="inlineStr">
        <is>
          <t>GÄLLIVARE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52026-2019</t>
        </is>
      </c>
      <c r="B172" s="1" t="n">
        <v>43734</v>
      </c>
      <c r="C172" s="1" t="n">
        <v>45672</v>
      </c>
      <c r="D172" t="inlineStr">
        <is>
          <t>NORRBOTTENS LÄN</t>
        </is>
      </c>
      <c r="E172" t="inlineStr">
        <is>
          <t>GÄLLIVARE</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50120-2019</t>
        </is>
      </c>
      <c r="B173" s="1" t="n">
        <v>43734</v>
      </c>
      <c r="C173" s="1" t="n">
        <v>45672</v>
      </c>
      <c r="D173" t="inlineStr">
        <is>
          <t>NORRBOTTENS LÄN</t>
        </is>
      </c>
      <c r="E173" t="inlineStr">
        <is>
          <t>GÄLLIVARE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52748-2019</t>
        </is>
      </c>
      <c r="B174" s="1" t="n">
        <v>43739</v>
      </c>
      <c r="C174" s="1" t="n">
        <v>45672</v>
      </c>
      <c r="D174" t="inlineStr">
        <is>
          <t>NORRBOTTENS LÄN</t>
        </is>
      </c>
      <c r="E174" t="inlineStr">
        <is>
          <t>GÄLLIVARE</t>
        </is>
      </c>
      <c r="G174" t="n">
        <v>6.2</v>
      </c>
      <c r="H174" t="n">
        <v>0</v>
      </c>
      <c r="I174" t="n">
        <v>0</v>
      </c>
      <c r="J174" t="n">
        <v>0</v>
      </c>
      <c r="K174" t="n">
        <v>0</v>
      </c>
      <c r="L174" t="n">
        <v>0</v>
      </c>
      <c r="M174" t="n">
        <v>0</v>
      </c>
      <c r="N174" t="n">
        <v>0</v>
      </c>
      <c r="O174" t="n">
        <v>0</v>
      </c>
      <c r="P174" t="n">
        <v>0</v>
      </c>
      <c r="Q174" t="n">
        <v>0</v>
      </c>
      <c r="R174" s="2" t="inlineStr"/>
    </row>
    <row r="175" ht="15" customHeight="1">
      <c r="A175" t="inlineStr">
        <is>
          <t>A 51514-2019</t>
        </is>
      </c>
      <c r="B175" s="1" t="n">
        <v>43740</v>
      </c>
      <c r="C175" s="1" t="n">
        <v>45672</v>
      </c>
      <c r="D175" t="inlineStr">
        <is>
          <t>NORRBOTTENS LÄN</t>
        </is>
      </c>
      <c r="E175" t="inlineStr">
        <is>
          <t>GÄLLIVARE</t>
        </is>
      </c>
      <c r="F175" t="inlineStr">
        <is>
          <t>Sveaskog</t>
        </is>
      </c>
      <c r="G175" t="n">
        <v>11.8</v>
      </c>
      <c r="H175" t="n">
        <v>0</v>
      </c>
      <c r="I175" t="n">
        <v>0</v>
      </c>
      <c r="J175" t="n">
        <v>0</v>
      </c>
      <c r="K175" t="n">
        <v>0</v>
      </c>
      <c r="L175" t="n">
        <v>0</v>
      </c>
      <c r="M175" t="n">
        <v>0</v>
      </c>
      <c r="N175" t="n">
        <v>0</v>
      </c>
      <c r="O175" t="n">
        <v>0</v>
      </c>
      <c r="P175" t="n">
        <v>0</v>
      </c>
      <c r="Q175" t="n">
        <v>0</v>
      </c>
      <c r="R175" s="2" t="inlineStr"/>
    </row>
    <row r="176" ht="15" customHeight="1">
      <c r="A176" t="inlineStr">
        <is>
          <t>A 53201-2019</t>
        </is>
      </c>
      <c r="B176" s="1" t="n">
        <v>43748</v>
      </c>
      <c r="C176" s="1" t="n">
        <v>45672</v>
      </c>
      <c r="D176" t="inlineStr">
        <is>
          <t>NORRBOTTENS LÄN</t>
        </is>
      </c>
      <c r="E176" t="inlineStr">
        <is>
          <t>GÄLLIVARE</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53922-2019</t>
        </is>
      </c>
      <c r="B177" s="1" t="n">
        <v>43752</v>
      </c>
      <c r="C177" s="1" t="n">
        <v>45672</v>
      </c>
      <c r="D177" t="inlineStr">
        <is>
          <t>NORRBOTTENS LÄN</t>
        </is>
      </c>
      <c r="E177" t="inlineStr">
        <is>
          <t>GÄLLIVARE</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58826-2019</t>
        </is>
      </c>
      <c r="B178" s="1" t="n">
        <v>43752</v>
      </c>
      <c r="C178" s="1" t="n">
        <v>45672</v>
      </c>
      <c r="D178" t="inlineStr">
        <is>
          <t>NORRBOTTENS LÄN</t>
        </is>
      </c>
      <c r="E178" t="inlineStr">
        <is>
          <t>GÄLLIVARE</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54373-2019</t>
        </is>
      </c>
      <c r="B179" s="1" t="n">
        <v>43753</v>
      </c>
      <c r="C179" s="1" t="n">
        <v>45672</v>
      </c>
      <c r="D179" t="inlineStr">
        <is>
          <t>NORRBOTTENS LÄN</t>
        </is>
      </c>
      <c r="E179" t="inlineStr">
        <is>
          <t>GÄLLIVARE</t>
        </is>
      </c>
      <c r="F179" t="inlineStr">
        <is>
          <t>SCA</t>
        </is>
      </c>
      <c r="G179" t="n">
        <v>6.8</v>
      </c>
      <c r="H179" t="n">
        <v>0</v>
      </c>
      <c r="I179" t="n">
        <v>0</v>
      </c>
      <c r="J179" t="n">
        <v>0</v>
      </c>
      <c r="K179" t="n">
        <v>0</v>
      </c>
      <c r="L179" t="n">
        <v>0</v>
      </c>
      <c r="M179" t="n">
        <v>0</v>
      </c>
      <c r="N179" t="n">
        <v>0</v>
      </c>
      <c r="O179" t="n">
        <v>0</v>
      </c>
      <c r="P179" t="n">
        <v>0</v>
      </c>
      <c r="Q179" t="n">
        <v>0</v>
      </c>
      <c r="R179" s="2" t="inlineStr"/>
    </row>
    <row r="180" ht="15" customHeight="1">
      <c r="A180" t="inlineStr">
        <is>
          <t>A 54457-2019</t>
        </is>
      </c>
      <c r="B180" s="1" t="n">
        <v>43754</v>
      </c>
      <c r="C180" s="1" t="n">
        <v>45672</v>
      </c>
      <c r="D180" t="inlineStr">
        <is>
          <t>NORRBOTTENS LÄN</t>
        </is>
      </c>
      <c r="E180" t="inlineStr">
        <is>
          <t>GÄLLIVARE</t>
        </is>
      </c>
      <c r="F180" t="inlineStr">
        <is>
          <t>Sveaskog</t>
        </is>
      </c>
      <c r="G180" t="n">
        <v>39.5</v>
      </c>
      <c r="H180" t="n">
        <v>0</v>
      </c>
      <c r="I180" t="n">
        <v>0</v>
      </c>
      <c r="J180" t="n">
        <v>0</v>
      </c>
      <c r="K180" t="n">
        <v>0</v>
      </c>
      <c r="L180" t="n">
        <v>0</v>
      </c>
      <c r="M180" t="n">
        <v>0</v>
      </c>
      <c r="N180" t="n">
        <v>0</v>
      </c>
      <c r="O180" t="n">
        <v>0</v>
      </c>
      <c r="P180" t="n">
        <v>0</v>
      </c>
      <c r="Q180" t="n">
        <v>0</v>
      </c>
      <c r="R180" s="2" t="inlineStr"/>
    </row>
    <row r="181" ht="15" customHeight="1">
      <c r="A181" t="inlineStr">
        <is>
          <t>A 54476-2019</t>
        </is>
      </c>
      <c r="B181" s="1" t="n">
        <v>43754</v>
      </c>
      <c r="C181" s="1" t="n">
        <v>45672</v>
      </c>
      <c r="D181" t="inlineStr">
        <is>
          <t>NORRBOTTENS LÄN</t>
        </is>
      </c>
      <c r="E181" t="inlineStr">
        <is>
          <t>GÄLLIVARE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54525-2019</t>
        </is>
      </c>
      <c r="B182" s="1" t="n">
        <v>43754</v>
      </c>
      <c r="C182" s="1" t="n">
        <v>45672</v>
      </c>
      <c r="D182" t="inlineStr">
        <is>
          <t>NORRBOTTENS LÄN</t>
        </is>
      </c>
      <c r="E182" t="inlineStr">
        <is>
          <t>GÄLLIVARE</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55027-2019</t>
        </is>
      </c>
      <c r="B183" s="1" t="n">
        <v>43755</v>
      </c>
      <c r="C183" s="1" t="n">
        <v>45672</v>
      </c>
      <c r="D183" t="inlineStr">
        <is>
          <t>NORRBOTTENS LÄN</t>
        </is>
      </c>
      <c r="E183" t="inlineStr">
        <is>
          <t>GÄLLIVARE</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57322-2019</t>
        </is>
      </c>
      <c r="B184" s="1" t="n">
        <v>43759</v>
      </c>
      <c r="C184" s="1" t="n">
        <v>45672</v>
      </c>
      <c r="D184" t="inlineStr">
        <is>
          <t>NORRBOTTENS LÄN</t>
        </is>
      </c>
      <c r="E184" t="inlineStr">
        <is>
          <t>GÄLLIVARE</t>
        </is>
      </c>
      <c r="G184" t="n">
        <v>14.1</v>
      </c>
      <c r="H184" t="n">
        <v>0</v>
      </c>
      <c r="I184" t="n">
        <v>0</v>
      </c>
      <c r="J184" t="n">
        <v>0</v>
      </c>
      <c r="K184" t="n">
        <v>0</v>
      </c>
      <c r="L184" t="n">
        <v>0</v>
      </c>
      <c r="M184" t="n">
        <v>0</v>
      </c>
      <c r="N184" t="n">
        <v>0</v>
      </c>
      <c r="O184" t="n">
        <v>0</v>
      </c>
      <c r="P184" t="n">
        <v>0</v>
      </c>
      <c r="Q184" t="n">
        <v>0</v>
      </c>
      <c r="R184" s="2" t="inlineStr"/>
    </row>
    <row r="185" ht="15" customHeight="1">
      <c r="A185" t="inlineStr">
        <is>
          <t>A 57315-2019</t>
        </is>
      </c>
      <c r="B185" s="1" t="n">
        <v>43759</v>
      </c>
      <c r="C185" s="1" t="n">
        <v>45672</v>
      </c>
      <c r="D185" t="inlineStr">
        <is>
          <t>NORRBOTTENS LÄN</t>
        </is>
      </c>
      <c r="E185" t="inlineStr">
        <is>
          <t>GÄLLIVARE</t>
        </is>
      </c>
      <c r="G185" t="n">
        <v>15.2</v>
      </c>
      <c r="H185" t="n">
        <v>0</v>
      </c>
      <c r="I185" t="n">
        <v>0</v>
      </c>
      <c r="J185" t="n">
        <v>0</v>
      </c>
      <c r="K185" t="n">
        <v>0</v>
      </c>
      <c r="L185" t="n">
        <v>0</v>
      </c>
      <c r="M185" t="n">
        <v>0</v>
      </c>
      <c r="N185" t="n">
        <v>0</v>
      </c>
      <c r="O185" t="n">
        <v>0</v>
      </c>
      <c r="P185" t="n">
        <v>0</v>
      </c>
      <c r="Q185" t="n">
        <v>0</v>
      </c>
      <c r="R185" s="2" t="inlineStr"/>
    </row>
    <row r="186" ht="15" customHeight="1">
      <c r="A186" t="inlineStr">
        <is>
          <t>A 57069-2019</t>
        </is>
      </c>
      <c r="B186" s="1" t="n">
        <v>43766</v>
      </c>
      <c r="C186" s="1" t="n">
        <v>45672</v>
      </c>
      <c r="D186" t="inlineStr">
        <is>
          <t>NORRBOTTENS LÄN</t>
        </is>
      </c>
      <c r="E186" t="inlineStr">
        <is>
          <t>GÄLLIVARE</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57056-2019</t>
        </is>
      </c>
      <c r="B187" s="1" t="n">
        <v>43766</v>
      </c>
      <c r="C187" s="1" t="n">
        <v>45672</v>
      </c>
      <c r="D187" t="inlineStr">
        <is>
          <t>NORRBOTTENS LÄN</t>
        </is>
      </c>
      <c r="E187" t="inlineStr">
        <is>
          <t>GÄLLIVARE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57060-2019</t>
        </is>
      </c>
      <c r="B188" s="1" t="n">
        <v>43766</v>
      </c>
      <c r="C188" s="1" t="n">
        <v>45672</v>
      </c>
      <c r="D188" t="inlineStr">
        <is>
          <t>NORRBOTTENS LÄN</t>
        </is>
      </c>
      <c r="E188" t="inlineStr">
        <is>
          <t>GÄLLIVARE</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57081-2019</t>
        </is>
      </c>
      <c r="B189" s="1" t="n">
        <v>43766</v>
      </c>
      <c r="C189" s="1" t="n">
        <v>45672</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57072-2019</t>
        </is>
      </c>
      <c r="B190" s="1" t="n">
        <v>43766</v>
      </c>
      <c r="C190" s="1" t="n">
        <v>45672</v>
      </c>
      <c r="D190" t="inlineStr">
        <is>
          <t>NORRBOTTENS LÄN</t>
        </is>
      </c>
      <c r="E190" t="inlineStr">
        <is>
          <t>GÄLLIVARE</t>
        </is>
      </c>
      <c r="F190" t="inlineStr">
        <is>
          <t>Sveaskog</t>
        </is>
      </c>
      <c r="G190" t="n">
        <v>15.7</v>
      </c>
      <c r="H190" t="n">
        <v>0</v>
      </c>
      <c r="I190" t="n">
        <v>0</v>
      </c>
      <c r="J190" t="n">
        <v>0</v>
      </c>
      <c r="K190" t="n">
        <v>0</v>
      </c>
      <c r="L190" t="n">
        <v>0</v>
      </c>
      <c r="M190" t="n">
        <v>0</v>
      </c>
      <c r="N190" t="n">
        <v>0</v>
      </c>
      <c r="O190" t="n">
        <v>0</v>
      </c>
      <c r="P190" t="n">
        <v>0</v>
      </c>
      <c r="Q190" t="n">
        <v>0</v>
      </c>
      <c r="R190" s="2" t="inlineStr"/>
    </row>
    <row r="191" ht="15" customHeight="1">
      <c r="A191" t="inlineStr">
        <is>
          <t>A 57087-2019</t>
        </is>
      </c>
      <c r="B191" s="1" t="n">
        <v>43766</v>
      </c>
      <c r="C191" s="1" t="n">
        <v>45672</v>
      </c>
      <c r="D191" t="inlineStr">
        <is>
          <t>NORRBOTTENS LÄN</t>
        </is>
      </c>
      <c r="E191" t="inlineStr">
        <is>
          <t>GÄLLIVARE</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58609-2019</t>
        </is>
      </c>
      <c r="B192" s="1" t="n">
        <v>43768</v>
      </c>
      <c r="C192" s="1" t="n">
        <v>45672</v>
      </c>
      <c r="D192" t="inlineStr">
        <is>
          <t>NORRBOTTENS LÄN</t>
        </is>
      </c>
      <c r="E192" t="inlineStr">
        <is>
          <t>GÄLLIVARE</t>
        </is>
      </c>
      <c r="G192" t="n">
        <v>7.8</v>
      </c>
      <c r="H192" t="n">
        <v>0</v>
      </c>
      <c r="I192" t="n">
        <v>0</v>
      </c>
      <c r="J192" t="n">
        <v>0</v>
      </c>
      <c r="K192" t="n">
        <v>0</v>
      </c>
      <c r="L192" t="n">
        <v>0</v>
      </c>
      <c r="M192" t="n">
        <v>0</v>
      </c>
      <c r="N192" t="n">
        <v>0</v>
      </c>
      <c r="O192" t="n">
        <v>0</v>
      </c>
      <c r="P192" t="n">
        <v>0</v>
      </c>
      <c r="Q192" t="n">
        <v>0</v>
      </c>
      <c r="R192" s="2" t="inlineStr"/>
    </row>
    <row r="193" ht="15" customHeight="1">
      <c r="A193" t="inlineStr">
        <is>
          <t>A 60542-2019</t>
        </is>
      </c>
      <c r="B193" s="1" t="n">
        <v>43776</v>
      </c>
      <c r="C193" s="1" t="n">
        <v>45672</v>
      </c>
      <c r="D193" t="inlineStr">
        <is>
          <t>NORRBOTTENS LÄN</t>
        </is>
      </c>
      <c r="E193" t="inlineStr">
        <is>
          <t>GÄLLIVARE</t>
        </is>
      </c>
      <c r="G193" t="n">
        <v>24.1</v>
      </c>
      <c r="H193" t="n">
        <v>0</v>
      </c>
      <c r="I193" t="n">
        <v>0</v>
      </c>
      <c r="J193" t="n">
        <v>0</v>
      </c>
      <c r="K193" t="n">
        <v>0</v>
      </c>
      <c r="L193" t="n">
        <v>0</v>
      </c>
      <c r="M193" t="n">
        <v>0</v>
      </c>
      <c r="N193" t="n">
        <v>0</v>
      </c>
      <c r="O193" t="n">
        <v>0</v>
      </c>
      <c r="P193" t="n">
        <v>0</v>
      </c>
      <c r="Q193" t="n">
        <v>0</v>
      </c>
      <c r="R193" s="2" t="inlineStr"/>
    </row>
    <row r="194" ht="15" customHeight="1">
      <c r="A194" t="inlineStr">
        <is>
          <t>A 61206-2019</t>
        </is>
      </c>
      <c r="B194" s="1" t="n">
        <v>43782</v>
      </c>
      <c r="C194" s="1" t="n">
        <v>45672</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61207-2019</t>
        </is>
      </c>
      <c r="B195" s="1" t="n">
        <v>43782</v>
      </c>
      <c r="C195" s="1" t="n">
        <v>45672</v>
      </c>
      <c r="D195" t="inlineStr">
        <is>
          <t>NORRBOTTENS LÄN</t>
        </is>
      </c>
      <c r="E195" t="inlineStr">
        <is>
          <t>GÄLLIVARE</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63843-2019</t>
        </is>
      </c>
      <c r="B196" s="1" t="n">
        <v>43795</v>
      </c>
      <c r="C196" s="1" t="n">
        <v>45672</v>
      </c>
      <c r="D196" t="inlineStr">
        <is>
          <t>NORRBOTTENS LÄN</t>
        </is>
      </c>
      <c r="E196" t="inlineStr">
        <is>
          <t>GÄLLIVARE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65725-2019</t>
        </is>
      </c>
      <c r="B197" s="1" t="n">
        <v>43804</v>
      </c>
      <c r="C197" s="1" t="n">
        <v>45672</v>
      </c>
      <c r="D197" t="inlineStr">
        <is>
          <t>NORRBOTTENS LÄN</t>
        </is>
      </c>
      <c r="E197" t="inlineStr">
        <is>
          <t>GÄLLIVARE</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66409-2019</t>
        </is>
      </c>
      <c r="B198" s="1" t="n">
        <v>43809</v>
      </c>
      <c r="C198" s="1" t="n">
        <v>45672</v>
      </c>
      <c r="D198" t="inlineStr">
        <is>
          <t>NORRBOTTENS LÄN</t>
        </is>
      </c>
      <c r="E198" t="inlineStr">
        <is>
          <t>GÄLLIVARE</t>
        </is>
      </c>
      <c r="G198" t="n">
        <v>2.7</v>
      </c>
      <c r="H198" t="n">
        <v>0</v>
      </c>
      <c r="I198" t="n">
        <v>0</v>
      </c>
      <c r="J198" t="n">
        <v>0</v>
      </c>
      <c r="K198" t="n">
        <v>0</v>
      </c>
      <c r="L198" t="n">
        <v>0</v>
      </c>
      <c r="M198" t="n">
        <v>0</v>
      </c>
      <c r="N198" t="n">
        <v>0</v>
      </c>
      <c r="O198" t="n">
        <v>0</v>
      </c>
      <c r="P198" t="n">
        <v>0</v>
      </c>
      <c r="Q198" t="n">
        <v>0</v>
      </c>
      <c r="R198" s="2" t="inlineStr"/>
    </row>
    <row r="199" ht="15" customHeight="1">
      <c r="A199" t="inlineStr">
        <is>
          <t>A 68502-2019</t>
        </is>
      </c>
      <c r="B199" s="1" t="n">
        <v>43811</v>
      </c>
      <c r="C199" s="1" t="n">
        <v>45672</v>
      </c>
      <c r="D199" t="inlineStr">
        <is>
          <t>NORRBOTTENS LÄN</t>
        </is>
      </c>
      <c r="E199" t="inlineStr">
        <is>
          <t>GÄLLIVARE</t>
        </is>
      </c>
      <c r="F199" t="inlineStr">
        <is>
          <t>Sveaskog</t>
        </is>
      </c>
      <c r="G199" t="n">
        <v>101</v>
      </c>
      <c r="H199" t="n">
        <v>0</v>
      </c>
      <c r="I199" t="n">
        <v>0</v>
      </c>
      <c r="J199" t="n">
        <v>0</v>
      </c>
      <c r="K199" t="n">
        <v>0</v>
      </c>
      <c r="L199" t="n">
        <v>0</v>
      </c>
      <c r="M199" t="n">
        <v>0</v>
      </c>
      <c r="N199" t="n">
        <v>0</v>
      </c>
      <c r="O199" t="n">
        <v>0</v>
      </c>
      <c r="P199" t="n">
        <v>0</v>
      </c>
      <c r="Q199" t="n">
        <v>0</v>
      </c>
      <c r="R199" s="2" t="inlineStr"/>
    </row>
    <row r="200" ht="15" customHeight="1">
      <c r="A200" t="inlineStr">
        <is>
          <t>A 68576-2019</t>
        </is>
      </c>
      <c r="B200" s="1" t="n">
        <v>43812</v>
      </c>
      <c r="C200" s="1" t="n">
        <v>45672</v>
      </c>
      <c r="D200" t="inlineStr">
        <is>
          <t>NORRBOTTENS LÄN</t>
        </is>
      </c>
      <c r="E200" t="inlineStr">
        <is>
          <t>GÄLLIVARE</t>
        </is>
      </c>
      <c r="G200" t="n">
        <v>1.4</v>
      </c>
      <c r="H200" t="n">
        <v>0</v>
      </c>
      <c r="I200" t="n">
        <v>0</v>
      </c>
      <c r="J200" t="n">
        <v>0</v>
      </c>
      <c r="K200" t="n">
        <v>0</v>
      </c>
      <c r="L200" t="n">
        <v>0</v>
      </c>
      <c r="M200" t="n">
        <v>0</v>
      </c>
      <c r="N200" t="n">
        <v>0</v>
      </c>
      <c r="O200" t="n">
        <v>0</v>
      </c>
      <c r="P200" t="n">
        <v>0</v>
      </c>
      <c r="Q200" t="n">
        <v>0</v>
      </c>
      <c r="R200" s="2" t="inlineStr"/>
    </row>
    <row r="201" ht="15" customHeight="1">
      <c r="A201" t="inlineStr">
        <is>
          <t>A 68297-2019</t>
        </is>
      </c>
      <c r="B201" s="1" t="n">
        <v>43817</v>
      </c>
      <c r="C201" s="1" t="n">
        <v>45672</v>
      </c>
      <c r="D201" t="inlineStr">
        <is>
          <t>NORRBOTTENS LÄN</t>
        </is>
      </c>
      <c r="E201" t="inlineStr">
        <is>
          <t>GÄLLIVARE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68569-2019</t>
        </is>
      </c>
      <c r="B202" s="1" t="n">
        <v>43818</v>
      </c>
      <c r="C202" s="1" t="n">
        <v>45672</v>
      </c>
      <c r="D202" t="inlineStr">
        <is>
          <t>NORRBOTTENS LÄN</t>
        </is>
      </c>
      <c r="E202" t="inlineStr">
        <is>
          <t>GÄLLIVARE</t>
        </is>
      </c>
      <c r="F202" t="inlineStr">
        <is>
          <t>Sveaskog</t>
        </is>
      </c>
      <c r="G202" t="n">
        <v>41.5</v>
      </c>
      <c r="H202" t="n">
        <v>0</v>
      </c>
      <c r="I202" t="n">
        <v>0</v>
      </c>
      <c r="J202" t="n">
        <v>0</v>
      </c>
      <c r="K202" t="n">
        <v>0</v>
      </c>
      <c r="L202" t="n">
        <v>0</v>
      </c>
      <c r="M202" t="n">
        <v>0</v>
      </c>
      <c r="N202" t="n">
        <v>0</v>
      </c>
      <c r="O202" t="n">
        <v>0</v>
      </c>
      <c r="P202" t="n">
        <v>0</v>
      </c>
      <c r="Q202" t="n">
        <v>0</v>
      </c>
      <c r="R202" s="2" t="inlineStr"/>
    </row>
    <row r="203" ht="15" customHeight="1">
      <c r="A203" t="inlineStr">
        <is>
          <t>A 2837-2020</t>
        </is>
      </c>
      <c r="B203" s="1" t="n">
        <v>43843</v>
      </c>
      <c r="C203" s="1" t="n">
        <v>45672</v>
      </c>
      <c r="D203" t="inlineStr">
        <is>
          <t>NORRBOTTENS LÄN</t>
        </is>
      </c>
      <c r="E203" t="inlineStr">
        <is>
          <t>GÄLLIVARE</t>
        </is>
      </c>
      <c r="F203" t="inlineStr">
        <is>
          <t>Sveaskog</t>
        </is>
      </c>
      <c r="G203" t="n">
        <v>21.7</v>
      </c>
      <c r="H203" t="n">
        <v>0</v>
      </c>
      <c r="I203" t="n">
        <v>0</v>
      </c>
      <c r="J203" t="n">
        <v>0</v>
      </c>
      <c r="K203" t="n">
        <v>0</v>
      </c>
      <c r="L203" t="n">
        <v>0</v>
      </c>
      <c r="M203" t="n">
        <v>0</v>
      </c>
      <c r="N203" t="n">
        <v>0</v>
      </c>
      <c r="O203" t="n">
        <v>0</v>
      </c>
      <c r="P203" t="n">
        <v>0</v>
      </c>
      <c r="Q203" t="n">
        <v>0</v>
      </c>
      <c r="R203" s="2" t="inlineStr"/>
    </row>
    <row r="204" ht="15" customHeight="1">
      <c r="A204" t="inlineStr">
        <is>
          <t>A 2761-2020</t>
        </is>
      </c>
      <c r="B204" s="1" t="n">
        <v>43843</v>
      </c>
      <c r="C204" s="1" t="n">
        <v>45672</v>
      </c>
      <c r="D204" t="inlineStr">
        <is>
          <t>NORRBOTTENS LÄN</t>
        </is>
      </c>
      <c r="E204" t="inlineStr">
        <is>
          <t>GÄLLIVARE</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2804-2020</t>
        </is>
      </c>
      <c r="B205" s="1" t="n">
        <v>43843</v>
      </c>
      <c r="C205" s="1" t="n">
        <v>45672</v>
      </c>
      <c r="D205" t="inlineStr">
        <is>
          <t>NORRBOTTENS LÄN</t>
        </is>
      </c>
      <c r="E205" t="inlineStr">
        <is>
          <t>GÄLLIVARE</t>
        </is>
      </c>
      <c r="F205" t="inlineStr">
        <is>
          <t>Sveaskog</t>
        </is>
      </c>
      <c r="G205" t="n">
        <v>58.1</v>
      </c>
      <c r="H205" t="n">
        <v>0</v>
      </c>
      <c r="I205" t="n">
        <v>0</v>
      </c>
      <c r="J205" t="n">
        <v>0</v>
      </c>
      <c r="K205" t="n">
        <v>0</v>
      </c>
      <c r="L205" t="n">
        <v>0</v>
      </c>
      <c r="M205" t="n">
        <v>0</v>
      </c>
      <c r="N205" t="n">
        <v>0</v>
      </c>
      <c r="O205" t="n">
        <v>0</v>
      </c>
      <c r="P205" t="n">
        <v>0</v>
      </c>
      <c r="Q205" t="n">
        <v>0</v>
      </c>
      <c r="R205" s="2" t="inlineStr"/>
    </row>
    <row r="206" ht="15" customHeight="1">
      <c r="A206" t="inlineStr">
        <is>
          <t>A 2768-2020</t>
        </is>
      </c>
      <c r="B206" s="1" t="n">
        <v>43843</v>
      </c>
      <c r="C206" s="1" t="n">
        <v>45672</v>
      </c>
      <c r="D206" t="inlineStr">
        <is>
          <t>NORRBOTTENS LÄN</t>
        </is>
      </c>
      <c r="E206" t="inlineStr">
        <is>
          <t>GÄLLIVARE</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2816-2020</t>
        </is>
      </c>
      <c r="B207" s="1" t="n">
        <v>43843</v>
      </c>
      <c r="C207" s="1" t="n">
        <v>45672</v>
      </c>
      <c r="D207" t="inlineStr">
        <is>
          <t>NORRBOTTENS LÄN</t>
        </is>
      </c>
      <c r="E207" t="inlineStr">
        <is>
          <t>GÄLLIVARE</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1723-2020</t>
        </is>
      </c>
      <c r="B208" s="1" t="n">
        <v>43844</v>
      </c>
      <c r="C208" s="1" t="n">
        <v>45672</v>
      </c>
      <c r="D208" t="inlineStr">
        <is>
          <t>NORRBOTTENS LÄN</t>
        </is>
      </c>
      <c r="E208" t="inlineStr">
        <is>
          <t>GÄLLIVARE</t>
        </is>
      </c>
      <c r="F208" t="inlineStr">
        <is>
          <t>Sveaskog</t>
        </is>
      </c>
      <c r="G208" t="n">
        <v>16.9</v>
      </c>
      <c r="H208" t="n">
        <v>0</v>
      </c>
      <c r="I208" t="n">
        <v>0</v>
      </c>
      <c r="J208" t="n">
        <v>0</v>
      </c>
      <c r="K208" t="n">
        <v>0</v>
      </c>
      <c r="L208" t="n">
        <v>0</v>
      </c>
      <c r="M208" t="n">
        <v>0</v>
      </c>
      <c r="N208" t="n">
        <v>0</v>
      </c>
      <c r="O208" t="n">
        <v>0</v>
      </c>
      <c r="P208" t="n">
        <v>0</v>
      </c>
      <c r="Q208" t="n">
        <v>0</v>
      </c>
      <c r="R208" s="2" t="inlineStr"/>
    </row>
    <row r="209" ht="15" customHeight="1">
      <c r="A209" t="inlineStr">
        <is>
          <t>A 8575-2020</t>
        </is>
      </c>
      <c r="B209" s="1" t="n">
        <v>43875</v>
      </c>
      <c r="C209" s="1" t="n">
        <v>45672</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8572-2020</t>
        </is>
      </c>
      <c r="B210" s="1" t="n">
        <v>43875</v>
      </c>
      <c r="C210" s="1" t="n">
        <v>45672</v>
      </c>
      <c r="D210" t="inlineStr">
        <is>
          <t>NORRBOTTENS LÄN</t>
        </is>
      </c>
      <c r="E210" t="inlineStr">
        <is>
          <t>GÄLLIVARE</t>
        </is>
      </c>
      <c r="G210" t="n">
        <v>7.5</v>
      </c>
      <c r="H210" t="n">
        <v>0</v>
      </c>
      <c r="I210" t="n">
        <v>0</v>
      </c>
      <c r="J210" t="n">
        <v>0</v>
      </c>
      <c r="K210" t="n">
        <v>0</v>
      </c>
      <c r="L210" t="n">
        <v>0</v>
      </c>
      <c r="M210" t="n">
        <v>0</v>
      </c>
      <c r="N210" t="n">
        <v>0</v>
      </c>
      <c r="O210" t="n">
        <v>0</v>
      </c>
      <c r="P210" t="n">
        <v>0</v>
      </c>
      <c r="Q210" t="n">
        <v>0</v>
      </c>
      <c r="R210" s="2" t="inlineStr"/>
    </row>
    <row r="211" ht="15" customHeight="1">
      <c r="A211" t="inlineStr">
        <is>
          <t>A 11758-2020</t>
        </is>
      </c>
      <c r="B211" s="1" t="n">
        <v>43887</v>
      </c>
      <c r="C211" s="1" t="n">
        <v>45672</v>
      </c>
      <c r="D211" t="inlineStr">
        <is>
          <t>NORRBOTTENS LÄN</t>
        </is>
      </c>
      <c r="E211" t="inlineStr">
        <is>
          <t>GÄLLIVARE</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11136-2020</t>
        </is>
      </c>
      <c r="B212" s="1" t="n">
        <v>43890</v>
      </c>
      <c r="C212" s="1" t="n">
        <v>45672</v>
      </c>
      <c r="D212" t="inlineStr">
        <is>
          <t>NORRBOTTENS LÄN</t>
        </is>
      </c>
      <c r="E212" t="inlineStr">
        <is>
          <t>GÄLLIVARE</t>
        </is>
      </c>
      <c r="G212" t="n">
        <v>13.4</v>
      </c>
      <c r="H212" t="n">
        <v>0</v>
      </c>
      <c r="I212" t="n">
        <v>0</v>
      </c>
      <c r="J212" t="n">
        <v>0</v>
      </c>
      <c r="K212" t="n">
        <v>0</v>
      </c>
      <c r="L212" t="n">
        <v>0</v>
      </c>
      <c r="M212" t="n">
        <v>0</v>
      </c>
      <c r="N212" t="n">
        <v>0</v>
      </c>
      <c r="O212" t="n">
        <v>0</v>
      </c>
      <c r="P212" t="n">
        <v>0</v>
      </c>
      <c r="Q212" t="n">
        <v>0</v>
      </c>
      <c r="R212" s="2" t="inlineStr"/>
    </row>
    <row r="213" ht="15" customHeight="1">
      <c r="A213" t="inlineStr">
        <is>
          <t>A 16621-2020</t>
        </is>
      </c>
      <c r="B213" s="1" t="n">
        <v>43910</v>
      </c>
      <c r="C213" s="1" t="n">
        <v>45672</v>
      </c>
      <c r="D213" t="inlineStr">
        <is>
          <t>NORRBOTTENS LÄN</t>
        </is>
      </c>
      <c r="E213" t="inlineStr">
        <is>
          <t>GÄLLIVARE</t>
        </is>
      </c>
      <c r="G213" t="n">
        <v>13.2</v>
      </c>
      <c r="H213" t="n">
        <v>0</v>
      </c>
      <c r="I213" t="n">
        <v>0</v>
      </c>
      <c r="J213" t="n">
        <v>0</v>
      </c>
      <c r="K213" t="n">
        <v>0</v>
      </c>
      <c r="L213" t="n">
        <v>0</v>
      </c>
      <c r="M213" t="n">
        <v>0</v>
      </c>
      <c r="N213" t="n">
        <v>0</v>
      </c>
      <c r="O213" t="n">
        <v>0</v>
      </c>
      <c r="P213" t="n">
        <v>0</v>
      </c>
      <c r="Q213" t="n">
        <v>0</v>
      </c>
      <c r="R213" s="2" t="inlineStr"/>
    </row>
    <row r="214" ht="15" customHeight="1">
      <c r="A214" t="inlineStr">
        <is>
          <t>A 15644-2020</t>
        </is>
      </c>
      <c r="B214" s="1" t="n">
        <v>43914</v>
      </c>
      <c r="C214" s="1" t="n">
        <v>45672</v>
      </c>
      <c r="D214" t="inlineStr">
        <is>
          <t>NORRBOTTENS LÄN</t>
        </is>
      </c>
      <c r="E214" t="inlineStr">
        <is>
          <t>GÄLLIVARE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15636-2020</t>
        </is>
      </c>
      <c r="B215" s="1" t="n">
        <v>43914</v>
      </c>
      <c r="C215" s="1" t="n">
        <v>45672</v>
      </c>
      <c r="D215" t="inlineStr">
        <is>
          <t>NORRBOTTENS LÄN</t>
        </is>
      </c>
      <c r="E215" t="inlineStr">
        <is>
          <t>GÄLLIVARE</t>
        </is>
      </c>
      <c r="F215" t="inlineStr">
        <is>
          <t>SCA</t>
        </is>
      </c>
      <c r="G215" t="n">
        <v>4.9</v>
      </c>
      <c r="H215" t="n">
        <v>0</v>
      </c>
      <c r="I215" t="n">
        <v>0</v>
      </c>
      <c r="J215" t="n">
        <v>0</v>
      </c>
      <c r="K215" t="n">
        <v>0</v>
      </c>
      <c r="L215" t="n">
        <v>0</v>
      </c>
      <c r="M215" t="n">
        <v>0</v>
      </c>
      <c r="N215" t="n">
        <v>0</v>
      </c>
      <c r="O215" t="n">
        <v>0</v>
      </c>
      <c r="P215" t="n">
        <v>0</v>
      </c>
      <c r="Q215" t="n">
        <v>0</v>
      </c>
      <c r="R215" s="2" t="inlineStr"/>
    </row>
    <row r="216" ht="15" customHeight="1">
      <c r="A216" t="inlineStr">
        <is>
          <t>A 15642-2020</t>
        </is>
      </c>
      <c r="B216" s="1" t="n">
        <v>43914</v>
      </c>
      <c r="C216" s="1" t="n">
        <v>45672</v>
      </c>
      <c r="D216" t="inlineStr">
        <is>
          <t>NORRBOTTENS LÄN</t>
        </is>
      </c>
      <c r="E216" t="inlineStr">
        <is>
          <t>GÄLLIVARE</t>
        </is>
      </c>
      <c r="F216" t="inlineStr">
        <is>
          <t>SCA</t>
        </is>
      </c>
      <c r="G216" t="n">
        <v>6</v>
      </c>
      <c r="H216" t="n">
        <v>0</v>
      </c>
      <c r="I216" t="n">
        <v>0</v>
      </c>
      <c r="J216" t="n">
        <v>0</v>
      </c>
      <c r="K216" t="n">
        <v>0</v>
      </c>
      <c r="L216" t="n">
        <v>0</v>
      </c>
      <c r="M216" t="n">
        <v>0</v>
      </c>
      <c r="N216" t="n">
        <v>0</v>
      </c>
      <c r="O216" t="n">
        <v>0</v>
      </c>
      <c r="P216" t="n">
        <v>0</v>
      </c>
      <c r="Q216" t="n">
        <v>0</v>
      </c>
      <c r="R216" s="2" t="inlineStr"/>
    </row>
    <row r="217" ht="15" customHeight="1">
      <c r="A217" t="inlineStr">
        <is>
          <t>A 15637-2020</t>
        </is>
      </c>
      <c r="B217" s="1" t="n">
        <v>43914</v>
      </c>
      <c r="C217" s="1" t="n">
        <v>45672</v>
      </c>
      <c r="D217" t="inlineStr">
        <is>
          <t>NORRBOTTENS LÄN</t>
        </is>
      </c>
      <c r="E217" t="inlineStr">
        <is>
          <t>GÄLLIVARE</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15643-2020</t>
        </is>
      </c>
      <c r="B218" s="1" t="n">
        <v>43914</v>
      </c>
      <c r="C218" s="1" t="n">
        <v>45672</v>
      </c>
      <c r="D218" t="inlineStr">
        <is>
          <t>NORRBOTTENS LÄN</t>
        </is>
      </c>
      <c r="E218" t="inlineStr">
        <is>
          <t>GÄLLIVARE</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16162-2020</t>
        </is>
      </c>
      <c r="B219" s="1" t="n">
        <v>43916</v>
      </c>
      <c r="C219" s="1" t="n">
        <v>45672</v>
      </c>
      <c r="D219" t="inlineStr">
        <is>
          <t>NORRBOTTENS LÄN</t>
        </is>
      </c>
      <c r="E219" t="inlineStr">
        <is>
          <t>GÄLLIVARE</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16161-2020</t>
        </is>
      </c>
      <c r="B220" s="1" t="n">
        <v>43916</v>
      </c>
      <c r="C220" s="1" t="n">
        <v>45672</v>
      </c>
      <c r="D220" t="inlineStr">
        <is>
          <t>NORRBOTTENS LÄN</t>
        </is>
      </c>
      <c r="E220" t="inlineStr">
        <is>
          <t>GÄLLIVARE</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16164-2020</t>
        </is>
      </c>
      <c r="B221" s="1" t="n">
        <v>43916</v>
      </c>
      <c r="C221" s="1" t="n">
        <v>45672</v>
      </c>
      <c r="D221" t="inlineStr">
        <is>
          <t>NORRBOTTENS LÄN</t>
        </is>
      </c>
      <c r="E221" t="inlineStr">
        <is>
          <t>GÄLLIVARE</t>
        </is>
      </c>
      <c r="F221" t="inlineStr">
        <is>
          <t>SCA</t>
        </is>
      </c>
      <c r="G221" t="n">
        <v>11.8</v>
      </c>
      <c r="H221" t="n">
        <v>0</v>
      </c>
      <c r="I221" t="n">
        <v>0</v>
      </c>
      <c r="J221" t="n">
        <v>0</v>
      </c>
      <c r="K221" t="n">
        <v>0</v>
      </c>
      <c r="L221" t="n">
        <v>0</v>
      </c>
      <c r="M221" t="n">
        <v>0</v>
      </c>
      <c r="N221" t="n">
        <v>0</v>
      </c>
      <c r="O221" t="n">
        <v>0</v>
      </c>
      <c r="P221" t="n">
        <v>0</v>
      </c>
      <c r="Q221" t="n">
        <v>0</v>
      </c>
      <c r="R221" s="2" t="inlineStr"/>
    </row>
    <row r="222" ht="15" customHeight="1">
      <c r="A222" t="inlineStr">
        <is>
          <t>A 16163-2020</t>
        </is>
      </c>
      <c r="B222" s="1" t="n">
        <v>43916</v>
      </c>
      <c r="C222" s="1" t="n">
        <v>45672</v>
      </c>
      <c r="D222" t="inlineStr">
        <is>
          <t>NORRBOTTENS LÄN</t>
        </is>
      </c>
      <c r="E222" t="inlineStr">
        <is>
          <t>GÄLLIVARE</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16424-2020</t>
        </is>
      </c>
      <c r="B223" s="1" t="n">
        <v>43919</v>
      </c>
      <c r="C223" s="1" t="n">
        <v>45672</v>
      </c>
      <c r="D223" t="inlineStr">
        <is>
          <t>NORRBOTTENS LÄN</t>
        </is>
      </c>
      <c r="E223" t="inlineStr">
        <is>
          <t>GÄLLIVARE</t>
        </is>
      </c>
      <c r="G223" t="n">
        <v>3.8</v>
      </c>
      <c r="H223" t="n">
        <v>0</v>
      </c>
      <c r="I223" t="n">
        <v>0</v>
      </c>
      <c r="J223" t="n">
        <v>0</v>
      </c>
      <c r="K223" t="n">
        <v>0</v>
      </c>
      <c r="L223" t="n">
        <v>0</v>
      </c>
      <c r="M223" t="n">
        <v>0</v>
      </c>
      <c r="N223" t="n">
        <v>0</v>
      </c>
      <c r="O223" t="n">
        <v>0</v>
      </c>
      <c r="P223" t="n">
        <v>0</v>
      </c>
      <c r="Q223" t="n">
        <v>0</v>
      </c>
      <c r="R223" s="2" t="inlineStr"/>
    </row>
    <row r="224" ht="15" customHeight="1">
      <c r="A224" t="inlineStr">
        <is>
          <t>A 18213-2020</t>
        </is>
      </c>
      <c r="B224" s="1" t="n">
        <v>43927</v>
      </c>
      <c r="C224" s="1" t="n">
        <v>45672</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18203-2020</t>
        </is>
      </c>
      <c r="B225" s="1" t="n">
        <v>43927</v>
      </c>
      <c r="C225" s="1" t="n">
        <v>45672</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18214-2020</t>
        </is>
      </c>
      <c r="B226" s="1" t="n">
        <v>43927</v>
      </c>
      <c r="C226" s="1" t="n">
        <v>45672</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22779-2020</t>
        </is>
      </c>
      <c r="B227" s="1" t="n">
        <v>43958</v>
      </c>
      <c r="C227" s="1" t="n">
        <v>45672</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22780-2020</t>
        </is>
      </c>
      <c r="B228" s="1" t="n">
        <v>43958</v>
      </c>
      <c r="C228" s="1" t="n">
        <v>45672</v>
      </c>
      <c r="D228" t="inlineStr">
        <is>
          <t>NORRBOTTENS LÄN</t>
        </is>
      </c>
      <c r="E228" t="inlineStr">
        <is>
          <t>GÄLLIVARE</t>
        </is>
      </c>
      <c r="G228" t="n">
        <v>0.3</v>
      </c>
      <c r="H228" t="n">
        <v>0</v>
      </c>
      <c r="I228" t="n">
        <v>0</v>
      </c>
      <c r="J228" t="n">
        <v>0</v>
      </c>
      <c r="K228" t="n">
        <v>0</v>
      </c>
      <c r="L228" t="n">
        <v>0</v>
      </c>
      <c r="M228" t="n">
        <v>0</v>
      </c>
      <c r="N228" t="n">
        <v>0</v>
      </c>
      <c r="O228" t="n">
        <v>0</v>
      </c>
      <c r="P228" t="n">
        <v>0</v>
      </c>
      <c r="Q228" t="n">
        <v>0</v>
      </c>
      <c r="R228" s="2" t="inlineStr"/>
    </row>
    <row r="229" ht="15" customHeight="1">
      <c r="A229" t="inlineStr">
        <is>
          <t>A 22786-2020</t>
        </is>
      </c>
      <c r="B229" s="1" t="n">
        <v>43958</v>
      </c>
      <c r="C229" s="1" t="n">
        <v>45672</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22774-2020</t>
        </is>
      </c>
      <c r="B230" s="1" t="n">
        <v>43958</v>
      </c>
      <c r="C230" s="1" t="n">
        <v>45672</v>
      </c>
      <c r="D230" t="inlineStr">
        <is>
          <t>NORRBOTTENS LÄN</t>
        </is>
      </c>
      <c r="E230" t="inlineStr">
        <is>
          <t>GÄLLIVARE</t>
        </is>
      </c>
      <c r="G230" t="n">
        <v>0.1</v>
      </c>
      <c r="H230" t="n">
        <v>0</v>
      </c>
      <c r="I230" t="n">
        <v>0</v>
      </c>
      <c r="J230" t="n">
        <v>0</v>
      </c>
      <c r="K230" t="n">
        <v>0</v>
      </c>
      <c r="L230" t="n">
        <v>0</v>
      </c>
      <c r="M230" t="n">
        <v>0</v>
      </c>
      <c r="N230" t="n">
        <v>0</v>
      </c>
      <c r="O230" t="n">
        <v>0</v>
      </c>
      <c r="P230" t="n">
        <v>0</v>
      </c>
      <c r="Q230" t="n">
        <v>0</v>
      </c>
      <c r="R230" s="2" t="inlineStr"/>
    </row>
    <row r="231" ht="15" customHeight="1">
      <c r="A231" t="inlineStr">
        <is>
          <t>A 22784-2020</t>
        </is>
      </c>
      <c r="B231" s="1" t="n">
        <v>43958</v>
      </c>
      <c r="C231" s="1" t="n">
        <v>45672</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22782-2020</t>
        </is>
      </c>
      <c r="B232" s="1" t="n">
        <v>43958</v>
      </c>
      <c r="C232" s="1" t="n">
        <v>45672</v>
      </c>
      <c r="D232" t="inlineStr">
        <is>
          <t>NORRBOTTENS LÄN</t>
        </is>
      </c>
      <c r="E232" t="inlineStr">
        <is>
          <t>GÄLLIVARE</t>
        </is>
      </c>
      <c r="G232" t="n">
        <v>6.9</v>
      </c>
      <c r="H232" t="n">
        <v>0</v>
      </c>
      <c r="I232" t="n">
        <v>0</v>
      </c>
      <c r="J232" t="n">
        <v>0</v>
      </c>
      <c r="K232" t="n">
        <v>0</v>
      </c>
      <c r="L232" t="n">
        <v>0</v>
      </c>
      <c r="M232" t="n">
        <v>0</v>
      </c>
      <c r="N232" t="n">
        <v>0</v>
      </c>
      <c r="O232" t="n">
        <v>0</v>
      </c>
      <c r="P232" t="n">
        <v>0</v>
      </c>
      <c r="Q232" t="n">
        <v>0</v>
      </c>
      <c r="R232" s="2" t="inlineStr"/>
    </row>
    <row r="233" ht="15" customHeight="1">
      <c r="A233" t="inlineStr">
        <is>
          <t>A 22177-2020</t>
        </is>
      </c>
      <c r="B233" s="1" t="n">
        <v>43959</v>
      </c>
      <c r="C233" s="1" t="n">
        <v>45672</v>
      </c>
      <c r="D233" t="inlineStr">
        <is>
          <t>NORRBOTTENS LÄN</t>
        </is>
      </c>
      <c r="E233" t="inlineStr">
        <is>
          <t>GÄLLIVARE</t>
        </is>
      </c>
      <c r="G233" t="n">
        <v>14.2</v>
      </c>
      <c r="H233" t="n">
        <v>0</v>
      </c>
      <c r="I233" t="n">
        <v>0</v>
      </c>
      <c r="J233" t="n">
        <v>0</v>
      </c>
      <c r="K233" t="n">
        <v>0</v>
      </c>
      <c r="L233" t="n">
        <v>0</v>
      </c>
      <c r="M233" t="n">
        <v>0</v>
      </c>
      <c r="N233" t="n">
        <v>0</v>
      </c>
      <c r="O233" t="n">
        <v>0</v>
      </c>
      <c r="P233" t="n">
        <v>0</v>
      </c>
      <c r="Q233" t="n">
        <v>0</v>
      </c>
      <c r="R233" s="2" t="inlineStr"/>
    </row>
    <row r="234" ht="15" customHeight="1">
      <c r="A234" t="inlineStr">
        <is>
          <t>A 24241-2020</t>
        </is>
      </c>
      <c r="B234" s="1" t="n">
        <v>43976</v>
      </c>
      <c r="C234" s="1" t="n">
        <v>45672</v>
      </c>
      <c r="D234" t="inlineStr">
        <is>
          <t>NORRBOTTENS LÄN</t>
        </is>
      </c>
      <c r="E234" t="inlineStr">
        <is>
          <t>GÄLLIVARE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26850-2020</t>
        </is>
      </c>
      <c r="B235" s="1" t="n">
        <v>43987</v>
      </c>
      <c r="C235" s="1" t="n">
        <v>45672</v>
      </c>
      <c r="D235" t="inlineStr">
        <is>
          <t>NORRBOTTENS LÄN</t>
        </is>
      </c>
      <c r="E235" t="inlineStr">
        <is>
          <t>GÄLLIVARE</t>
        </is>
      </c>
      <c r="F235" t="inlineStr">
        <is>
          <t>Allmännings- och besparingsskogar</t>
        </is>
      </c>
      <c r="G235" t="n">
        <v>2.1</v>
      </c>
      <c r="H235" t="n">
        <v>0</v>
      </c>
      <c r="I235" t="n">
        <v>0</v>
      </c>
      <c r="J235" t="n">
        <v>0</v>
      </c>
      <c r="K235" t="n">
        <v>0</v>
      </c>
      <c r="L235" t="n">
        <v>0</v>
      </c>
      <c r="M235" t="n">
        <v>0</v>
      </c>
      <c r="N235" t="n">
        <v>0</v>
      </c>
      <c r="O235" t="n">
        <v>0</v>
      </c>
      <c r="P235" t="n">
        <v>0</v>
      </c>
      <c r="Q235" t="n">
        <v>0</v>
      </c>
      <c r="R235" s="2" t="inlineStr"/>
    </row>
    <row r="236" ht="15" customHeight="1">
      <c r="A236" t="inlineStr">
        <is>
          <t>A 29589-2020</t>
        </is>
      </c>
      <c r="B236" s="1" t="n">
        <v>44004</v>
      </c>
      <c r="C236" s="1" t="n">
        <v>45672</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29981-2020</t>
        </is>
      </c>
      <c r="B237" s="1" t="n">
        <v>44006</v>
      </c>
      <c r="C237" s="1" t="n">
        <v>45672</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32776-2020</t>
        </is>
      </c>
      <c r="B238" s="1" t="n">
        <v>44019</v>
      </c>
      <c r="C238" s="1" t="n">
        <v>45672</v>
      </c>
      <c r="D238" t="inlineStr">
        <is>
          <t>NORRBOTTENS LÄN</t>
        </is>
      </c>
      <c r="E238" t="inlineStr">
        <is>
          <t>GÄLLIVARE</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33595-2020</t>
        </is>
      </c>
      <c r="B239" s="1" t="n">
        <v>44025</v>
      </c>
      <c r="C239" s="1" t="n">
        <v>45672</v>
      </c>
      <c r="D239" t="inlineStr">
        <is>
          <t>NORRBOTTENS LÄN</t>
        </is>
      </c>
      <c r="E239" t="inlineStr">
        <is>
          <t>GÄLLIVARE</t>
        </is>
      </c>
      <c r="F239" t="inlineStr">
        <is>
          <t>Sveaskog</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33981-2020</t>
        </is>
      </c>
      <c r="B240" s="1" t="n">
        <v>44028</v>
      </c>
      <c r="C240" s="1" t="n">
        <v>45672</v>
      </c>
      <c r="D240" t="inlineStr">
        <is>
          <t>NORRBOTTENS LÄN</t>
        </is>
      </c>
      <c r="E240" t="inlineStr">
        <is>
          <t>GÄLLIVARE</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34663-2020</t>
        </is>
      </c>
      <c r="B241" s="1" t="n">
        <v>44034</v>
      </c>
      <c r="C241" s="1" t="n">
        <v>45672</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36333-2020</t>
        </is>
      </c>
      <c r="B242" s="1" t="n">
        <v>44049</v>
      </c>
      <c r="C242" s="1" t="n">
        <v>45672</v>
      </c>
      <c r="D242" t="inlineStr">
        <is>
          <t>NORRBOTTENS LÄN</t>
        </is>
      </c>
      <c r="E242" t="inlineStr">
        <is>
          <t>GÄLLIVARE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36578-2020</t>
        </is>
      </c>
      <c r="B243" s="1" t="n">
        <v>44050</v>
      </c>
      <c r="C243" s="1" t="n">
        <v>45672</v>
      </c>
      <c r="D243" t="inlineStr">
        <is>
          <t>NORRBOTTENS LÄN</t>
        </is>
      </c>
      <c r="E243" t="inlineStr">
        <is>
          <t>GÄLLIVARE</t>
        </is>
      </c>
      <c r="G243" t="n">
        <v>0.6</v>
      </c>
      <c r="H243" t="n">
        <v>0</v>
      </c>
      <c r="I243" t="n">
        <v>0</v>
      </c>
      <c r="J243" t="n">
        <v>0</v>
      </c>
      <c r="K243" t="n">
        <v>0</v>
      </c>
      <c r="L243" t="n">
        <v>0</v>
      </c>
      <c r="M243" t="n">
        <v>0</v>
      </c>
      <c r="N243" t="n">
        <v>0</v>
      </c>
      <c r="O243" t="n">
        <v>0</v>
      </c>
      <c r="P243" t="n">
        <v>0</v>
      </c>
      <c r="Q243" t="n">
        <v>0</v>
      </c>
      <c r="R243" s="2" t="inlineStr"/>
    </row>
    <row r="244" ht="15" customHeight="1">
      <c r="A244" t="inlineStr">
        <is>
          <t>A 37392-2020</t>
        </is>
      </c>
      <c r="B244" s="1" t="n">
        <v>44055</v>
      </c>
      <c r="C244" s="1" t="n">
        <v>45672</v>
      </c>
      <c r="D244" t="inlineStr">
        <is>
          <t>NORRBOTTENS LÄN</t>
        </is>
      </c>
      <c r="E244" t="inlineStr">
        <is>
          <t>GÄLLIVARE</t>
        </is>
      </c>
      <c r="F244" t="inlineStr">
        <is>
          <t>Allmännings- och besparingsskogar</t>
        </is>
      </c>
      <c r="G244" t="n">
        <v>8.4</v>
      </c>
      <c r="H244" t="n">
        <v>0</v>
      </c>
      <c r="I244" t="n">
        <v>0</v>
      </c>
      <c r="J244" t="n">
        <v>0</v>
      </c>
      <c r="K244" t="n">
        <v>0</v>
      </c>
      <c r="L244" t="n">
        <v>0</v>
      </c>
      <c r="M244" t="n">
        <v>0</v>
      </c>
      <c r="N244" t="n">
        <v>0</v>
      </c>
      <c r="O244" t="n">
        <v>0</v>
      </c>
      <c r="P244" t="n">
        <v>0</v>
      </c>
      <c r="Q244" t="n">
        <v>0</v>
      </c>
      <c r="R244" s="2" t="inlineStr"/>
    </row>
    <row r="245" ht="15" customHeight="1">
      <c r="A245" t="inlineStr">
        <is>
          <t>A 38115-2020</t>
        </is>
      </c>
      <c r="B245" s="1" t="n">
        <v>44058</v>
      </c>
      <c r="C245" s="1" t="n">
        <v>45672</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38114-2020</t>
        </is>
      </c>
      <c r="B246" s="1" t="n">
        <v>44058</v>
      </c>
      <c r="C246" s="1" t="n">
        <v>45672</v>
      </c>
      <c r="D246" t="inlineStr">
        <is>
          <t>NORRBOTTENS LÄN</t>
        </is>
      </c>
      <c r="E246" t="inlineStr">
        <is>
          <t>GÄLLIVARE</t>
        </is>
      </c>
      <c r="G246" t="n">
        <v>0.2</v>
      </c>
      <c r="H246" t="n">
        <v>0</v>
      </c>
      <c r="I246" t="n">
        <v>0</v>
      </c>
      <c r="J246" t="n">
        <v>0</v>
      </c>
      <c r="K246" t="n">
        <v>0</v>
      </c>
      <c r="L246" t="n">
        <v>0</v>
      </c>
      <c r="M246" t="n">
        <v>0</v>
      </c>
      <c r="N246" t="n">
        <v>0</v>
      </c>
      <c r="O246" t="n">
        <v>0</v>
      </c>
      <c r="P246" t="n">
        <v>0</v>
      </c>
      <c r="Q246" t="n">
        <v>0</v>
      </c>
      <c r="R246" s="2" t="inlineStr"/>
    </row>
    <row r="247" ht="15" customHeight="1">
      <c r="A247" t="inlineStr">
        <is>
          <t>A 39248-2020</t>
        </is>
      </c>
      <c r="B247" s="1" t="n">
        <v>44063</v>
      </c>
      <c r="C247" s="1" t="n">
        <v>45672</v>
      </c>
      <c r="D247" t="inlineStr">
        <is>
          <t>NORRBOTTENS LÄN</t>
        </is>
      </c>
      <c r="E247" t="inlineStr">
        <is>
          <t>GÄLLIVARE</t>
        </is>
      </c>
      <c r="G247" t="n">
        <v>0.6</v>
      </c>
      <c r="H247" t="n">
        <v>0</v>
      </c>
      <c r="I247" t="n">
        <v>0</v>
      </c>
      <c r="J247" t="n">
        <v>0</v>
      </c>
      <c r="K247" t="n">
        <v>0</v>
      </c>
      <c r="L247" t="n">
        <v>0</v>
      </c>
      <c r="M247" t="n">
        <v>0</v>
      </c>
      <c r="N247" t="n">
        <v>0</v>
      </c>
      <c r="O247" t="n">
        <v>0</v>
      </c>
      <c r="P247" t="n">
        <v>0</v>
      </c>
      <c r="Q247" t="n">
        <v>0</v>
      </c>
      <c r="R247" s="2" t="inlineStr"/>
    </row>
    <row r="248" ht="15" customHeight="1">
      <c r="A248" t="inlineStr">
        <is>
          <t>A 39319-2020</t>
        </is>
      </c>
      <c r="B248" s="1" t="n">
        <v>44063</v>
      </c>
      <c r="C248" s="1" t="n">
        <v>45672</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39330-2020</t>
        </is>
      </c>
      <c r="B249" s="1" t="n">
        <v>44063</v>
      </c>
      <c r="C249" s="1" t="n">
        <v>45672</v>
      </c>
      <c r="D249" t="inlineStr">
        <is>
          <t>NORRBOTTENS LÄN</t>
        </is>
      </c>
      <c r="E249" t="inlineStr">
        <is>
          <t>GÄLLIVARE</t>
        </is>
      </c>
      <c r="G249" t="n">
        <v>1.9</v>
      </c>
      <c r="H249" t="n">
        <v>0</v>
      </c>
      <c r="I249" t="n">
        <v>0</v>
      </c>
      <c r="J249" t="n">
        <v>0</v>
      </c>
      <c r="K249" t="n">
        <v>0</v>
      </c>
      <c r="L249" t="n">
        <v>0</v>
      </c>
      <c r="M249" t="n">
        <v>0</v>
      </c>
      <c r="N249" t="n">
        <v>0</v>
      </c>
      <c r="O249" t="n">
        <v>0</v>
      </c>
      <c r="P249" t="n">
        <v>0</v>
      </c>
      <c r="Q249" t="n">
        <v>0</v>
      </c>
      <c r="R249" s="2" t="inlineStr"/>
    </row>
    <row r="250" ht="15" customHeight="1">
      <c r="A250" t="inlineStr">
        <is>
          <t>A 39331-2020</t>
        </is>
      </c>
      <c r="B250" s="1" t="n">
        <v>44063</v>
      </c>
      <c r="C250" s="1" t="n">
        <v>45672</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40899-2020</t>
        </is>
      </c>
      <c r="B251" s="1" t="n">
        <v>44070</v>
      </c>
      <c r="C251" s="1" t="n">
        <v>45672</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41736-2020</t>
        </is>
      </c>
      <c r="B252" s="1" t="n">
        <v>44070</v>
      </c>
      <c r="C252" s="1" t="n">
        <v>45672</v>
      </c>
      <c r="D252" t="inlineStr">
        <is>
          <t>NORRBOTTENS LÄN</t>
        </is>
      </c>
      <c r="E252" t="inlineStr">
        <is>
          <t>GÄLLIVARE</t>
        </is>
      </c>
      <c r="F252" t="inlineStr">
        <is>
          <t>Allmännings- och besparingsskogar</t>
        </is>
      </c>
      <c r="G252" t="n">
        <v>18</v>
      </c>
      <c r="H252" t="n">
        <v>0</v>
      </c>
      <c r="I252" t="n">
        <v>0</v>
      </c>
      <c r="J252" t="n">
        <v>0</v>
      </c>
      <c r="K252" t="n">
        <v>0</v>
      </c>
      <c r="L252" t="n">
        <v>0</v>
      </c>
      <c r="M252" t="n">
        <v>0</v>
      </c>
      <c r="N252" t="n">
        <v>0</v>
      </c>
      <c r="O252" t="n">
        <v>0</v>
      </c>
      <c r="P252" t="n">
        <v>0</v>
      </c>
      <c r="Q252" t="n">
        <v>0</v>
      </c>
      <c r="R252" s="2" t="inlineStr"/>
    </row>
    <row r="253" ht="15" customHeight="1">
      <c r="A253" t="inlineStr">
        <is>
          <t>A 41692-2020</t>
        </is>
      </c>
      <c r="B253" s="1" t="n">
        <v>44070</v>
      </c>
      <c r="C253" s="1" t="n">
        <v>45672</v>
      </c>
      <c r="D253" t="inlineStr">
        <is>
          <t>NORRBOTTENS LÄN</t>
        </is>
      </c>
      <c r="E253" t="inlineStr">
        <is>
          <t>GÄLLIVARE</t>
        </is>
      </c>
      <c r="F253" t="inlineStr">
        <is>
          <t>Allmännings- och besparingsskogar</t>
        </is>
      </c>
      <c r="G253" t="n">
        <v>27.7</v>
      </c>
      <c r="H253" t="n">
        <v>0</v>
      </c>
      <c r="I253" t="n">
        <v>0</v>
      </c>
      <c r="J253" t="n">
        <v>0</v>
      </c>
      <c r="K253" t="n">
        <v>0</v>
      </c>
      <c r="L253" t="n">
        <v>0</v>
      </c>
      <c r="M253" t="n">
        <v>0</v>
      </c>
      <c r="N253" t="n">
        <v>0</v>
      </c>
      <c r="O253" t="n">
        <v>0</v>
      </c>
      <c r="P253" t="n">
        <v>0</v>
      </c>
      <c r="Q253" t="n">
        <v>0</v>
      </c>
      <c r="R253" s="2" t="inlineStr"/>
    </row>
    <row r="254" ht="15" customHeight="1">
      <c r="A254" t="inlineStr">
        <is>
          <t>A 43909-2020</t>
        </is>
      </c>
      <c r="B254" s="1" t="n">
        <v>44081</v>
      </c>
      <c r="C254" s="1" t="n">
        <v>45672</v>
      </c>
      <c r="D254" t="inlineStr">
        <is>
          <t>NORRBOTTENS LÄN</t>
        </is>
      </c>
      <c r="E254" t="inlineStr">
        <is>
          <t>GÄLLIVARE</t>
        </is>
      </c>
      <c r="G254" t="n">
        <v>14.2</v>
      </c>
      <c r="H254" t="n">
        <v>0</v>
      </c>
      <c r="I254" t="n">
        <v>0</v>
      </c>
      <c r="J254" t="n">
        <v>0</v>
      </c>
      <c r="K254" t="n">
        <v>0</v>
      </c>
      <c r="L254" t="n">
        <v>0</v>
      </c>
      <c r="M254" t="n">
        <v>0</v>
      </c>
      <c r="N254" t="n">
        <v>0</v>
      </c>
      <c r="O254" t="n">
        <v>0</v>
      </c>
      <c r="P254" t="n">
        <v>0</v>
      </c>
      <c r="Q254" t="n">
        <v>0</v>
      </c>
      <c r="R254" s="2" t="inlineStr"/>
    </row>
    <row r="255" ht="15" customHeight="1">
      <c r="A255" t="inlineStr">
        <is>
          <t>A 43910-2020</t>
        </is>
      </c>
      <c r="B255" s="1" t="n">
        <v>44081</v>
      </c>
      <c r="C255" s="1" t="n">
        <v>45672</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46133-2020</t>
        </is>
      </c>
      <c r="B256" s="1" t="n">
        <v>44091</v>
      </c>
      <c r="C256" s="1" t="n">
        <v>45672</v>
      </c>
      <c r="D256" t="inlineStr">
        <is>
          <t>NORRBOTTENS LÄN</t>
        </is>
      </c>
      <c r="E256" t="inlineStr">
        <is>
          <t>GÄLLIVARE</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46131-2020</t>
        </is>
      </c>
      <c r="B257" s="1" t="n">
        <v>44091</v>
      </c>
      <c r="C257" s="1" t="n">
        <v>45672</v>
      </c>
      <c r="D257" t="inlineStr">
        <is>
          <t>NORRBOTTENS LÄN</t>
        </is>
      </c>
      <c r="E257" t="inlineStr">
        <is>
          <t>GÄLLIVARE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46368-2020</t>
        </is>
      </c>
      <c r="B258" s="1" t="n">
        <v>44092</v>
      </c>
      <c r="C258" s="1" t="n">
        <v>45672</v>
      </c>
      <c r="D258" t="inlineStr">
        <is>
          <t>NORRBOTTENS LÄN</t>
        </is>
      </c>
      <c r="E258" t="inlineStr">
        <is>
          <t>GÄLLIVARE</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47311-2020</t>
        </is>
      </c>
      <c r="B259" s="1" t="n">
        <v>44095</v>
      </c>
      <c r="C259" s="1" t="n">
        <v>45672</v>
      </c>
      <c r="D259" t="inlineStr">
        <is>
          <t>NORRBOTTENS LÄN</t>
        </is>
      </c>
      <c r="E259" t="inlineStr">
        <is>
          <t>GÄLLIVARE</t>
        </is>
      </c>
      <c r="G259" t="n">
        <v>1.1</v>
      </c>
      <c r="H259" t="n">
        <v>0</v>
      </c>
      <c r="I259" t="n">
        <v>0</v>
      </c>
      <c r="J259" t="n">
        <v>0</v>
      </c>
      <c r="K259" t="n">
        <v>0</v>
      </c>
      <c r="L259" t="n">
        <v>0</v>
      </c>
      <c r="M259" t="n">
        <v>0</v>
      </c>
      <c r="N259" t="n">
        <v>0</v>
      </c>
      <c r="O259" t="n">
        <v>0</v>
      </c>
      <c r="P259" t="n">
        <v>0</v>
      </c>
      <c r="Q259" t="n">
        <v>0</v>
      </c>
      <c r="R259" s="2" t="inlineStr"/>
    </row>
    <row r="260" ht="15" customHeight="1">
      <c r="A260" t="inlineStr">
        <is>
          <t>A 47379-2020</t>
        </is>
      </c>
      <c r="B260" s="1" t="n">
        <v>44097</v>
      </c>
      <c r="C260" s="1" t="n">
        <v>45672</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row>
    <row r="261" ht="15" customHeight="1">
      <c r="A261" t="inlineStr">
        <is>
          <t>A 49013-2020</t>
        </is>
      </c>
      <c r="B261" s="1" t="n">
        <v>44104</v>
      </c>
      <c r="C261" s="1" t="n">
        <v>45672</v>
      </c>
      <c r="D261" t="inlineStr">
        <is>
          <t>NORRBOTTENS LÄN</t>
        </is>
      </c>
      <c r="E261" t="inlineStr">
        <is>
          <t>GÄLLIVARE</t>
        </is>
      </c>
      <c r="G261" t="n">
        <v>2.2</v>
      </c>
      <c r="H261" t="n">
        <v>0</v>
      </c>
      <c r="I261" t="n">
        <v>0</v>
      </c>
      <c r="J261" t="n">
        <v>0</v>
      </c>
      <c r="K261" t="n">
        <v>0</v>
      </c>
      <c r="L261" t="n">
        <v>0</v>
      </c>
      <c r="M261" t="n">
        <v>0</v>
      </c>
      <c r="N261" t="n">
        <v>0</v>
      </c>
      <c r="O261" t="n">
        <v>0</v>
      </c>
      <c r="P261" t="n">
        <v>0</v>
      </c>
      <c r="Q261" t="n">
        <v>0</v>
      </c>
      <c r="R261" s="2" t="inlineStr"/>
    </row>
    <row r="262" ht="15" customHeight="1">
      <c r="A262" t="inlineStr">
        <is>
          <t>A 49019-2020</t>
        </is>
      </c>
      <c r="B262" s="1" t="n">
        <v>44104</v>
      </c>
      <c r="C262" s="1" t="n">
        <v>45672</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51992-2020</t>
        </is>
      </c>
      <c r="B263" s="1" t="n">
        <v>44109</v>
      </c>
      <c r="C263" s="1" t="n">
        <v>45672</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51701-2020</t>
        </is>
      </c>
      <c r="B264" s="1" t="n">
        <v>44113</v>
      </c>
      <c r="C264" s="1" t="n">
        <v>45672</v>
      </c>
      <c r="D264" t="inlineStr">
        <is>
          <t>NORRBOTTENS LÄN</t>
        </is>
      </c>
      <c r="E264" t="inlineStr">
        <is>
          <t>GÄLLIVARE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51706-2020</t>
        </is>
      </c>
      <c r="B265" s="1" t="n">
        <v>44113</v>
      </c>
      <c r="C265" s="1" t="n">
        <v>45672</v>
      </c>
      <c r="D265" t="inlineStr">
        <is>
          <t>NORRBOTTENS LÄN</t>
        </is>
      </c>
      <c r="E265" t="inlineStr">
        <is>
          <t>GÄLLIVARE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51700-2020</t>
        </is>
      </c>
      <c r="B266" s="1" t="n">
        <v>44113</v>
      </c>
      <c r="C266" s="1" t="n">
        <v>45672</v>
      </c>
      <c r="D266" t="inlineStr">
        <is>
          <t>NORRBOTTENS LÄN</t>
        </is>
      </c>
      <c r="E266" t="inlineStr">
        <is>
          <t>GÄLLIVARE</t>
        </is>
      </c>
      <c r="F266" t="inlineStr">
        <is>
          <t>SCA</t>
        </is>
      </c>
      <c r="G266" t="n">
        <v>6.8</v>
      </c>
      <c r="H266" t="n">
        <v>0</v>
      </c>
      <c r="I266" t="n">
        <v>0</v>
      </c>
      <c r="J266" t="n">
        <v>0</v>
      </c>
      <c r="K266" t="n">
        <v>0</v>
      </c>
      <c r="L266" t="n">
        <v>0</v>
      </c>
      <c r="M266" t="n">
        <v>0</v>
      </c>
      <c r="N266" t="n">
        <v>0</v>
      </c>
      <c r="O266" t="n">
        <v>0</v>
      </c>
      <c r="P266" t="n">
        <v>0</v>
      </c>
      <c r="Q266" t="n">
        <v>0</v>
      </c>
      <c r="R266" s="2" t="inlineStr"/>
    </row>
    <row r="267" ht="15" customHeight="1">
      <c r="A267" t="inlineStr">
        <is>
          <t>A 51713-2020</t>
        </is>
      </c>
      <c r="B267" s="1" t="n">
        <v>44113</v>
      </c>
      <c r="C267" s="1" t="n">
        <v>45672</v>
      </c>
      <c r="D267" t="inlineStr">
        <is>
          <t>NORRBOTTENS LÄN</t>
        </is>
      </c>
      <c r="E267" t="inlineStr">
        <is>
          <t>GÄLLIVARE</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52061-2020</t>
        </is>
      </c>
      <c r="B268" s="1" t="n">
        <v>44116</v>
      </c>
      <c r="C268" s="1" t="n">
        <v>45672</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52055-2020</t>
        </is>
      </c>
      <c r="B269" s="1" t="n">
        <v>44116</v>
      </c>
      <c r="C269" s="1" t="n">
        <v>45672</v>
      </c>
      <c r="D269" t="inlineStr">
        <is>
          <t>NORRBOTTENS LÄN</t>
        </is>
      </c>
      <c r="E269" t="inlineStr">
        <is>
          <t>GÄLLIVARE</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55168-2020</t>
        </is>
      </c>
      <c r="B270" s="1" t="n">
        <v>44130</v>
      </c>
      <c r="C270" s="1" t="n">
        <v>45672</v>
      </c>
      <c r="D270" t="inlineStr">
        <is>
          <t>NORRBOTTENS LÄN</t>
        </is>
      </c>
      <c r="E270" t="inlineStr">
        <is>
          <t>GÄLLIVARE</t>
        </is>
      </c>
      <c r="G270" t="n">
        <v>0.7</v>
      </c>
      <c r="H270" t="n">
        <v>0</v>
      </c>
      <c r="I270" t="n">
        <v>0</v>
      </c>
      <c r="J270" t="n">
        <v>0</v>
      </c>
      <c r="K270" t="n">
        <v>0</v>
      </c>
      <c r="L270" t="n">
        <v>0</v>
      </c>
      <c r="M270" t="n">
        <v>0</v>
      </c>
      <c r="N270" t="n">
        <v>0</v>
      </c>
      <c r="O270" t="n">
        <v>0</v>
      </c>
      <c r="P270" t="n">
        <v>0</v>
      </c>
      <c r="Q270" t="n">
        <v>0</v>
      </c>
      <c r="R270" s="2" t="inlineStr"/>
    </row>
    <row r="271" ht="15" customHeight="1">
      <c r="A271" t="inlineStr">
        <is>
          <t>A 55180-2020</t>
        </is>
      </c>
      <c r="B271" s="1" t="n">
        <v>44130</v>
      </c>
      <c r="C271" s="1" t="n">
        <v>45672</v>
      </c>
      <c r="D271" t="inlineStr">
        <is>
          <t>NORRBOTTENS LÄN</t>
        </is>
      </c>
      <c r="E271" t="inlineStr">
        <is>
          <t>GÄLLIVARE</t>
        </is>
      </c>
      <c r="G271" t="n">
        <v>5.3</v>
      </c>
      <c r="H271" t="n">
        <v>0</v>
      </c>
      <c r="I271" t="n">
        <v>0</v>
      </c>
      <c r="J271" t="n">
        <v>0</v>
      </c>
      <c r="K271" t="n">
        <v>0</v>
      </c>
      <c r="L271" t="n">
        <v>0</v>
      </c>
      <c r="M271" t="n">
        <v>0</v>
      </c>
      <c r="N271" t="n">
        <v>0</v>
      </c>
      <c r="O271" t="n">
        <v>0</v>
      </c>
      <c r="P271" t="n">
        <v>0</v>
      </c>
      <c r="Q271" t="n">
        <v>0</v>
      </c>
      <c r="R271" s="2" t="inlineStr"/>
    </row>
    <row r="272" ht="15" customHeight="1">
      <c r="A272" t="inlineStr">
        <is>
          <t>A 58384-2020</t>
        </is>
      </c>
      <c r="B272" s="1" t="n">
        <v>44144</v>
      </c>
      <c r="C272" s="1" t="n">
        <v>45672</v>
      </c>
      <c r="D272" t="inlineStr">
        <is>
          <t>NORRBOTTENS LÄN</t>
        </is>
      </c>
      <c r="E272" t="inlineStr">
        <is>
          <t>GÄLLIVARE</t>
        </is>
      </c>
      <c r="F272" t="inlineStr">
        <is>
          <t>Allmännings- och besparingsskogar</t>
        </is>
      </c>
      <c r="G272" t="n">
        <v>7.1</v>
      </c>
      <c r="H272" t="n">
        <v>0</v>
      </c>
      <c r="I272" t="n">
        <v>0</v>
      </c>
      <c r="J272" t="n">
        <v>0</v>
      </c>
      <c r="K272" t="n">
        <v>0</v>
      </c>
      <c r="L272" t="n">
        <v>0</v>
      </c>
      <c r="M272" t="n">
        <v>0</v>
      </c>
      <c r="N272" t="n">
        <v>0</v>
      </c>
      <c r="O272" t="n">
        <v>0</v>
      </c>
      <c r="P272" t="n">
        <v>0</v>
      </c>
      <c r="Q272" t="n">
        <v>0</v>
      </c>
      <c r="R272" s="2" t="inlineStr"/>
    </row>
    <row r="273" ht="15" customHeight="1">
      <c r="A273" t="inlineStr">
        <is>
          <t>A 58409-2020</t>
        </is>
      </c>
      <c r="B273" s="1" t="n">
        <v>44144</v>
      </c>
      <c r="C273" s="1" t="n">
        <v>45672</v>
      </c>
      <c r="D273" t="inlineStr">
        <is>
          <t>NORRBOTTENS LÄN</t>
        </is>
      </c>
      <c r="E273" t="inlineStr">
        <is>
          <t>GÄLLIVARE</t>
        </is>
      </c>
      <c r="F273" t="inlineStr">
        <is>
          <t>Allmännings- och besparingsskogar</t>
        </is>
      </c>
      <c r="G273" t="n">
        <v>9.1</v>
      </c>
      <c r="H273" t="n">
        <v>0</v>
      </c>
      <c r="I273" t="n">
        <v>0</v>
      </c>
      <c r="J273" t="n">
        <v>0</v>
      </c>
      <c r="K273" t="n">
        <v>0</v>
      </c>
      <c r="L273" t="n">
        <v>0</v>
      </c>
      <c r="M273" t="n">
        <v>0</v>
      </c>
      <c r="N273" t="n">
        <v>0</v>
      </c>
      <c r="O273" t="n">
        <v>0</v>
      </c>
      <c r="P273" t="n">
        <v>0</v>
      </c>
      <c r="Q273" t="n">
        <v>0</v>
      </c>
      <c r="R273" s="2" t="inlineStr"/>
    </row>
    <row r="274" ht="15" customHeight="1">
      <c r="A274" t="inlineStr">
        <is>
          <t>A 65484-2020</t>
        </is>
      </c>
      <c r="B274" s="1" t="n">
        <v>44169</v>
      </c>
      <c r="C274" s="1" t="n">
        <v>45672</v>
      </c>
      <c r="D274" t="inlineStr">
        <is>
          <t>NORRBOTTENS LÄN</t>
        </is>
      </c>
      <c r="E274" t="inlineStr">
        <is>
          <t>GÄLLIVARE</t>
        </is>
      </c>
      <c r="G274" t="n">
        <v>3.9</v>
      </c>
      <c r="H274" t="n">
        <v>0</v>
      </c>
      <c r="I274" t="n">
        <v>0</v>
      </c>
      <c r="J274" t="n">
        <v>0</v>
      </c>
      <c r="K274" t="n">
        <v>0</v>
      </c>
      <c r="L274" t="n">
        <v>0</v>
      </c>
      <c r="M274" t="n">
        <v>0</v>
      </c>
      <c r="N274" t="n">
        <v>0</v>
      </c>
      <c r="O274" t="n">
        <v>0</v>
      </c>
      <c r="P274" t="n">
        <v>0</v>
      </c>
      <c r="Q274" t="n">
        <v>0</v>
      </c>
      <c r="R274" s="2" t="inlineStr"/>
    </row>
    <row r="275" ht="15" customHeight="1">
      <c r="A275" t="inlineStr">
        <is>
          <t>A 291-2021</t>
        </is>
      </c>
      <c r="B275" s="1" t="n">
        <v>44200</v>
      </c>
      <c r="C275" s="1" t="n">
        <v>45672</v>
      </c>
      <c r="D275" t="inlineStr">
        <is>
          <t>NORRBOTTENS LÄN</t>
        </is>
      </c>
      <c r="E275" t="inlineStr">
        <is>
          <t>GÄLLIVARE</t>
        </is>
      </c>
      <c r="F275" t="inlineStr">
        <is>
          <t>Allmännings- och besparingsskogar</t>
        </is>
      </c>
      <c r="G275" t="n">
        <v>2.6</v>
      </c>
      <c r="H275" t="n">
        <v>0</v>
      </c>
      <c r="I275" t="n">
        <v>0</v>
      </c>
      <c r="J275" t="n">
        <v>0</v>
      </c>
      <c r="K275" t="n">
        <v>0</v>
      </c>
      <c r="L275" t="n">
        <v>0</v>
      </c>
      <c r="M275" t="n">
        <v>0</v>
      </c>
      <c r="N275" t="n">
        <v>0</v>
      </c>
      <c r="O275" t="n">
        <v>0</v>
      </c>
      <c r="P275" t="n">
        <v>0</v>
      </c>
      <c r="Q275" t="n">
        <v>0</v>
      </c>
      <c r="R275" s="2" t="inlineStr"/>
    </row>
    <row r="276" ht="15" customHeight="1">
      <c r="A276" t="inlineStr">
        <is>
          <t>A 2540-2021</t>
        </is>
      </c>
      <c r="B276" s="1" t="n">
        <v>44214</v>
      </c>
      <c r="C276" s="1" t="n">
        <v>45672</v>
      </c>
      <c r="D276" t="inlineStr">
        <is>
          <t>NORRBOTTENS LÄN</t>
        </is>
      </c>
      <c r="E276" t="inlineStr">
        <is>
          <t>GÄLLIVARE</t>
        </is>
      </c>
      <c r="G276" t="n">
        <v>6.5</v>
      </c>
      <c r="H276" t="n">
        <v>0</v>
      </c>
      <c r="I276" t="n">
        <v>0</v>
      </c>
      <c r="J276" t="n">
        <v>0</v>
      </c>
      <c r="K276" t="n">
        <v>0</v>
      </c>
      <c r="L276" t="n">
        <v>0</v>
      </c>
      <c r="M276" t="n">
        <v>0</v>
      </c>
      <c r="N276" t="n">
        <v>0</v>
      </c>
      <c r="O276" t="n">
        <v>0</v>
      </c>
      <c r="P276" t="n">
        <v>0</v>
      </c>
      <c r="Q276" t="n">
        <v>0</v>
      </c>
      <c r="R276" s="2" t="inlineStr"/>
    </row>
    <row r="277" ht="15" customHeight="1">
      <c r="A277" t="inlineStr">
        <is>
          <t>A 2545-2021</t>
        </is>
      </c>
      <c r="B277" s="1" t="n">
        <v>44214</v>
      </c>
      <c r="C277" s="1" t="n">
        <v>45672</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2538-2021</t>
        </is>
      </c>
      <c r="B278" s="1" t="n">
        <v>44214</v>
      </c>
      <c r="C278" s="1" t="n">
        <v>45672</v>
      </c>
      <c r="D278" t="inlineStr">
        <is>
          <t>NORRBOTTENS LÄN</t>
        </is>
      </c>
      <c r="E278" t="inlineStr">
        <is>
          <t>GÄLLIVARE</t>
        </is>
      </c>
      <c r="F278" t="inlineStr">
        <is>
          <t>Kommuner</t>
        </is>
      </c>
      <c r="G278" t="n">
        <v>2.7</v>
      </c>
      <c r="H278" t="n">
        <v>0</v>
      </c>
      <c r="I278" t="n">
        <v>0</v>
      </c>
      <c r="J278" t="n">
        <v>0</v>
      </c>
      <c r="K278" t="n">
        <v>0</v>
      </c>
      <c r="L278" t="n">
        <v>0</v>
      </c>
      <c r="M278" t="n">
        <v>0</v>
      </c>
      <c r="N278" t="n">
        <v>0</v>
      </c>
      <c r="O278" t="n">
        <v>0</v>
      </c>
      <c r="P278" t="n">
        <v>0</v>
      </c>
      <c r="Q278" t="n">
        <v>0</v>
      </c>
      <c r="R278" s="2" t="inlineStr"/>
    </row>
    <row r="279" ht="15" customHeight="1">
      <c r="A279" t="inlineStr">
        <is>
          <t>A 2548-2021</t>
        </is>
      </c>
      <c r="B279" s="1" t="n">
        <v>44214</v>
      </c>
      <c r="C279" s="1" t="n">
        <v>45672</v>
      </c>
      <c r="D279" t="inlineStr">
        <is>
          <t>NORRBOTTENS LÄN</t>
        </is>
      </c>
      <c r="E279" t="inlineStr">
        <is>
          <t>GÄLLIVARE</t>
        </is>
      </c>
      <c r="G279" t="n">
        <v>6.6</v>
      </c>
      <c r="H279" t="n">
        <v>0</v>
      </c>
      <c r="I279" t="n">
        <v>0</v>
      </c>
      <c r="J279" t="n">
        <v>0</v>
      </c>
      <c r="K279" t="n">
        <v>0</v>
      </c>
      <c r="L279" t="n">
        <v>0</v>
      </c>
      <c r="M279" t="n">
        <v>0</v>
      </c>
      <c r="N279" t="n">
        <v>0</v>
      </c>
      <c r="O279" t="n">
        <v>0</v>
      </c>
      <c r="P279" t="n">
        <v>0</v>
      </c>
      <c r="Q279" t="n">
        <v>0</v>
      </c>
      <c r="R279" s="2" t="inlineStr"/>
    </row>
    <row r="280" ht="15" customHeight="1">
      <c r="A280" t="inlineStr">
        <is>
          <t>A 13204-2021</t>
        </is>
      </c>
      <c r="B280" s="1" t="n">
        <v>44272</v>
      </c>
      <c r="C280" s="1" t="n">
        <v>45672</v>
      </c>
      <c r="D280" t="inlineStr">
        <is>
          <t>NORRBOTTENS LÄN</t>
        </is>
      </c>
      <c r="E280" t="inlineStr">
        <is>
          <t>GÄLLIVARE</t>
        </is>
      </c>
      <c r="G280" t="n">
        <v>41.2</v>
      </c>
      <c r="H280" t="n">
        <v>0</v>
      </c>
      <c r="I280" t="n">
        <v>0</v>
      </c>
      <c r="J280" t="n">
        <v>0</v>
      </c>
      <c r="K280" t="n">
        <v>0</v>
      </c>
      <c r="L280" t="n">
        <v>0</v>
      </c>
      <c r="M280" t="n">
        <v>0</v>
      </c>
      <c r="N280" t="n">
        <v>0</v>
      </c>
      <c r="O280" t="n">
        <v>0</v>
      </c>
      <c r="P280" t="n">
        <v>0</v>
      </c>
      <c r="Q280" t="n">
        <v>0</v>
      </c>
      <c r="R280" s="2" t="inlineStr"/>
    </row>
    <row r="281" ht="15" customHeight="1">
      <c r="A281" t="inlineStr">
        <is>
          <t>A 18677-2021</t>
        </is>
      </c>
      <c r="B281" s="1" t="n">
        <v>44307</v>
      </c>
      <c r="C281" s="1" t="n">
        <v>45672</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18678-2021</t>
        </is>
      </c>
      <c r="B282" s="1" t="n">
        <v>44307</v>
      </c>
      <c r="C282" s="1" t="n">
        <v>45672</v>
      </c>
      <c r="D282" t="inlineStr">
        <is>
          <t>NORRBOTTENS LÄN</t>
        </is>
      </c>
      <c r="E282" t="inlineStr">
        <is>
          <t>GÄLLIVARE</t>
        </is>
      </c>
      <c r="F282" t="inlineStr">
        <is>
          <t>SCA</t>
        </is>
      </c>
      <c r="G282" t="n">
        <v>23.2</v>
      </c>
      <c r="H282" t="n">
        <v>0</v>
      </c>
      <c r="I282" t="n">
        <v>0</v>
      </c>
      <c r="J282" t="n">
        <v>0</v>
      </c>
      <c r="K282" t="n">
        <v>0</v>
      </c>
      <c r="L282" t="n">
        <v>0</v>
      </c>
      <c r="M282" t="n">
        <v>0</v>
      </c>
      <c r="N282" t="n">
        <v>0</v>
      </c>
      <c r="O282" t="n">
        <v>0</v>
      </c>
      <c r="P282" t="n">
        <v>0</v>
      </c>
      <c r="Q282" t="n">
        <v>0</v>
      </c>
      <c r="R282" s="2" t="inlineStr"/>
    </row>
    <row r="283" ht="15" customHeight="1">
      <c r="A283" t="inlineStr">
        <is>
          <t>A 21425-2021</t>
        </is>
      </c>
      <c r="B283" s="1" t="n">
        <v>44321</v>
      </c>
      <c r="C283" s="1" t="n">
        <v>45672</v>
      </c>
      <c r="D283" t="inlineStr">
        <is>
          <t>NORRBOTTENS LÄN</t>
        </is>
      </c>
      <c r="E283" t="inlineStr">
        <is>
          <t>GÄLLIVARE</t>
        </is>
      </c>
      <c r="G283" t="n">
        <v>4.7</v>
      </c>
      <c r="H283" t="n">
        <v>0</v>
      </c>
      <c r="I283" t="n">
        <v>0</v>
      </c>
      <c r="J283" t="n">
        <v>0</v>
      </c>
      <c r="K283" t="n">
        <v>0</v>
      </c>
      <c r="L283" t="n">
        <v>0</v>
      </c>
      <c r="M283" t="n">
        <v>0</v>
      </c>
      <c r="N283" t="n">
        <v>0</v>
      </c>
      <c r="O283" t="n">
        <v>0</v>
      </c>
      <c r="P283" t="n">
        <v>0</v>
      </c>
      <c r="Q283" t="n">
        <v>0</v>
      </c>
      <c r="R283" s="2" t="inlineStr"/>
    </row>
    <row r="284" ht="15" customHeight="1">
      <c r="A284" t="inlineStr">
        <is>
          <t>A 21441-2021</t>
        </is>
      </c>
      <c r="B284" s="1" t="n">
        <v>44321</v>
      </c>
      <c r="C284" s="1" t="n">
        <v>45672</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28314-2021</t>
        </is>
      </c>
      <c r="B285" s="1" t="n">
        <v>44356</v>
      </c>
      <c r="C285" s="1" t="n">
        <v>45672</v>
      </c>
      <c r="D285" t="inlineStr">
        <is>
          <t>NORRBOTTENS LÄN</t>
        </is>
      </c>
      <c r="E285" t="inlineStr">
        <is>
          <t>GÄLLIVARE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29196-2021</t>
        </is>
      </c>
      <c r="B286" s="1" t="n">
        <v>44358</v>
      </c>
      <c r="C286" s="1" t="n">
        <v>45672</v>
      </c>
      <c r="D286" t="inlineStr">
        <is>
          <t>NORRBOTTENS LÄN</t>
        </is>
      </c>
      <c r="E286" t="inlineStr">
        <is>
          <t>GÄLLIVARE</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29194-2021</t>
        </is>
      </c>
      <c r="B287" s="1" t="n">
        <v>44358</v>
      </c>
      <c r="C287" s="1" t="n">
        <v>45672</v>
      </c>
      <c r="D287" t="inlineStr">
        <is>
          <t>NORRBOTTENS LÄN</t>
        </is>
      </c>
      <c r="E287" t="inlineStr">
        <is>
          <t>GÄLLIVARE</t>
        </is>
      </c>
      <c r="F287" t="inlineStr">
        <is>
          <t>Sveaskog</t>
        </is>
      </c>
      <c r="G287" t="n">
        <v>5.6</v>
      </c>
      <c r="H287" t="n">
        <v>0</v>
      </c>
      <c r="I287" t="n">
        <v>0</v>
      </c>
      <c r="J287" t="n">
        <v>0</v>
      </c>
      <c r="K287" t="n">
        <v>0</v>
      </c>
      <c r="L287" t="n">
        <v>0</v>
      </c>
      <c r="M287" t="n">
        <v>0</v>
      </c>
      <c r="N287" t="n">
        <v>0</v>
      </c>
      <c r="O287" t="n">
        <v>0</v>
      </c>
      <c r="P287" t="n">
        <v>0</v>
      </c>
      <c r="Q287" t="n">
        <v>0</v>
      </c>
      <c r="R287" s="2" t="inlineStr"/>
    </row>
    <row r="288" ht="15" customHeight="1">
      <c r="A288" t="inlineStr">
        <is>
          <t>A 29608-2021</t>
        </is>
      </c>
      <c r="B288" s="1" t="n">
        <v>44361</v>
      </c>
      <c r="C288" s="1" t="n">
        <v>45672</v>
      </c>
      <c r="D288" t="inlineStr">
        <is>
          <t>NORRBOTTENS LÄN</t>
        </is>
      </c>
      <c r="E288" t="inlineStr">
        <is>
          <t>GÄLLIVARE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30994-2021</t>
        </is>
      </c>
      <c r="B289" s="1" t="n">
        <v>44366</v>
      </c>
      <c r="C289" s="1" t="n">
        <v>45672</v>
      </c>
      <c r="D289" t="inlineStr">
        <is>
          <t>NORRBOTTENS LÄN</t>
        </is>
      </c>
      <c r="E289" t="inlineStr">
        <is>
          <t>GÄLLIVARE</t>
        </is>
      </c>
      <c r="F289" t="inlineStr">
        <is>
          <t>Sveaskog</t>
        </is>
      </c>
      <c r="G289" t="n">
        <v>55</v>
      </c>
      <c r="H289" t="n">
        <v>0</v>
      </c>
      <c r="I289" t="n">
        <v>0</v>
      </c>
      <c r="J289" t="n">
        <v>0</v>
      </c>
      <c r="K289" t="n">
        <v>0</v>
      </c>
      <c r="L289" t="n">
        <v>0</v>
      </c>
      <c r="M289" t="n">
        <v>0</v>
      </c>
      <c r="N289" t="n">
        <v>0</v>
      </c>
      <c r="O289" t="n">
        <v>0</v>
      </c>
      <c r="P289" t="n">
        <v>0</v>
      </c>
      <c r="Q289" t="n">
        <v>0</v>
      </c>
      <c r="R289" s="2" t="inlineStr"/>
    </row>
    <row r="290" ht="15" customHeight="1">
      <c r="A290" t="inlineStr">
        <is>
          <t>A 32929-2021</t>
        </is>
      </c>
      <c r="B290" s="1" t="n">
        <v>44375</v>
      </c>
      <c r="C290" s="1" t="n">
        <v>45672</v>
      </c>
      <c r="D290" t="inlineStr">
        <is>
          <t>NORRBOTTENS LÄN</t>
        </is>
      </c>
      <c r="E290" t="inlineStr">
        <is>
          <t>GÄLLIVARE</t>
        </is>
      </c>
      <c r="G290" t="n">
        <v>1.7</v>
      </c>
      <c r="H290" t="n">
        <v>0</v>
      </c>
      <c r="I290" t="n">
        <v>0</v>
      </c>
      <c r="J290" t="n">
        <v>0</v>
      </c>
      <c r="K290" t="n">
        <v>0</v>
      </c>
      <c r="L290" t="n">
        <v>0</v>
      </c>
      <c r="M290" t="n">
        <v>0</v>
      </c>
      <c r="N290" t="n">
        <v>0</v>
      </c>
      <c r="O290" t="n">
        <v>0</v>
      </c>
      <c r="P290" t="n">
        <v>0</v>
      </c>
      <c r="Q290" t="n">
        <v>0</v>
      </c>
      <c r="R290" s="2" t="inlineStr"/>
    </row>
    <row r="291" ht="15" customHeight="1">
      <c r="A291" t="inlineStr">
        <is>
          <t>A 36233-2021</t>
        </is>
      </c>
      <c r="B291" s="1" t="n">
        <v>44390</v>
      </c>
      <c r="C291" s="1" t="n">
        <v>45672</v>
      </c>
      <c r="D291" t="inlineStr">
        <is>
          <t>NORRBOTTENS LÄN</t>
        </is>
      </c>
      <c r="E291" t="inlineStr">
        <is>
          <t>GÄLLIVARE</t>
        </is>
      </c>
      <c r="F291" t="inlineStr">
        <is>
          <t>SCA</t>
        </is>
      </c>
      <c r="G291" t="n">
        <v>22.3</v>
      </c>
      <c r="H291" t="n">
        <v>0</v>
      </c>
      <c r="I291" t="n">
        <v>0</v>
      </c>
      <c r="J291" t="n">
        <v>0</v>
      </c>
      <c r="K291" t="n">
        <v>0</v>
      </c>
      <c r="L291" t="n">
        <v>0</v>
      </c>
      <c r="M291" t="n">
        <v>0</v>
      </c>
      <c r="N291" t="n">
        <v>0</v>
      </c>
      <c r="O291" t="n">
        <v>0</v>
      </c>
      <c r="P291" t="n">
        <v>0</v>
      </c>
      <c r="Q291" t="n">
        <v>0</v>
      </c>
      <c r="R291" s="2" t="inlineStr"/>
    </row>
    <row r="292" ht="15" customHeight="1">
      <c r="A292" t="inlineStr">
        <is>
          <t>A 36681-2021</t>
        </is>
      </c>
      <c r="B292" s="1" t="n">
        <v>44392</v>
      </c>
      <c r="C292" s="1" t="n">
        <v>45672</v>
      </c>
      <c r="D292" t="inlineStr">
        <is>
          <t>NORRBOTTENS LÄN</t>
        </is>
      </c>
      <c r="E292" t="inlineStr">
        <is>
          <t>GÄLLIVARE</t>
        </is>
      </c>
      <c r="G292" t="n">
        <v>7.6</v>
      </c>
      <c r="H292" t="n">
        <v>0</v>
      </c>
      <c r="I292" t="n">
        <v>0</v>
      </c>
      <c r="J292" t="n">
        <v>0</v>
      </c>
      <c r="K292" t="n">
        <v>0</v>
      </c>
      <c r="L292" t="n">
        <v>0</v>
      </c>
      <c r="M292" t="n">
        <v>0</v>
      </c>
      <c r="N292" t="n">
        <v>0</v>
      </c>
      <c r="O292" t="n">
        <v>0</v>
      </c>
      <c r="P292" t="n">
        <v>0</v>
      </c>
      <c r="Q292" t="n">
        <v>0</v>
      </c>
      <c r="R292" s="2" t="inlineStr"/>
    </row>
    <row r="293" ht="15" customHeight="1">
      <c r="A293" t="inlineStr">
        <is>
          <t>A 37551-2021</t>
        </is>
      </c>
      <c r="B293" s="1" t="n">
        <v>44399</v>
      </c>
      <c r="C293" s="1" t="n">
        <v>45672</v>
      </c>
      <c r="D293" t="inlineStr">
        <is>
          <t>NORRBOTTENS LÄN</t>
        </is>
      </c>
      <c r="E293" t="inlineStr">
        <is>
          <t>GÄLLIVARE</t>
        </is>
      </c>
      <c r="G293" t="n">
        <v>0.6</v>
      </c>
      <c r="H293" t="n">
        <v>0</v>
      </c>
      <c r="I293" t="n">
        <v>0</v>
      </c>
      <c r="J293" t="n">
        <v>0</v>
      </c>
      <c r="K293" t="n">
        <v>0</v>
      </c>
      <c r="L293" t="n">
        <v>0</v>
      </c>
      <c r="M293" t="n">
        <v>0</v>
      </c>
      <c r="N293" t="n">
        <v>0</v>
      </c>
      <c r="O293" t="n">
        <v>0</v>
      </c>
      <c r="P293" t="n">
        <v>0</v>
      </c>
      <c r="Q293" t="n">
        <v>0</v>
      </c>
      <c r="R293" s="2" t="inlineStr"/>
    </row>
    <row r="294" ht="15" customHeight="1">
      <c r="A294" t="inlineStr">
        <is>
          <t>A 38188-2021</t>
        </is>
      </c>
      <c r="B294" s="1" t="n">
        <v>44405</v>
      </c>
      <c r="C294" s="1" t="n">
        <v>45672</v>
      </c>
      <c r="D294" t="inlineStr">
        <is>
          <t>NORRBOTTENS LÄN</t>
        </is>
      </c>
      <c r="E294" t="inlineStr">
        <is>
          <t>GÄLLIVARE</t>
        </is>
      </c>
      <c r="G294" t="n">
        <v>13</v>
      </c>
      <c r="H294" t="n">
        <v>0</v>
      </c>
      <c r="I294" t="n">
        <v>0</v>
      </c>
      <c r="J294" t="n">
        <v>0</v>
      </c>
      <c r="K294" t="n">
        <v>0</v>
      </c>
      <c r="L294" t="n">
        <v>0</v>
      </c>
      <c r="M294" t="n">
        <v>0</v>
      </c>
      <c r="N294" t="n">
        <v>0</v>
      </c>
      <c r="O294" t="n">
        <v>0</v>
      </c>
      <c r="P294" t="n">
        <v>0</v>
      </c>
      <c r="Q294" t="n">
        <v>0</v>
      </c>
      <c r="R294" s="2" t="inlineStr"/>
    </row>
    <row r="295" ht="15" customHeight="1">
      <c r="A295" t="inlineStr">
        <is>
          <t>A 38187-2021</t>
        </is>
      </c>
      <c r="B295" s="1" t="n">
        <v>44405</v>
      </c>
      <c r="C295" s="1" t="n">
        <v>45672</v>
      </c>
      <c r="D295" t="inlineStr">
        <is>
          <t>NORRBOTTENS LÄN</t>
        </is>
      </c>
      <c r="E295" t="inlineStr">
        <is>
          <t>GÄLLIVARE</t>
        </is>
      </c>
      <c r="G295" t="n">
        <v>1.5</v>
      </c>
      <c r="H295" t="n">
        <v>0</v>
      </c>
      <c r="I295" t="n">
        <v>0</v>
      </c>
      <c r="J295" t="n">
        <v>0</v>
      </c>
      <c r="K295" t="n">
        <v>0</v>
      </c>
      <c r="L295" t="n">
        <v>0</v>
      </c>
      <c r="M295" t="n">
        <v>0</v>
      </c>
      <c r="N295" t="n">
        <v>0</v>
      </c>
      <c r="O295" t="n">
        <v>0</v>
      </c>
      <c r="P295" t="n">
        <v>0</v>
      </c>
      <c r="Q295" t="n">
        <v>0</v>
      </c>
      <c r="R295" s="2" t="inlineStr"/>
    </row>
    <row r="296" ht="15" customHeight="1">
      <c r="A296" t="inlineStr">
        <is>
          <t>A 38186-2021</t>
        </is>
      </c>
      <c r="B296" s="1" t="n">
        <v>44405</v>
      </c>
      <c r="C296" s="1" t="n">
        <v>45672</v>
      </c>
      <c r="D296" t="inlineStr">
        <is>
          <t>NORRBOTTENS LÄN</t>
        </is>
      </c>
      <c r="E296" t="inlineStr">
        <is>
          <t>GÄLLIVARE</t>
        </is>
      </c>
      <c r="G296" t="n">
        <v>2</v>
      </c>
      <c r="H296" t="n">
        <v>0</v>
      </c>
      <c r="I296" t="n">
        <v>0</v>
      </c>
      <c r="J296" t="n">
        <v>0</v>
      </c>
      <c r="K296" t="n">
        <v>0</v>
      </c>
      <c r="L296" t="n">
        <v>0</v>
      </c>
      <c r="M296" t="n">
        <v>0</v>
      </c>
      <c r="N296" t="n">
        <v>0</v>
      </c>
      <c r="O296" t="n">
        <v>0</v>
      </c>
      <c r="P296" t="n">
        <v>0</v>
      </c>
      <c r="Q296" t="n">
        <v>0</v>
      </c>
      <c r="R296" s="2" t="inlineStr"/>
    </row>
    <row r="297" ht="15" customHeight="1">
      <c r="A297" t="inlineStr">
        <is>
          <t>A 38183-2021</t>
        </is>
      </c>
      <c r="B297" s="1" t="n">
        <v>44405</v>
      </c>
      <c r="C297" s="1" t="n">
        <v>45672</v>
      </c>
      <c r="D297" t="inlineStr">
        <is>
          <t>NORRBOTTENS LÄN</t>
        </is>
      </c>
      <c r="E297" t="inlineStr">
        <is>
          <t>GÄLLIVARE</t>
        </is>
      </c>
      <c r="G297" t="n">
        <v>6</v>
      </c>
      <c r="H297" t="n">
        <v>0</v>
      </c>
      <c r="I297" t="n">
        <v>0</v>
      </c>
      <c r="J297" t="n">
        <v>0</v>
      </c>
      <c r="K297" t="n">
        <v>0</v>
      </c>
      <c r="L297" t="n">
        <v>0</v>
      </c>
      <c r="M297" t="n">
        <v>0</v>
      </c>
      <c r="N297" t="n">
        <v>0</v>
      </c>
      <c r="O297" t="n">
        <v>0</v>
      </c>
      <c r="P297" t="n">
        <v>0</v>
      </c>
      <c r="Q297" t="n">
        <v>0</v>
      </c>
      <c r="R297" s="2" t="inlineStr"/>
    </row>
    <row r="298" ht="15" customHeight="1">
      <c r="A298" t="inlineStr">
        <is>
          <t>A 38665-2021</t>
        </is>
      </c>
      <c r="B298" s="1" t="n">
        <v>44410</v>
      </c>
      <c r="C298" s="1" t="n">
        <v>45672</v>
      </c>
      <c r="D298" t="inlineStr">
        <is>
          <t>NORRBOTTENS LÄN</t>
        </is>
      </c>
      <c r="E298" t="inlineStr">
        <is>
          <t>GÄLLIVARE</t>
        </is>
      </c>
      <c r="F298" t="inlineStr">
        <is>
          <t>Sveaskog</t>
        </is>
      </c>
      <c r="G298" t="n">
        <v>16.3</v>
      </c>
      <c r="H298" t="n">
        <v>0</v>
      </c>
      <c r="I298" t="n">
        <v>0</v>
      </c>
      <c r="J298" t="n">
        <v>0</v>
      </c>
      <c r="K298" t="n">
        <v>0</v>
      </c>
      <c r="L298" t="n">
        <v>0</v>
      </c>
      <c r="M298" t="n">
        <v>0</v>
      </c>
      <c r="N298" t="n">
        <v>0</v>
      </c>
      <c r="O298" t="n">
        <v>0</v>
      </c>
      <c r="P298" t="n">
        <v>0</v>
      </c>
      <c r="Q298" t="n">
        <v>0</v>
      </c>
      <c r="R298" s="2" t="inlineStr"/>
    </row>
    <row r="299" ht="15" customHeight="1">
      <c r="A299" t="inlineStr">
        <is>
          <t>A 41057-2021</t>
        </is>
      </c>
      <c r="B299" s="1" t="n">
        <v>44422</v>
      </c>
      <c r="C299" s="1" t="n">
        <v>45672</v>
      </c>
      <c r="D299" t="inlineStr">
        <is>
          <t>NORRBOTTENS LÄN</t>
        </is>
      </c>
      <c r="E299" t="inlineStr">
        <is>
          <t>GÄLLIVARE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42230-2021</t>
        </is>
      </c>
      <c r="B300" s="1" t="n">
        <v>44426</v>
      </c>
      <c r="C300" s="1" t="n">
        <v>45672</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42529-2021</t>
        </is>
      </c>
      <c r="B301" s="1" t="n">
        <v>44428</v>
      </c>
      <c r="C301" s="1" t="n">
        <v>45672</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42686-2021</t>
        </is>
      </c>
      <c r="B302" s="1" t="n">
        <v>44428</v>
      </c>
      <c r="C302" s="1" t="n">
        <v>45672</v>
      </c>
      <c r="D302" t="inlineStr">
        <is>
          <t>NORRBOTTENS LÄN</t>
        </is>
      </c>
      <c r="E302" t="inlineStr">
        <is>
          <t>GÄLLIVARE</t>
        </is>
      </c>
      <c r="G302" t="n">
        <v>5</v>
      </c>
      <c r="H302" t="n">
        <v>0</v>
      </c>
      <c r="I302" t="n">
        <v>0</v>
      </c>
      <c r="J302" t="n">
        <v>0</v>
      </c>
      <c r="K302" t="n">
        <v>0</v>
      </c>
      <c r="L302" t="n">
        <v>0</v>
      </c>
      <c r="M302" t="n">
        <v>0</v>
      </c>
      <c r="N302" t="n">
        <v>0</v>
      </c>
      <c r="O302" t="n">
        <v>0</v>
      </c>
      <c r="P302" t="n">
        <v>0</v>
      </c>
      <c r="Q302" t="n">
        <v>0</v>
      </c>
      <c r="R302" s="2" t="inlineStr"/>
    </row>
    <row r="303" ht="15" customHeight="1">
      <c r="A303" t="inlineStr">
        <is>
          <t>A 43111-2021</t>
        </is>
      </c>
      <c r="B303" s="1" t="n">
        <v>44431</v>
      </c>
      <c r="C303" s="1" t="n">
        <v>45672</v>
      </c>
      <c r="D303" t="inlineStr">
        <is>
          <t>NORRBOTTENS LÄN</t>
        </is>
      </c>
      <c r="E303" t="inlineStr">
        <is>
          <t>GÄLLIVARE</t>
        </is>
      </c>
      <c r="F303" t="inlineStr">
        <is>
          <t>Allmännings- och besparingsskogar</t>
        </is>
      </c>
      <c r="G303" t="n">
        <v>18.9</v>
      </c>
      <c r="H303" t="n">
        <v>0</v>
      </c>
      <c r="I303" t="n">
        <v>0</v>
      </c>
      <c r="J303" t="n">
        <v>0</v>
      </c>
      <c r="K303" t="n">
        <v>0</v>
      </c>
      <c r="L303" t="n">
        <v>0</v>
      </c>
      <c r="M303" t="n">
        <v>0</v>
      </c>
      <c r="N303" t="n">
        <v>0</v>
      </c>
      <c r="O303" t="n">
        <v>0</v>
      </c>
      <c r="P303" t="n">
        <v>0</v>
      </c>
      <c r="Q303" t="n">
        <v>0</v>
      </c>
      <c r="R303" s="2" t="inlineStr"/>
    </row>
    <row r="304" ht="15" customHeight="1">
      <c r="A304" t="inlineStr">
        <is>
          <t>A 43489-2021</t>
        </is>
      </c>
      <c r="B304" s="1" t="n">
        <v>44432</v>
      </c>
      <c r="C304" s="1" t="n">
        <v>45672</v>
      </c>
      <c r="D304" t="inlineStr">
        <is>
          <t>NORRBOTTENS LÄN</t>
        </is>
      </c>
      <c r="E304" t="inlineStr">
        <is>
          <t>GÄLLIVARE</t>
        </is>
      </c>
      <c r="F304" t="inlineStr">
        <is>
          <t>SCA</t>
        </is>
      </c>
      <c r="G304" t="n">
        <v>18.9</v>
      </c>
      <c r="H304" t="n">
        <v>0</v>
      </c>
      <c r="I304" t="n">
        <v>0</v>
      </c>
      <c r="J304" t="n">
        <v>0</v>
      </c>
      <c r="K304" t="n">
        <v>0</v>
      </c>
      <c r="L304" t="n">
        <v>0</v>
      </c>
      <c r="M304" t="n">
        <v>0</v>
      </c>
      <c r="N304" t="n">
        <v>0</v>
      </c>
      <c r="O304" t="n">
        <v>0</v>
      </c>
      <c r="P304" t="n">
        <v>0</v>
      </c>
      <c r="Q304" t="n">
        <v>0</v>
      </c>
      <c r="R304" s="2" t="inlineStr"/>
    </row>
    <row r="305" ht="15" customHeight="1">
      <c r="A305" t="inlineStr">
        <is>
          <t>A 44853-2021</t>
        </is>
      </c>
      <c r="B305" s="1" t="n">
        <v>44438</v>
      </c>
      <c r="C305" s="1" t="n">
        <v>45672</v>
      </c>
      <c r="D305" t="inlineStr">
        <is>
          <t>NORRBOTTENS LÄN</t>
        </is>
      </c>
      <c r="E305" t="inlineStr">
        <is>
          <t>GÄLLIVARE</t>
        </is>
      </c>
      <c r="G305" t="n">
        <v>3.7</v>
      </c>
      <c r="H305" t="n">
        <v>0</v>
      </c>
      <c r="I305" t="n">
        <v>0</v>
      </c>
      <c r="J305" t="n">
        <v>0</v>
      </c>
      <c r="K305" t="n">
        <v>0</v>
      </c>
      <c r="L305" t="n">
        <v>0</v>
      </c>
      <c r="M305" t="n">
        <v>0</v>
      </c>
      <c r="N305" t="n">
        <v>0</v>
      </c>
      <c r="O305" t="n">
        <v>0</v>
      </c>
      <c r="P305" t="n">
        <v>0</v>
      </c>
      <c r="Q305" t="n">
        <v>0</v>
      </c>
      <c r="R305" s="2" t="inlineStr"/>
    </row>
    <row r="306" ht="15" customHeight="1">
      <c r="A306" t="inlineStr">
        <is>
          <t>A 45019-2021</t>
        </is>
      </c>
      <c r="B306" s="1" t="n">
        <v>44439</v>
      </c>
      <c r="C306" s="1" t="n">
        <v>45672</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46728-2021</t>
        </is>
      </c>
      <c r="B307" s="1" t="n">
        <v>44445</v>
      </c>
      <c r="C307" s="1" t="n">
        <v>45672</v>
      </c>
      <c r="D307" t="inlineStr">
        <is>
          <t>NORRBOTTENS LÄN</t>
        </is>
      </c>
      <c r="E307" t="inlineStr">
        <is>
          <t>GÄLLIVARE</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48074-2021</t>
        </is>
      </c>
      <c r="B308" s="1" t="n">
        <v>44449</v>
      </c>
      <c r="C308" s="1" t="n">
        <v>45672</v>
      </c>
      <c r="D308" t="inlineStr">
        <is>
          <t>NORRBOTTENS LÄN</t>
        </is>
      </c>
      <c r="E308" t="inlineStr">
        <is>
          <t>GÄLLIVARE</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52181-2021</t>
        </is>
      </c>
      <c r="B309" s="1" t="n">
        <v>44463</v>
      </c>
      <c r="C309" s="1" t="n">
        <v>45672</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54820-2021</t>
        </is>
      </c>
      <c r="B310" s="1" t="n">
        <v>44473</v>
      </c>
      <c r="C310" s="1" t="n">
        <v>45672</v>
      </c>
      <c r="D310" t="inlineStr">
        <is>
          <t>NORRBOTTENS LÄN</t>
        </is>
      </c>
      <c r="E310" t="inlineStr">
        <is>
          <t>GÄLLIVARE</t>
        </is>
      </c>
      <c r="F310" t="inlineStr">
        <is>
          <t>SCA</t>
        </is>
      </c>
      <c r="G310" t="n">
        <v>14.7</v>
      </c>
      <c r="H310" t="n">
        <v>0</v>
      </c>
      <c r="I310" t="n">
        <v>0</v>
      </c>
      <c r="J310" t="n">
        <v>0</v>
      </c>
      <c r="K310" t="n">
        <v>0</v>
      </c>
      <c r="L310" t="n">
        <v>0</v>
      </c>
      <c r="M310" t="n">
        <v>0</v>
      </c>
      <c r="N310" t="n">
        <v>0</v>
      </c>
      <c r="O310" t="n">
        <v>0</v>
      </c>
      <c r="P310" t="n">
        <v>0</v>
      </c>
      <c r="Q310" t="n">
        <v>0</v>
      </c>
      <c r="R310" s="2" t="inlineStr"/>
    </row>
    <row r="311" ht="15" customHeight="1">
      <c r="A311" t="inlineStr">
        <is>
          <t>A 56290-2021</t>
        </is>
      </c>
      <c r="B311" s="1" t="n">
        <v>44479</v>
      </c>
      <c r="C311" s="1" t="n">
        <v>45672</v>
      </c>
      <c r="D311" t="inlineStr">
        <is>
          <t>NORRBOTTENS LÄN</t>
        </is>
      </c>
      <c r="E311" t="inlineStr">
        <is>
          <t>GÄLLIVARE</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56288-2021</t>
        </is>
      </c>
      <c r="B312" s="1" t="n">
        <v>44479</v>
      </c>
      <c r="C312" s="1" t="n">
        <v>45672</v>
      </c>
      <c r="D312" t="inlineStr">
        <is>
          <t>NORRBOTTENS LÄN</t>
        </is>
      </c>
      <c r="E312" t="inlineStr">
        <is>
          <t>GÄLLIVARE</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56910-2021</t>
        </is>
      </c>
      <c r="B313" s="1" t="n">
        <v>44481</v>
      </c>
      <c r="C313" s="1" t="n">
        <v>45672</v>
      </c>
      <c r="D313" t="inlineStr">
        <is>
          <t>NORRBOTTENS LÄN</t>
        </is>
      </c>
      <c r="E313" t="inlineStr">
        <is>
          <t>GÄLLIVARE</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57208-2021</t>
        </is>
      </c>
      <c r="B314" s="1" t="n">
        <v>44483</v>
      </c>
      <c r="C314" s="1" t="n">
        <v>45672</v>
      </c>
      <c r="D314" t="inlineStr">
        <is>
          <t>NORRBOTTENS LÄN</t>
        </is>
      </c>
      <c r="E314" t="inlineStr">
        <is>
          <t>GÄLLIVARE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57534-2021</t>
        </is>
      </c>
      <c r="B315" s="1" t="n">
        <v>44483</v>
      </c>
      <c r="C315" s="1" t="n">
        <v>45672</v>
      </c>
      <c r="D315" t="inlineStr">
        <is>
          <t>NORRBOTTENS LÄN</t>
        </is>
      </c>
      <c r="E315" t="inlineStr">
        <is>
          <t>GÄLLIVARE</t>
        </is>
      </c>
      <c r="G315" t="n">
        <v>11.1</v>
      </c>
      <c r="H315" t="n">
        <v>0</v>
      </c>
      <c r="I315" t="n">
        <v>0</v>
      </c>
      <c r="J315" t="n">
        <v>0</v>
      </c>
      <c r="K315" t="n">
        <v>0</v>
      </c>
      <c r="L315" t="n">
        <v>0</v>
      </c>
      <c r="M315" t="n">
        <v>0</v>
      </c>
      <c r="N315" t="n">
        <v>0</v>
      </c>
      <c r="O315" t="n">
        <v>0</v>
      </c>
      <c r="P315" t="n">
        <v>0</v>
      </c>
      <c r="Q315" t="n">
        <v>0</v>
      </c>
      <c r="R315" s="2" t="inlineStr"/>
    </row>
    <row r="316" ht="15" customHeight="1">
      <c r="A316" t="inlineStr">
        <is>
          <t>A 58343-2021</t>
        </is>
      </c>
      <c r="B316" s="1" t="n">
        <v>44488</v>
      </c>
      <c r="C316" s="1" t="n">
        <v>45672</v>
      </c>
      <c r="D316" t="inlineStr">
        <is>
          <t>NORRBOTTENS LÄN</t>
        </is>
      </c>
      <c r="E316" t="inlineStr">
        <is>
          <t>GÄLLIVARE</t>
        </is>
      </c>
      <c r="F316" t="inlineStr">
        <is>
          <t>Sveaskog</t>
        </is>
      </c>
      <c r="G316" t="n">
        <v>9.1</v>
      </c>
      <c r="H316" t="n">
        <v>0</v>
      </c>
      <c r="I316" t="n">
        <v>0</v>
      </c>
      <c r="J316" t="n">
        <v>0</v>
      </c>
      <c r="K316" t="n">
        <v>0</v>
      </c>
      <c r="L316" t="n">
        <v>0</v>
      </c>
      <c r="M316" t="n">
        <v>0</v>
      </c>
      <c r="N316" t="n">
        <v>0</v>
      </c>
      <c r="O316" t="n">
        <v>0</v>
      </c>
      <c r="P316" t="n">
        <v>0</v>
      </c>
      <c r="Q316" t="n">
        <v>0</v>
      </c>
      <c r="R316" s="2" t="inlineStr"/>
    </row>
    <row r="317" ht="15" customHeight="1">
      <c r="A317" t="inlineStr">
        <is>
          <t>A 58412-2021</t>
        </is>
      </c>
      <c r="B317" s="1" t="n">
        <v>44488</v>
      </c>
      <c r="C317" s="1" t="n">
        <v>45672</v>
      </c>
      <c r="D317" t="inlineStr">
        <is>
          <t>NORRBOTTENS LÄN</t>
        </is>
      </c>
      <c r="E317" t="inlineStr">
        <is>
          <t>GÄLLIVARE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58414-2021</t>
        </is>
      </c>
      <c r="B318" s="1" t="n">
        <v>44488</v>
      </c>
      <c r="C318" s="1" t="n">
        <v>45672</v>
      </c>
      <c r="D318" t="inlineStr">
        <is>
          <t>NORRBOTTENS LÄN</t>
        </is>
      </c>
      <c r="E318" t="inlineStr">
        <is>
          <t>GÄLLIVARE</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45672</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63155-2021</t>
        </is>
      </c>
      <c r="B320" s="1" t="n">
        <v>44505</v>
      </c>
      <c r="C320" s="1" t="n">
        <v>45672</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63156-2021</t>
        </is>
      </c>
      <c r="B321" s="1" t="n">
        <v>44505</v>
      </c>
      <c r="C321" s="1" t="n">
        <v>45672</v>
      </c>
      <c r="D321" t="inlineStr">
        <is>
          <t>NORRBOTTENS LÄN</t>
        </is>
      </c>
      <c r="E321" t="inlineStr">
        <is>
          <t>GÄLLIVARE</t>
        </is>
      </c>
      <c r="F321" t="inlineStr">
        <is>
          <t>SCA</t>
        </is>
      </c>
      <c r="G321" t="n">
        <v>6</v>
      </c>
      <c r="H321" t="n">
        <v>0</v>
      </c>
      <c r="I321" t="n">
        <v>0</v>
      </c>
      <c r="J321" t="n">
        <v>0</v>
      </c>
      <c r="K321" t="n">
        <v>0</v>
      </c>
      <c r="L321" t="n">
        <v>0</v>
      </c>
      <c r="M321" t="n">
        <v>0</v>
      </c>
      <c r="N321" t="n">
        <v>0</v>
      </c>
      <c r="O321" t="n">
        <v>0</v>
      </c>
      <c r="P321" t="n">
        <v>0</v>
      </c>
      <c r="Q321" t="n">
        <v>0</v>
      </c>
      <c r="R321" s="2" t="inlineStr"/>
    </row>
    <row r="322" ht="15" customHeight="1">
      <c r="A322" t="inlineStr">
        <is>
          <t>A 65517-2021</t>
        </is>
      </c>
      <c r="B322" s="1" t="n">
        <v>44516</v>
      </c>
      <c r="C322" s="1" t="n">
        <v>45672</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66264-2021</t>
        </is>
      </c>
      <c r="B323" s="1" t="n">
        <v>44518</v>
      </c>
      <c r="C323" s="1" t="n">
        <v>45672</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66269-2021</t>
        </is>
      </c>
      <c r="B324" s="1" t="n">
        <v>44518</v>
      </c>
      <c r="C324" s="1" t="n">
        <v>45672</v>
      </c>
      <c r="D324" t="inlineStr">
        <is>
          <t>NORRBOTTENS LÄN</t>
        </is>
      </c>
      <c r="E324" t="inlineStr">
        <is>
          <t>GÄLLIVARE</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66282-2021</t>
        </is>
      </c>
      <c r="B325" s="1" t="n">
        <v>44518</v>
      </c>
      <c r="C325" s="1" t="n">
        <v>45672</v>
      </c>
      <c r="D325" t="inlineStr">
        <is>
          <t>NORRBOTTENS LÄN</t>
        </is>
      </c>
      <c r="E325" t="inlineStr">
        <is>
          <t>GÄLLIVARE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66257-2021</t>
        </is>
      </c>
      <c r="B326" s="1" t="n">
        <v>44518</v>
      </c>
      <c r="C326" s="1" t="n">
        <v>45672</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66278-2021</t>
        </is>
      </c>
      <c r="B327" s="1" t="n">
        <v>44518</v>
      </c>
      <c r="C327" s="1" t="n">
        <v>45672</v>
      </c>
      <c r="D327" t="inlineStr">
        <is>
          <t>NORRBOTTENS LÄN</t>
        </is>
      </c>
      <c r="E327" t="inlineStr">
        <is>
          <t>GÄLLIVARE</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66287-2021</t>
        </is>
      </c>
      <c r="B328" s="1" t="n">
        <v>44518</v>
      </c>
      <c r="C328" s="1" t="n">
        <v>45672</v>
      </c>
      <c r="D328" t="inlineStr">
        <is>
          <t>NORRBOTTENS LÄN</t>
        </is>
      </c>
      <c r="E328" t="inlineStr">
        <is>
          <t>GÄLLIVARE</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66950-2021</t>
        </is>
      </c>
      <c r="B329" s="1" t="n">
        <v>44522</v>
      </c>
      <c r="C329" s="1" t="n">
        <v>45672</v>
      </c>
      <c r="D329" t="inlineStr">
        <is>
          <t>NORRBOTTENS LÄN</t>
        </is>
      </c>
      <c r="E329" t="inlineStr">
        <is>
          <t>GÄLLIVARE</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66957-2021</t>
        </is>
      </c>
      <c r="B330" s="1" t="n">
        <v>44522</v>
      </c>
      <c r="C330" s="1" t="n">
        <v>45672</v>
      </c>
      <c r="D330" t="inlineStr">
        <is>
          <t>NORRBOTTENS LÄN</t>
        </is>
      </c>
      <c r="E330" t="inlineStr">
        <is>
          <t>GÄLLIVARE</t>
        </is>
      </c>
      <c r="F330" t="inlineStr">
        <is>
          <t>Allmännings- och besparingsskogar</t>
        </is>
      </c>
      <c r="G330" t="n">
        <v>54</v>
      </c>
      <c r="H330" t="n">
        <v>0</v>
      </c>
      <c r="I330" t="n">
        <v>0</v>
      </c>
      <c r="J330" t="n">
        <v>0</v>
      </c>
      <c r="K330" t="n">
        <v>0</v>
      </c>
      <c r="L330" t="n">
        <v>0</v>
      </c>
      <c r="M330" t="n">
        <v>0</v>
      </c>
      <c r="N330" t="n">
        <v>0</v>
      </c>
      <c r="O330" t="n">
        <v>0</v>
      </c>
      <c r="P330" t="n">
        <v>0</v>
      </c>
      <c r="Q330" t="n">
        <v>0</v>
      </c>
      <c r="R330" s="2" t="inlineStr"/>
    </row>
    <row r="331" ht="15" customHeight="1">
      <c r="A331" t="inlineStr">
        <is>
          <t>A 68199-2021</t>
        </is>
      </c>
      <c r="B331" s="1" t="n">
        <v>44525</v>
      </c>
      <c r="C331" s="1" t="n">
        <v>45672</v>
      </c>
      <c r="D331" t="inlineStr">
        <is>
          <t>NORRBOTTENS LÄN</t>
        </is>
      </c>
      <c r="E331" t="inlineStr">
        <is>
          <t>GÄLLIVARE</t>
        </is>
      </c>
      <c r="G331" t="n">
        <v>6.4</v>
      </c>
      <c r="H331" t="n">
        <v>0</v>
      </c>
      <c r="I331" t="n">
        <v>0</v>
      </c>
      <c r="J331" t="n">
        <v>0</v>
      </c>
      <c r="K331" t="n">
        <v>0</v>
      </c>
      <c r="L331" t="n">
        <v>0</v>
      </c>
      <c r="M331" t="n">
        <v>0</v>
      </c>
      <c r="N331" t="n">
        <v>0</v>
      </c>
      <c r="O331" t="n">
        <v>0</v>
      </c>
      <c r="P331" t="n">
        <v>0</v>
      </c>
      <c r="Q331" t="n">
        <v>0</v>
      </c>
      <c r="R331" s="2" t="inlineStr"/>
    </row>
    <row r="332" ht="15" customHeight="1">
      <c r="A332" t="inlineStr">
        <is>
          <t>A 68960-2021</t>
        </is>
      </c>
      <c r="B332" s="1" t="n">
        <v>44529</v>
      </c>
      <c r="C332" s="1" t="n">
        <v>45672</v>
      </c>
      <c r="D332" t="inlineStr">
        <is>
          <t>NORRBOTTENS LÄN</t>
        </is>
      </c>
      <c r="E332" t="inlineStr">
        <is>
          <t>GÄLLIVARE</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71941-2021</t>
        </is>
      </c>
      <c r="B333" s="1" t="n">
        <v>44543</v>
      </c>
      <c r="C333" s="1" t="n">
        <v>45672</v>
      </c>
      <c r="D333" t="inlineStr">
        <is>
          <t>NORRBOTTENS LÄN</t>
        </is>
      </c>
      <c r="E333" t="inlineStr">
        <is>
          <t>GÄLLIVARE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72762-2021</t>
        </is>
      </c>
      <c r="B334" s="1" t="n">
        <v>44546</v>
      </c>
      <c r="C334" s="1" t="n">
        <v>45672</v>
      </c>
      <c r="D334" t="inlineStr">
        <is>
          <t>NORRBOTTENS LÄN</t>
        </is>
      </c>
      <c r="E334" t="inlineStr">
        <is>
          <t>GÄLLIVARE</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73341-2021</t>
        </is>
      </c>
      <c r="B335" s="1" t="n">
        <v>44550</v>
      </c>
      <c r="C335" s="1" t="n">
        <v>45672</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73337-2021</t>
        </is>
      </c>
      <c r="B336" s="1" t="n">
        <v>44550</v>
      </c>
      <c r="C336" s="1" t="n">
        <v>45672</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73335-2021</t>
        </is>
      </c>
      <c r="B337" s="1" t="n">
        <v>44550</v>
      </c>
      <c r="C337" s="1" t="n">
        <v>45672</v>
      </c>
      <c r="D337" t="inlineStr">
        <is>
          <t>NORRBOTTENS LÄN</t>
        </is>
      </c>
      <c r="E337" t="inlineStr">
        <is>
          <t>GÄLLIVARE</t>
        </is>
      </c>
      <c r="G337" t="n">
        <v>1.1</v>
      </c>
      <c r="H337" t="n">
        <v>0</v>
      </c>
      <c r="I337" t="n">
        <v>0</v>
      </c>
      <c r="J337" t="n">
        <v>0</v>
      </c>
      <c r="K337" t="n">
        <v>0</v>
      </c>
      <c r="L337" t="n">
        <v>0</v>
      </c>
      <c r="M337" t="n">
        <v>0</v>
      </c>
      <c r="N337" t="n">
        <v>0</v>
      </c>
      <c r="O337" t="n">
        <v>0</v>
      </c>
      <c r="P337" t="n">
        <v>0</v>
      </c>
      <c r="Q337" t="n">
        <v>0</v>
      </c>
      <c r="R337" s="2" t="inlineStr"/>
    </row>
    <row r="338" ht="15" customHeight="1">
      <c r="A338" t="inlineStr">
        <is>
          <t>A 73353-2021</t>
        </is>
      </c>
      <c r="B338" s="1" t="n">
        <v>44551</v>
      </c>
      <c r="C338" s="1" t="n">
        <v>45672</v>
      </c>
      <c r="D338" t="inlineStr">
        <is>
          <t>NORRBOTTENS LÄN</t>
        </is>
      </c>
      <c r="E338" t="inlineStr">
        <is>
          <t>GÄLLIVARE</t>
        </is>
      </c>
      <c r="G338" t="n">
        <v>2.4</v>
      </c>
      <c r="H338" t="n">
        <v>0</v>
      </c>
      <c r="I338" t="n">
        <v>0</v>
      </c>
      <c r="J338" t="n">
        <v>0</v>
      </c>
      <c r="K338" t="n">
        <v>0</v>
      </c>
      <c r="L338" t="n">
        <v>0</v>
      </c>
      <c r="M338" t="n">
        <v>0</v>
      </c>
      <c r="N338" t="n">
        <v>0</v>
      </c>
      <c r="O338" t="n">
        <v>0</v>
      </c>
      <c r="P338" t="n">
        <v>0</v>
      </c>
      <c r="Q338" t="n">
        <v>0</v>
      </c>
      <c r="R338" s="2" t="inlineStr"/>
    </row>
    <row r="339" ht="15" customHeight="1">
      <c r="A339" t="inlineStr">
        <is>
          <t>A 588-2022</t>
        </is>
      </c>
      <c r="B339" s="1" t="n">
        <v>44566</v>
      </c>
      <c r="C339" s="1" t="n">
        <v>45672</v>
      </c>
      <c r="D339" t="inlineStr">
        <is>
          <t>NORRBOTTENS LÄN</t>
        </is>
      </c>
      <c r="E339" t="inlineStr">
        <is>
          <t>GÄLLIVARE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2018-2022</t>
        </is>
      </c>
      <c r="B340" s="1" t="n">
        <v>44575</v>
      </c>
      <c r="C340" s="1" t="n">
        <v>45672</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4016-2022</t>
        </is>
      </c>
      <c r="B341" s="1" t="n">
        <v>44587</v>
      </c>
      <c r="C341" s="1" t="n">
        <v>45672</v>
      </c>
      <c r="D341" t="inlineStr">
        <is>
          <t>NORRBOTTENS LÄN</t>
        </is>
      </c>
      <c r="E341" t="inlineStr">
        <is>
          <t>GÄLLIVARE</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4135-2022</t>
        </is>
      </c>
      <c r="B342" s="1" t="n">
        <v>44588</v>
      </c>
      <c r="C342" s="1" t="n">
        <v>45672</v>
      </c>
      <c r="D342" t="inlineStr">
        <is>
          <t>NORRBOTTENS LÄN</t>
        </is>
      </c>
      <c r="E342" t="inlineStr">
        <is>
          <t>GÄLLIVARE</t>
        </is>
      </c>
      <c r="G342" t="n">
        <v>2.8</v>
      </c>
      <c r="H342" t="n">
        <v>0</v>
      </c>
      <c r="I342" t="n">
        <v>0</v>
      </c>
      <c r="J342" t="n">
        <v>0</v>
      </c>
      <c r="K342" t="n">
        <v>0</v>
      </c>
      <c r="L342" t="n">
        <v>0</v>
      </c>
      <c r="M342" t="n">
        <v>0</v>
      </c>
      <c r="N342" t="n">
        <v>0</v>
      </c>
      <c r="O342" t="n">
        <v>0</v>
      </c>
      <c r="P342" t="n">
        <v>0</v>
      </c>
      <c r="Q342" t="n">
        <v>0</v>
      </c>
      <c r="R342" s="2" t="inlineStr"/>
    </row>
    <row r="343" ht="15" customHeight="1">
      <c r="A343" t="inlineStr">
        <is>
          <t>A 7538-2022</t>
        </is>
      </c>
      <c r="B343" s="1" t="n">
        <v>44607</v>
      </c>
      <c r="C343" s="1" t="n">
        <v>45672</v>
      </c>
      <c r="D343" t="inlineStr">
        <is>
          <t>NORRBOTTENS LÄN</t>
        </is>
      </c>
      <c r="E343" t="inlineStr">
        <is>
          <t>GÄLLIVARE</t>
        </is>
      </c>
      <c r="G343" t="n">
        <v>1.8</v>
      </c>
      <c r="H343" t="n">
        <v>0</v>
      </c>
      <c r="I343" t="n">
        <v>0</v>
      </c>
      <c r="J343" t="n">
        <v>0</v>
      </c>
      <c r="K343" t="n">
        <v>0</v>
      </c>
      <c r="L343" t="n">
        <v>0</v>
      </c>
      <c r="M343" t="n">
        <v>0</v>
      </c>
      <c r="N343" t="n">
        <v>0</v>
      </c>
      <c r="O343" t="n">
        <v>0</v>
      </c>
      <c r="P343" t="n">
        <v>0</v>
      </c>
      <c r="Q343" t="n">
        <v>0</v>
      </c>
      <c r="R343" s="2" t="inlineStr"/>
    </row>
    <row r="344" ht="15" customHeight="1">
      <c r="A344" t="inlineStr">
        <is>
          <t>A 7683-2022</t>
        </is>
      </c>
      <c r="B344" s="1" t="n">
        <v>44607</v>
      </c>
      <c r="C344" s="1" t="n">
        <v>45672</v>
      </c>
      <c r="D344" t="inlineStr">
        <is>
          <t>NORRBOTTENS LÄN</t>
        </is>
      </c>
      <c r="E344" t="inlineStr">
        <is>
          <t>GÄLLIVARE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7693-2022</t>
        </is>
      </c>
      <c r="B345" s="1" t="n">
        <v>44607</v>
      </c>
      <c r="C345" s="1" t="n">
        <v>45672</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7676-2022</t>
        </is>
      </c>
      <c r="B346" s="1" t="n">
        <v>44607</v>
      </c>
      <c r="C346" s="1" t="n">
        <v>45672</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7682-2022</t>
        </is>
      </c>
      <c r="B347" s="1" t="n">
        <v>44607</v>
      </c>
      <c r="C347" s="1" t="n">
        <v>45672</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7681-2022</t>
        </is>
      </c>
      <c r="B348" s="1" t="n">
        <v>44607</v>
      </c>
      <c r="C348" s="1" t="n">
        <v>45672</v>
      </c>
      <c r="D348" t="inlineStr">
        <is>
          <t>NORRBOTTENS LÄN</t>
        </is>
      </c>
      <c r="E348" t="inlineStr">
        <is>
          <t>GÄLLIVARE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7690-2022</t>
        </is>
      </c>
      <c r="B349" s="1" t="n">
        <v>44607</v>
      </c>
      <c r="C349" s="1" t="n">
        <v>45672</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7678-2022</t>
        </is>
      </c>
      <c r="B350" s="1" t="n">
        <v>44607</v>
      </c>
      <c r="C350" s="1" t="n">
        <v>45672</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7685-2022</t>
        </is>
      </c>
      <c r="B351" s="1" t="n">
        <v>44607</v>
      </c>
      <c r="C351" s="1" t="n">
        <v>45672</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8018-2022</t>
        </is>
      </c>
      <c r="B352" s="1" t="n">
        <v>44609</v>
      </c>
      <c r="C352" s="1" t="n">
        <v>45672</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9504-2022</t>
        </is>
      </c>
      <c r="B353" s="1" t="n">
        <v>44616</v>
      </c>
      <c r="C353" s="1" t="n">
        <v>45672</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9493-2022</t>
        </is>
      </c>
      <c r="B354" s="1" t="n">
        <v>44616</v>
      </c>
      <c r="C354" s="1" t="n">
        <v>45672</v>
      </c>
      <c r="D354" t="inlineStr">
        <is>
          <t>NORRBOTTENS LÄN</t>
        </is>
      </c>
      <c r="E354" t="inlineStr">
        <is>
          <t>GÄLLIVARE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10652-2022</t>
        </is>
      </c>
      <c r="B355" s="1" t="n">
        <v>44624</v>
      </c>
      <c r="C355" s="1" t="n">
        <v>45672</v>
      </c>
      <c r="D355" t="inlineStr">
        <is>
          <t>NORRBOTTENS LÄN</t>
        </is>
      </c>
      <c r="E355" t="inlineStr">
        <is>
          <t>GÄLLIVARE</t>
        </is>
      </c>
      <c r="G355" t="n">
        <v>7.9</v>
      </c>
      <c r="H355" t="n">
        <v>0</v>
      </c>
      <c r="I355" t="n">
        <v>0</v>
      </c>
      <c r="J355" t="n">
        <v>0</v>
      </c>
      <c r="K355" t="n">
        <v>0</v>
      </c>
      <c r="L355" t="n">
        <v>0</v>
      </c>
      <c r="M355" t="n">
        <v>0</v>
      </c>
      <c r="N355" t="n">
        <v>0</v>
      </c>
      <c r="O355" t="n">
        <v>0</v>
      </c>
      <c r="P355" t="n">
        <v>0</v>
      </c>
      <c r="Q355" t="n">
        <v>0</v>
      </c>
      <c r="R355" s="2" t="inlineStr"/>
    </row>
    <row r="356" ht="15" customHeight="1">
      <c r="A356" t="inlineStr">
        <is>
          <t>A 12202-2022</t>
        </is>
      </c>
      <c r="B356" s="1" t="n">
        <v>44636</v>
      </c>
      <c r="C356" s="1" t="n">
        <v>45672</v>
      </c>
      <c r="D356" t="inlineStr">
        <is>
          <t>NORRBOTTENS LÄN</t>
        </is>
      </c>
      <c r="E356" t="inlineStr">
        <is>
          <t>GÄLLIVARE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14279-2022</t>
        </is>
      </c>
      <c r="B357" s="1" t="n">
        <v>44651</v>
      </c>
      <c r="C357" s="1" t="n">
        <v>45672</v>
      </c>
      <c r="D357" t="inlineStr">
        <is>
          <t>NORRBOTTENS LÄN</t>
        </is>
      </c>
      <c r="E357" t="inlineStr">
        <is>
          <t>GÄLLIVARE</t>
        </is>
      </c>
      <c r="G357" t="n">
        <v>1.9</v>
      </c>
      <c r="H357" t="n">
        <v>0</v>
      </c>
      <c r="I357" t="n">
        <v>0</v>
      </c>
      <c r="J357" t="n">
        <v>0</v>
      </c>
      <c r="K357" t="n">
        <v>0</v>
      </c>
      <c r="L357" t="n">
        <v>0</v>
      </c>
      <c r="M357" t="n">
        <v>0</v>
      </c>
      <c r="N357" t="n">
        <v>0</v>
      </c>
      <c r="O357" t="n">
        <v>0</v>
      </c>
      <c r="P357" t="n">
        <v>0</v>
      </c>
      <c r="Q357" t="n">
        <v>0</v>
      </c>
      <c r="R357" s="2" t="inlineStr"/>
    </row>
    <row r="358" ht="15" customHeight="1">
      <c r="A358" t="inlineStr">
        <is>
          <t>A 16549-2022</t>
        </is>
      </c>
      <c r="B358" s="1" t="n">
        <v>44672</v>
      </c>
      <c r="C358" s="1" t="n">
        <v>45672</v>
      </c>
      <c r="D358" t="inlineStr">
        <is>
          <t>NORRBOTTENS LÄN</t>
        </is>
      </c>
      <c r="E358" t="inlineStr">
        <is>
          <t>GÄLLIVARE</t>
        </is>
      </c>
      <c r="G358" t="n">
        <v>25.9</v>
      </c>
      <c r="H358" t="n">
        <v>0</v>
      </c>
      <c r="I358" t="n">
        <v>0</v>
      </c>
      <c r="J358" t="n">
        <v>0</v>
      </c>
      <c r="K358" t="n">
        <v>0</v>
      </c>
      <c r="L358" t="n">
        <v>0</v>
      </c>
      <c r="M358" t="n">
        <v>0</v>
      </c>
      <c r="N358" t="n">
        <v>0</v>
      </c>
      <c r="O358" t="n">
        <v>0</v>
      </c>
      <c r="P358" t="n">
        <v>0</v>
      </c>
      <c r="Q358" t="n">
        <v>0</v>
      </c>
      <c r="R358" s="2" t="inlineStr"/>
    </row>
    <row r="359" ht="15" customHeight="1">
      <c r="A359" t="inlineStr">
        <is>
          <t>A 18104-2022</t>
        </is>
      </c>
      <c r="B359" s="1" t="n">
        <v>44684</v>
      </c>
      <c r="C359" s="1" t="n">
        <v>45672</v>
      </c>
      <c r="D359" t="inlineStr">
        <is>
          <t>NORRBOTTENS LÄN</t>
        </is>
      </c>
      <c r="E359" t="inlineStr">
        <is>
          <t>GÄLLIVARE</t>
        </is>
      </c>
      <c r="G359" t="n">
        <v>8.4</v>
      </c>
      <c r="H359" t="n">
        <v>0</v>
      </c>
      <c r="I359" t="n">
        <v>0</v>
      </c>
      <c r="J359" t="n">
        <v>0</v>
      </c>
      <c r="K359" t="n">
        <v>0</v>
      </c>
      <c r="L359" t="n">
        <v>0</v>
      </c>
      <c r="M359" t="n">
        <v>0</v>
      </c>
      <c r="N359" t="n">
        <v>0</v>
      </c>
      <c r="O359" t="n">
        <v>0</v>
      </c>
      <c r="P359" t="n">
        <v>0</v>
      </c>
      <c r="Q359" t="n">
        <v>0</v>
      </c>
      <c r="R359" s="2" t="inlineStr"/>
    </row>
    <row r="360" ht="15" customHeight="1">
      <c r="A360" t="inlineStr">
        <is>
          <t>A 20000-2022</t>
        </is>
      </c>
      <c r="B360" s="1" t="n">
        <v>44697</v>
      </c>
      <c r="C360" s="1" t="n">
        <v>45672</v>
      </c>
      <c r="D360" t="inlineStr">
        <is>
          <t>NORRBOTTENS LÄN</t>
        </is>
      </c>
      <c r="E360" t="inlineStr">
        <is>
          <t>GÄLLIVARE</t>
        </is>
      </c>
      <c r="G360" t="n">
        <v>1.2</v>
      </c>
      <c r="H360" t="n">
        <v>0</v>
      </c>
      <c r="I360" t="n">
        <v>0</v>
      </c>
      <c r="J360" t="n">
        <v>0</v>
      </c>
      <c r="K360" t="n">
        <v>0</v>
      </c>
      <c r="L360" t="n">
        <v>0</v>
      </c>
      <c r="M360" t="n">
        <v>0</v>
      </c>
      <c r="N360" t="n">
        <v>0</v>
      </c>
      <c r="O360" t="n">
        <v>0</v>
      </c>
      <c r="P360" t="n">
        <v>0</v>
      </c>
      <c r="Q360" t="n">
        <v>0</v>
      </c>
      <c r="R360" s="2" t="inlineStr"/>
    </row>
    <row r="361" ht="15" customHeight="1">
      <c r="A361" t="inlineStr">
        <is>
          <t>A 22346-2022</t>
        </is>
      </c>
      <c r="B361" s="1" t="n">
        <v>44712</v>
      </c>
      <c r="C361" s="1" t="n">
        <v>45672</v>
      </c>
      <c r="D361" t="inlineStr">
        <is>
          <t>NORRBOTTENS LÄN</t>
        </is>
      </c>
      <c r="E361" t="inlineStr">
        <is>
          <t>GÄLLIVARE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22347-2022</t>
        </is>
      </c>
      <c r="B362" s="1" t="n">
        <v>44712</v>
      </c>
      <c r="C362" s="1" t="n">
        <v>45672</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22348-2022</t>
        </is>
      </c>
      <c r="B363" s="1" t="n">
        <v>44712</v>
      </c>
      <c r="C363" s="1" t="n">
        <v>45672</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22349-2022</t>
        </is>
      </c>
      <c r="B364" s="1" t="n">
        <v>44712</v>
      </c>
      <c r="C364" s="1" t="n">
        <v>45672</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24564-2022</t>
        </is>
      </c>
      <c r="B365" s="1" t="n">
        <v>44726</v>
      </c>
      <c r="C365" s="1" t="n">
        <v>45672</v>
      </c>
      <c r="D365" t="inlineStr">
        <is>
          <t>NORRBOTTENS LÄN</t>
        </is>
      </c>
      <c r="E365" t="inlineStr">
        <is>
          <t>GÄLLIVARE</t>
        </is>
      </c>
      <c r="G365" t="n">
        <v>12.9</v>
      </c>
      <c r="H365" t="n">
        <v>0</v>
      </c>
      <c r="I365" t="n">
        <v>0</v>
      </c>
      <c r="J365" t="n">
        <v>0</v>
      </c>
      <c r="K365" t="n">
        <v>0</v>
      </c>
      <c r="L365" t="n">
        <v>0</v>
      </c>
      <c r="M365" t="n">
        <v>0</v>
      </c>
      <c r="N365" t="n">
        <v>0</v>
      </c>
      <c r="O365" t="n">
        <v>0</v>
      </c>
      <c r="P365" t="n">
        <v>0</v>
      </c>
      <c r="Q365" t="n">
        <v>0</v>
      </c>
      <c r="R365" s="2" t="inlineStr"/>
    </row>
    <row r="366" ht="15" customHeight="1">
      <c r="A366" t="inlineStr">
        <is>
          <t>A 25910-2022</t>
        </is>
      </c>
      <c r="B366" s="1" t="n">
        <v>44734</v>
      </c>
      <c r="C366" s="1" t="n">
        <v>45672</v>
      </c>
      <c r="D366" t="inlineStr">
        <is>
          <t>NORRBOTTENS LÄN</t>
        </is>
      </c>
      <c r="E366" t="inlineStr">
        <is>
          <t>GÄLLIVARE</t>
        </is>
      </c>
      <c r="F366" t="inlineStr">
        <is>
          <t>Sveaskog</t>
        </is>
      </c>
      <c r="G366" t="n">
        <v>36.7</v>
      </c>
      <c r="H366" t="n">
        <v>0</v>
      </c>
      <c r="I366" t="n">
        <v>0</v>
      </c>
      <c r="J366" t="n">
        <v>0</v>
      </c>
      <c r="K366" t="n">
        <v>0</v>
      </c>
      <c r="L366" t="n">
        <v>0</v>
      </c>
      <c r="M366" t="n">
        <v>0</v>
      </c>
      <c r="N366" t="n">
        <v>0</v>
      </c>
      <c r="O366" t="n">
        <v>0</v>
      </c>
      <c r="P366" t="n">
        <v>0</v>
      </c>
      <c r="Q366" t="n">
        <v>0</v>
      </c>
      <c r="R366" s="2" t="inlineStr"/>
    </row>
    <row r="367" ht="15" customHeight="1">
      <c r="A367" t="inlineStr">
        <is>
          <t>A 27050-2022</t>
        </is>
      </c>
      <c r="B367" s="1" t="n">
        <v>44741</v>
      </c>
      <c r="C367" s="1" t="n">
        <v>45672</v>
      </c>
      <c r="D367" t="inlineStr">
        <is>
          <t>NORRBOTTENS LÄN</t>
        </is>
      </c>
      <c r="E367" t="inlineStr">
        <is>
          <t>GÄLLIVARE</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29140-2022</t>
        </is>
      </c>
      <c r="B368" s="1" t="n">
        <v>44750</v>
      </c>
      <c r="C368" s="1" t="n">
        <v>45672</v>
      </c>
      <c r="D368" t="inlineStr">
        <is>
          <t>NORRBOTTENS LÄN</t>
        </is>
      </c>
      <c r="E368" t="inlineStr">
        <is>
          <t>GÄLLIVARE</t>
        </is>
      </c>
      <c r="G368" t="n">
        <v>13.6</v>
      </c>
      <c r="H368" t="n">
        <v>0</v>
      </c>
      <c r="I368" t="n">
        <v>0</v>
      </c>
      <c r="J368" t="n">
        <v>0</v>
      </c>
      <c r="K368" t="n">
        <v>0</v>
      </c>
      <c r="L368" t="n">
        <v>0</v>
      </c>
      <c r="M368" t="n">
        <v>0</v>
      </c>
      <c r="N368" t="n">
        <v>0</v>
      </c>
      <c r="O368" t="n">
        <v>0</v>
      </c>
      <c r="P368" t="n">
        <v>0</v>
      </c>
      <c r="Q368" t="n">
        <v>0</v>
      </c>
      <c r="R368" s="2" t="inlineStr"/>
    </row>
    <row r="369" ht="15" customHeight="1">
      <c r="A369" t="inlineStr">
        <is>
          <t>A 31117-2022</t>
        </is>
      </c>
      <c r="B369" s="1" t="n">
        <v>44769</v>
      </c>
      <c r="C369" s="1" t="n">
        <v>45672</v>
      </c>
      <c r="D369" t="inlineStr">
        <is>
          <t>NORRBOTTENS LÄN</t>
        </is>
      </c>
      <c r="E369" t="inlineStr">
        <is>
          <t>GÄLLIVARE</t>
        </is>
      </c>
      <c r="G369" t="n">
        <v>2.2</v>
      </c>
      <c r="H369" t="n">
        <v>0</v>
      </c>
      <c r="I369" t="n">
        <v>0</v>
      </c>
      <c r="J369" t="n">
        <v>0</v>
      </c>
      <c r="K369" t="n">
        <v>0</v>
      </c>
      <c r="L369" t="n">
        <v>0</v>
      </c>
      <c r="M369" t="n">
        <v>0</v>
      </c>
      <c r="N369" t="n">
        <v>0</v>
      </c>
      <c r="O369" t="n">
        <v>0</v>
      </c>
      <c r="P369" t="n">
        <v>0</v>
      </c>
      <c r="Q369" t="n">
        <v>0</v>
      </c>
      <c r="R369" s="2" t="inlineStr"/>
    </row>
    <row r="370" ht="15" customHeight="1">
      <c r="A370" t="inlineStr">
        <is>
          <t>A 31634-2022</t>
        </is>
      </c>
      <c r="B370" s="1" t="n">
        <v>44775</v>
      </c>
      <c r="C370" s="1" t="n">
        <v>45672</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32196-2022</t>
        </is>
      </c>
      <c r="B371" s="1" t="n">
        <v>44781</v>
      </c>
      <c r="C371" s="1" t="n">
        <v>45672</v>
      </c>
      <c r="D371" t="inlineStr">
        <is>
          <t>NORRBOTTENS LÄN</t>
        </is>
      </c>
      <c r="E371" t="inlineStr">
        <is>
          <t>GÄLLIVARE</t>
        </is>
      </c>
      <c r="G371" t="n">
        <v>5.2</v>
      </c>
      <c r="H371" t="n">
        <v>0</v>
      </c>
      <c r="I371" t="n">
        <v>0</v>
      </c>
      <c r="J371" t="n">
        <v>0</v>
      </c>
      <c r="K371" t="n">
        <v>0</v>
      </c>
      <c r="L371" t="n">
        <v>0</v>
      </c>
      <c r="M371" t="n">
        <v>0</v>
      </c>
      <c r="N371" t="n">
        <v>0</v>
      </c>
      <c r="O371" t="n">
        <v>0</v>
      </c>
      <c r="P371" t="n">
        <v>0</v>
      </c>
      <c r="Q371" t="n">
        <v>0</v>
      </c>
      <c r="R371" s="2" t="inlineStr"/>
    </row>
    <row r="372" ht="15" customHeight="1">
      <c r="A372" t="inlineStr">
        <is>
          <t>A 32720-2022</t>
        </is>
      </c>
      <c r="B372" s="1" t="n">
        <v>44783</v>
      </c>
      <c r="C372" s="1" t="n">
        <v>45672</v>
      </c>
      <c r="D372" t="inlineStr">
        <is>
          <t>NORRBOTTENS LÄN</t>
        </is>
      </c>
      <c r="E372" t="inlineStr">
        <is>
          <t>GÄLLIVARE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33446-2022</t>
        </is>
      </c>
      <c r="B373" s="1" t="n">
        <v>44788</v>
      </c>
      <c r="C373" s="1" t="n">
        <v>45672</v>
      </c>
      <c r="D373" t="inlineStr">
        <is>
          <t>NORRBOTTENS LÄN</t>
        </is>
      </c>
      <c r="E373" t="inlineStr">
        <is>
          <t>GÄLLIVARE</t>
        </is>
      </c>
      <c r="G373" t="n">
        <v>0.5</v>
      </c>
      <c r="H373" t="n">
        <v>0</v>
      </c>
      <c r="I373" t="n">
        <v>0</v>
      </c>
      <c r="J373" t="n">
        <v>0</v>
      </c>
      <c r="K373" t="n">
        <v>0</v>
      </c>
      <c r="L373" t="n">
        <v>0</v>
      </c>
      <c r="M373" t="n">
        <v>0</v>
      </c>
      <c r="N373" t="n">
        <v>0</v>
      </c>
      <c r="O373" t="n">
        <v>0</v>
      </c>
      <c r="P373" t="n">
        <v>0</v>
      </c>
      <c r="Q373" t="n">
        <v>0</v>
      </c>
      <c r="R373" s="2" t="inlineStr"/>
    </row>
    <row r="374" ht="15" customHeight="1">
      <c r="A374" t="inlineStr">
        <is>
          <t>A 34318-2022</t>
        </is>
      </c>
      <c r="B374" s="1" t="n">
        <v>44792</v>
      </c>
      <c r="C374" s="1" t="n">
        <v>45672</v>
      </c>
      <c r="D374" t="inlineStr">
        <is>
          <t>NORRBOTTENS LÄN</t>
        </is>
      </c>
      <c r="E374" t="inlineStr">
        <is>
          <t>GÄLLIVARE</t>
        </is>
      </c>
      <c r="G374" t="n">
        <v>13.3</v>
      </c>
      <c r="H374" t="n">
        <v>0</v>
      </c>
      <c r="I374" t="n">
        <v>0</v>
      </c>
      <c r="J374" t="n">
        <v>0</v>
      </c>
      <c r="K374" t="n">
        <v>0</v>
      </c>
      <c r="L374" t="n">
        <v>0</v>
      </c>
      <c r="M374" t="n">
        <v>0</v>
      </c>
      <c r="N374" t="n">
        <v>0</v>
      </c>
      <c r="O374" t="n">
        <v>0</v>
      </c>
      <c r="P374" t="n">
        <v>0</v>
      </c>
      <c r="Q374" t="n">
        <v>0</v>
      </c>
      <c r="R374" s="2" t="inlineStr"/>
    </row>
    <row r="375" ht="15" customHeight="1">
      <c r="A375" t="inlineStr">
        <is>
          <t>A 34671-2022</t>
        </is>
      </c>
      <c r="B375" s="1" t="n">
        <v>44795</v>
      </c>
      <c r="C375" s="1" t="n">
        <v>45672</v>
      </c>
      <c r="D375" t="inlineStr">
        <is>
          <t>NORRBOTTENS LÄN</t>
        </is>
      </c>
      <c r="E375" t="inlineStr">
        <is>
          <t>GÄLLIVARE</t>
        </is>
      </c>
      <c r="F375" t="inlineStr">
        <is>
          <t>Allmännings- och besparingsskogar</t>
        </is>
      </c>
      <c r="G375" t="n">
        <v>20.5</v>
      </c>
      <c r="H375" t="n">
        <v>0</v>
      </c>
      <c r="I375" t="n">
        <v>0</v>
      </c>
      <c r="J375" t="n">
        <v>0</v>
      </c>
      <c r="K375" t="n">
        <v>0</v>
      </c>
      <c r="L375" t="n">
        <v>0</v>
      </c>
      <c r="M375" t="n">
        <v>0</v>
      </c>
      <c r="N375" t="n">
        <v>0</v>
      </c>
      <c r="O375" t="n">
        <v>0</v>
      </c>
      <c r="P375" t="n">
        <v>0</v>
      </c>
      <c r="Q375" t="n">
        <v>0</v>
      </c>
      <c r="R375" s="2" t="inlineStr"/>
    </row>
    <row r="376" ht="15" customHeight="1">
      <c r="A376" t="inlineStr">
        <is>
          <t>A 34674-2022</t>
        </is>
      </c>
      <c r="B376" s="1" t="n">
        <v>44795</v>
      </c>
      <c r="C376" s="1" t="n">
        <v>45672</v>
      </c>
      <c r="D376" t="inlineStr">
        <is>
          <t>NORRBOTTENS LÄN</t>
        </is>
      </c>
      <c r="E376" t="inlineStr">
        <is>
          <t>GÄLLIVARE</t>
        </is>
      </c>
      <c r="F376" t="inlineStr">
        <is>
          <t>Allmännings- och besparingsskogar</t>
        </is>
      </c>
      <c r="G376" t="n">
        <v>96.7</v>
      </c>
      <c r="H376" t="n">
        <v>0</v>
      </c>
      <c r="I376" t="n">
        <v>0</v>
      </c>
      <c r="J376" t="n">
        <v>0</v>
      </c>
      <c r="K376" t="n">
        <v>0</v>
      </c>
      <c r="L376" t="n">
        <v>0</v>
      </c>
      <c r="M376" t="n">
        <v>0</v>
      </c>
      <c r="N376" t="n">
        <v>0</v>
      </c>
      <c r="O376" t="n">
        <v>0</v>
      </c>
      <c r="P376" t="n">
        <v>0</v>
      </c>
      <c r="Q376" t="n">
        <v>0</v>
      </c>
      <c r="R376" s="2" t="inlineStr"/>
    </row>
    <row r="377" ht="15" customHeight="1">
      <c r="A377" t="inlineStr">
        <is>
          <t>A 35317-2022</t>
        </is>
      </c>
      <c r="B377" s="1" t="n">
        <v>44798</v>
      </c>
      <c r="C377" s="1" t="n">
        <v>45672</v>
      </c>
      <c r="D377" t="inlineStr">
        <is>
          <t>NORRBOTTENS LÄN</t>
        </is>
      </c>
      <c r="E377" t="inlineStr">
        <is>
          <t>GÄLLIVARE</t>
        </is>
      </c>
      <c r="F377" t="inlineStr">
        <is>
          <t>Sveaskog</t>
        </is>
      </c>
      <c r="G377" t="n">
        <v>14.9</v>
      </c>
      <c r="H377" t="n">
        <v>0</v>
      </c>
      <c r="I377" t="n">
        <v>0</v>
      </c>
      <c r="J377" t="n">
        <v>0</v>
      </c>
      <c r="K377" t="n">
        <v>0</v>
      </c>
      <c r="L377" t="n">
        <v>0</v>
      </c>
      <c r="M377" t="n">
        <v>0</v>
      </c>
      <c r="N377" t="n">
        <v>0</v>
      </c>
      <c r="O377" t="n">
        <v>0</v>
      </c>
      <c r="P377" t="n">
        <v>0</v>
      </c>
      <c r="Q377" t="n">
        <v>0</v>
      </c>
      <c r="R377" s="2" t="inlineStr"/>
    </row>
    <row r="378" ht="15" customHeight="1">
      <c r="A378" t="inlineStr">
        <is>
          <t>A 35576-2022</t>
        </is>
      </c>
      <c r="B378" s="1" t="n">
        <v>44799</v>
      </c>
      <c r="C378" s="1" t="n">
        <v>45672</v>
      </c>
      <c r="D378" t="inlineStr">
        <is>
          <t>NORRBOTTENS LÄN</t>
        </is>
      </c>
      <c r="E378" t="inlineStr">
        <is>
          <t>GÄLLIVARE</t>
        </is>
      </c>
      <c r="F378" t="inlineStr">
        <is>
          <t>Allmännings- och besparingsskogar</t>
        </is>
      </c>
      <c r="G378" t="n">
        <v>2.3</v>
      </c>
      <c r="H378" t="n">
        <v>0</v>
      </c>
      <c r="I378" t="n">
        <v>0</v>
      </c>
      <c r="J378" t="n">
        <v>0</v>
      </c>
      <c r="K378" t="n">
        <v>0</v>
      </c>
      <c r="L378" t="n">
        <v>0</v>
      </c>
      <c r="M378" t="n">
        <v>0</v>
      </c>
      <c r="N378" t="n">
        <v>0</v>
      </c>
      <c r="O378" t="n">
        <v>0</v>
      </c>
      <c r="P378" t="n">
        <v>0</v>
      </c>
      <c r="Q378" t="n">
        <v>0</v>
      </c>
      <c r="R378" s="2" t="inlineStr"/>
    </row>
    <row r="379" ht="15" customHeight="1">
      <c r="A379" t="inlineStr">
        <is>
          <t>A 35579-2022</t>
        </is>
      </c>
      <c r="B379" s="1" t="n">
        <v>44799</v>
      </c>
      <c r="C379" s="1" t="n">
        <v>45672</v>
      </c>
      <c r="D379" t="inlineStr">
        <is>
          <t>NORRBOTTENS LÄN</t>
        </is>
      </c>
      <c r="E379" t="inlineStr">
        <is>
          <t>GÄLLIVARE</t>
        </is>
      </c>
      <c r="F379" t="inlineStr">
        <is>
          <t>Allmännings- och besparingsskogar</t>
        </is>
      </c>
      <c r="G379" t="n">
        <v>7.9</v>
      </c>
      <c r="H379" t="n">
        <v>0</v>
      </c>
      <c r="I379" t="n">
        <v>0</v>
      </c>
      <c r="J379" t="n">
        <v>0</v>
      </c>
      <c r="K379" t="n">
        <v>0</v>
      </c>
      <c r="L379" t="n">
        <v>0</v>
      </c>
      <c r="M379" t="n">
        <v>0</v>
      </c>
      <c r="N379" t="n">
        <v>0</v>
      </c>
      <c r="O379" t="n">
        <v>0</v>
      </c>
      <c r="P379" t="n">
        <v>0</v>
      </c>
      <c r="Q379" t="n">
        <v>0</v>
      </c>
      <c r="R379" s="2" t="inlineStr"/>
    </row>
    <row r="380" ht="15" customHeight="1">
      <c r="A380" t="inlineStr">
        <is>
          <t>A 39397-2022</t>
        </is>
      </c>
      <c r="B380" s="1" t="n">
        <v>44817</v>
      </c>
      <c r="C380" s="1" t="n">
        <v>45672</v>
      </c>
      <c r="D380" t="inlineStr">
        <is>
          <t>NORRBOTTENS LÄN</t>
        </is>
      </c>
      <c r="E380" t="inlineStr">
        <is>
          <t>GÄLLIVARE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39379-2022</t>
        </is>
      </c>
      <c r="B381" s="1" t="n">
        <v>44818</v>
      </c>
      <c r="C381" s="1" t="n">
        <v>45672</v>
      </c>
      <c r="D381" t="inlineStr">
        <is>
          <t>NORRBOTTENS LÄN</t>
        </is>
      </c>
      <c r="E381" t="inlineStr">
        <is>
          <t>GÄLLIVARE</t>
        </is>
      </c>
      <c r="F381" t="inlineStr">
        <is>
          <t>SCA</t>
        </is>
      </c>
      <c r="G381" t="n">
        <v>13.5</v>
      </c>
      <c r="H381" t="n">
        <v>0</v>
      </c>
      <c r="I381" t="n">
        <v>0</v>
      </c>
      <c r="J381" t="n">
        <v>0</v>
      </c>
      <c r="K381" t="n">
        <v>0</v>
      </c>
      <c r="L381" t="n">
        <v>0</v>
      </c>
      <c r="M381" t="n">
        <v>0</v>
      </c>
      <c r="N381" t="n">
        <v>0</v>
      </c>
      <c r="O381" t="n">
        <v>0</v>
      </c>
      <c r="P381" t="n">
        <v>0</v>
      </c>
      <c r="Q381" t="n">
        <v>0</v>
      </c>
      <c r="R381" s="2" t="inlineStr"/>
    </row>
    <row r="382" ht="15" customHeight="1">
      <c r="A382" t="inlineStr">
        <is>
          <t>A 39378-2022</t>
        </is>
      </c>
      <c r="B382" s="1" t="n">
        <v>44817</v>
      </c>
      <c r="C382" s="1" t="n">
        <v>45672</v>
      </c>
      <c r="D382" t="inlineStr">
        <is>
          <t>NORRBOTTENS LÄN</t>
        </is>
      </c>
      <c r="E382" t="inlineStr">
        <is>
          <t>GÄLLIVARE</t>
        </is>
      </c>
      <c r="F382" t="inlineStr">
        <is>
          <t>SCA</t>
        </is>
      </c>
      <c r="G382" t="n">
        <v>11.5</v>
      </c>
      <c r="H382" t="n">
        <v>0</v>
      </c>
      <c r="I382" t="n">
        <v>0</v>
      </c>
      <c r="J382" t="n">
        <v>0</v>
      </c>
      <c r="K382" t="n">
        <v>0</v>
      </c>
      <c r="L382" t="n">
        <v>0</v>
      </c>
      <c r="M382" t="n">
        <v>0</v>
      </c>
      <c r="N382" t="n">
        <v>0</v>
      </c>
      <c r="O382" t="n">
        <v>0</v>
      </c>
      <c r="P382" t="n">
        <v>0</v>
      </c>
      <c r="Q382" t="n">
        <v>0</v>
      </c>
      <c r="R382" s="2" t="inlineStr"/>
    </row>
    <row r="383" ht="15" customHeight="1">
      <c r="A383" t="inlineStr">
        <is>
          <t>A 39377-2022</t>
        </is>
      </c>
      <c r="B383" s="1" t="n">
        <v>44817</v>
      </c>
      <c r="C383" s="1" t="n">
        <v>45672</v>
      </c>
      <c r="D383" t="inlineStr">
        <is>
          <t>NORRBOTTENS LÄN</t>
        </is>
      </c>
      <c r="E383" t="inlineStr">
        <is>
          <t>GÄLLIVARE</t>
        </is>
      </c>
      <c r="F383" t="inlineStr">
        <is>
          <t>SCA</t>
        </is>
      </c>
      <c r="G383" t="n">
        <v>11.8</v>
      </c>
      <c r="H383" t="n">
        <v>0</v>
      </c>
      <c r="I383" t="n">
        <v>0</v>
      </c>
      <c r="J383" t="n">
        <v>0</v>
      </c>
      <c r="K383" t="n">
        <v>0</v>
      </c>
      <c r="L383" t="n">
        <v>0</v>
      </c>
      <c r="M383" t="n">
        <v>0</v>
      </c>
      <c r="N383" t="n">
        <v>0</v>
      </c>
      <c r="O383" t="n">
        <v>0</v>
      </c>
      <c r="P383" t="n">
        <v>0</v>
      </c>
      <c r="Q383" t="n">
        <v>0</v>
      </c>
      <c r="R383" s="2" t="inlineStr"/>
    </row>
    <row r="384" ht="15" customHeight="1">
      <c r="A384" t="inlineStr">
        <is>
          <t>A 39559-2022</t>
        </is>
      </c>
      <c r="B384" s="1" t="n">
        <v>44818</v>
      </c>
      <c r="C384" s="1" t="n">
        <v>45672</v>
      </c>
      <c r="D384" t="inlineStr">
        <is>
          <t>NORRBOTTENS LÄN</t>
        </is>
      </c>
      <c r="E384" t="inlineStr">
        <is>
          <t>GÄLLIVARE</t>
        </is>
      </c>
      <c r="F384" t="inlineStr">
        <is>
          <t>Sveaskog</t>
        </is>
      </c>
      <c r="G384" t="n">
        <v>11.6</v>
      </c>
      <c r="H384" t="n">
        <v>0</v>
      </c>
      <c r="I384" t="n">
        <v>0</v>
      </c>
      <c r="J384" t="n">
        <v>0</v>
      </c>
      <c r="K384" t="n">
        <v>0</v>
      </c>
      <c r="L384" t="n">
        <v>0</v>
      </c>
      <c r="M384" t="n">
        <v>0</v>
      </c>
      <c r="N384" t="n">
        <v>0</v>
      </c>
      <c r="O384" t="n">
        <v>0</v>
      </c>
      <c r="P384" t="n">
        <v>0</v>
      </c>
      <c r="Q384" t="n">
        <v>0</v>
      </c>
      <c r="R384" s="2" t="inlineStr"/>
    </row>
    <row r="385" ht="15" customHeight="1">
      <c r="A385" t="inlineStr">
        <is>
          <t>A 39958-2022</t>
        </is>
      </c>
      <c r="B385" s="1" t="n">
        <v>44819</v>
      </c>
      <c r="C385" s="1" t="n">
        <v>45672</v>
      </c>
      <c r="D385" t="inlineStr">
        <is>
          <t>NORRBOTTENS LÄN</t>
        </is>
      </c>
      <c r="E385" t="inlineStr">
        <is>
          <t>GÄLLIVARE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40427-2022</t>
        </is>
      </c>
      <c r="B386" s="1" t="n">
        <v>44823</v>
      </c>
      <c r="C386" s="1" t="n">
        <v>45672</v>
      </c>
      <c r="D386" t="inlineStr">
        <is>
          <t>NORRBOTTENS LÄN</t>
        </is>
      </c>
      <c r="E386" t="inlineStr">
        <is>
          <t>GÄLLIVARE</t>
        </is>
      </c>
      <c r="G386" t="n">
        <v>0.9</v>
      </c>
      <c r="H386" t="n">
        <v>0</v>
      </c>
      <c r="I386" t="n">
        <v>0</v>
      </c>
      <c r="J386" t="n">
        <v>0</v>
      </c>
      <c r="K386" t="n">
        <v>0</v>
      </c>
      <c r="L386" t="n">
        <v>0</v>
      </c>
      <c r="M386" t="n">
        <v>0</v>
      </c>
      <c r="N386" t="n">
        <v>0</v>
      </c>
      <c r="O386" t="n">
        <v>0</v>
      </c>
      <c r="P386" t="n">
        <v>0</v>
      </c>
      <c r="Q386" t="n">
        <v>0</v>
      </c>
      <c r="R386" s="2" t="inlineStr"/>
    </row>
    <row r="387" ht="15" customHeight="1">
      <c r="A387" t="inlineStr">
        <is>
          <t>A 40845-2022</t>
        </is>
      </c>
      <c r="B387" s="1" t="n">
        <v>44824</v>
      </c>
      <c r="C387" s="1" t="n">
        <v>45672</v>
      </c>
      <c r="D387" t="inlineStr">
        <is>
          <t>NORRBOTTENS LÄN</t>
        </is>
      </c>
      <c r="E387" t="inlineStr">
        <is>
          <t>GÄLLIVARE</t>
        </is>
      </c>
      <c r="F387" t="inlineStr">
        <is>
          <t>SCA</t>
        </is>
      </c>
      <c r="G387" t="n">
        <v>30.9</v>
      </c>
      <c r="H387" t="n">
        <v>0</v>
      </c>
      <c r="I387" t="n">
        <v>0</v>
      </c>
      <c r="J387" t="n">
        <v>0</v>
      </c>
      <c r="K387" t="n">
        <v>0</v>
      </c>
      <c r="L387" t="n">
        <v>0</v>
      </c>
      <c r="M387" t="n">
        <v>0</v>
      </c>
      <c r="N387" t="n">
        <v>0</v>
      </c>
      <c r="O387" t="n">
        <v>0</v>
      </c>
      <c r="P387" t="n">
        <v>0</v>
      </c>
      <c r="Q387" t="n">
        <v>0</v>
      </c>
      <c r="R387" s="2" t="inlineStr"/>
    </row>
    <row r="388" ht="15" customHeight="1">
      <c r="A388" t="inlineStr">
        <is>
          <t>A 42278-2022</t>
        </is>
      </c>
      <c r="B388" s="1" t="n">
        <v>44831</v>
      </c>
      <c r="C388" s="1" t="n">
        <v>45672</v>
      </c>
      <c r="D388" t="inlineStr">
        <is>
          <t>NORRBOTTENS LÄN</t>
        </is>
      </c>
      <c r="E388" t="inlineStr">
        <is>
          <t>GÄLLIVARE</t>
        </is>
      </c>
      <c r="F388" t="inlineStr">
        <is>
          <t>SCA</t>
        </is>
      </c>
      <c r="G388" t="n">
        <v>15.2</v>
      </c>
      <c r="H388" t="n">
        <v>0</v>
      </c>
      <c r="I388" t="n">
        <v>0</v>
      </c>
      <c r="J388" t="n">
        <v>0</v>
      </c>
      <c r="K388" t="n">
        <v>0</v>
      </c>
      <c r="L388" t="n">
        <v>0</v>
      </c>
      <c r="M388" t="n">
        <v>0</v>
      </c>
      <c r="N388" t="n">
        <v>0</v>
      </c>
      <c r="O388" t="n">
        <v>0</v>
      </c>
      <c r="P388" t="n">
        <v>0</v>
      </c>
      <c r="Q388" t="n">
        <v>0</v>
      </c>
      <c r="R388" s="2" t="inlineStr"/>
    </row>
    <row r="389" ht="15" customHeight="1">
      <c r="A389" t="inlineStr">
        <is>
          <t>A 42886-2022</t>
        </is>
      </c>
      <c r="B389" s="1" t="n">
        <v>44833</v>
      </c>
      <c r="C389" s="1" t="n">
        <v>45672</v>
      </c>
      <c r="D389" t="inlineStr">
        <is>
          <t>NORRBOTTENS LÄN</t>
        </is>
      </c>
      <c r="E389" t="inlineStr">
        <is>
          <t>GÄLLIVARE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43153-2022</t>
        </is>
      </c>
      <c r="B390" s="1" t="n">
        <v>44834</v>
      </c>
      <c r="C390" s="1" t="n">
        <v>45672</v>
      </c>
      <c r="D390" t="inlineStr">
        <is>
          <t>NORRBOTTENS LÄN</t>
        </is>
      </c>
      <c r="E390" t="inlineStr">
        <is>
          <t>GÄLLIVARE</t>
        </is>
      </c>
      <c r="F390" t="inlineStr">
        <is>
          <t>SCA</t>
        </is>
      </c>
      <c r="G390" t="n">
        <v>22.3</v>
      </c>
      <c r="H390" t="n">
        <v>0</v>
      </c>
      <c r="I390" t="n">
        <v>0</v>
      </c>
      <c r="J390" t="n">
        <v>0</v>
      </c>
      <c r="K390" t="n">
        <v>0</v>
      </c>
      <c r="L390" t="n">
        <v>0</v>
      </c>
      <c r="M390" t="n">
        <v>0</v>
      </c>
      <c r="N390" t="n">
        <v>0</v>
      </c>
      <c r="O390" t="n">
        <v>0</v>
      </c>
      <c r="P390" t="n">
        <v>0</v>
      </c>
      <c r="Q390" t="n">
        <v>0</v>
      </c>
      <c r="R390" s="2" t="inlineStr"/>
    </row>
    <row r="391" ht="15" customHeight="1">
      <c r="A391" t="inlineStr">
        <is>
          <t>A 43154-2022</t>
        </is>
      </c>
      <c r="B391" s="1" t="n">
        <v>44834</v>
      </c>
      <c r="C391" s="1" t="n">
        <v>45672</v>
      </c>
      <c r="D391" t="inlineStr">
        <is>
          <t>NORRBOTTENS LÄN</t>
        </is>
      </c>
      <c r="E391" t="inlineStr">
        <is>
          <t>GÄLLIVARE</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43155-2022</t>
        </is>
      </c>
      <c r="B392" s="1" t="n">
        <v>44834</v>
      </c>
      <c r="C392" s="1" t="n">
        <v>45672</v>
      </c>
      <c r="D392" t="inlineStr">
        <is>
          <t>NORRBOTTENS LÄN</t>
        </is>
      </c>
      <c r="E392" t="inlineStr">
        <is>
          <t>GÄLLIVARE</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43159-2022</t>
        </is>
      </c>
      <c r="B393" s="1" t="n">
        <v>44834</v>
      </c>
      <c r="C393" s="1" t="n">
        <v>45672</v>
      </c>
      <c r="D393" t="inlineStr">
        <is>
          <t>NORRBOTTENS LÄN</t>
        </is>
      </c>
      <c r="E393" t="inlineStr">
        <is>
          <t>GÄLLIVARE</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43157-2022</t>
        </is>
      </c>
      <c r="B394" s="1" t="n">
        <v>44834</v>
      </c>
      <c r="C394" s="1" t="n">
        <v>45672</v>
      </c>
      <c r="D394" t="inlineStr">
        <is>
          <t>NORRBOTTENS LÄN</t>
        </is>
      </c>
      <c r="E394" t="inlineStr">
        <is>
          <t>GÄLLIVARE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43156-2022</t>
        </is>
      </c>
      <c r="B395" s="1" t="n">
        <v>44834</v>
      </c>
      <c r="C395" s="1" t="n">
        <v>45672</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44840-2022</t>
        </is>
      </c>
      <c r="B396" s="1" t="n">
        <v>44839</v>
      </c>
      <c r="C396" s="1" t="n">
        <v>45672</v>
      </c>
      <c r="D396" t="inlineStr">
        <is>
          <t>NORRBOTTENS LÄN</t>
        </is>
      </c>
      <c r="E396" t="inlineStr">
        <is>
          <t>GÄLLIVARE</t>
        </is>
      </c>
      <c r="F396" t="inlineStr">
        <is>
          <t>Övriga statliga verk och myndigheter</t>
        </is>
      </c>
      <c r="G396" t="n">
        <v>20.9</v>
      </c>
      <c r="H396" t="n">
        <v>0</v>
      </c>
      <c r="I396" t="n">
        <v>0</v>
      </c>
      <c r="J396" t="n">
        <v>0</v>
      </c>
      <c r="K396" t="n">
        <v>0</v>
      </c>
      <c r="L396" t="n">
        <v>0</v>
      </c>
      <c r="M396" t="n">
        <v>0</v>
      </c>
      <c r="N396" t="n">
        <v>0</v>
      </c>
      <c r="O396" t="n">
        <v>0</v>
      </c>
      <c r="P396" t="n">
        <v>0</v>
      </c>
      <c r="Q396" t="n">
        <v>0</v>
      </c>
      <c r="R396" s="2" t="inlineStr"/>
    </row>
    <row r="397" ht="15" customHeight="1">
      <c r="A397" t="inlineStr">
        <is>
          <t>A 47780-2022</t>
        </is>
      </c>
      <c r="B397" s="1" t="n">
        <v>44854</v>
      </c>
      <c r="C397" s="1" t="n">
        <v>45672</v>
      </c>
      <c r="D397" t="inlineStr">
        <is>
          <t>NORRBOTTENS LÄN</t>
        </is>
      </c>
      <c r="E397" t="inlineStr">
        <is>
          <t>GÄLLIVARE</t>
        </is>
      </c>
      <c r="G397" t="n">
        <v>5.4</v>
      </c>
      <c r="H397" t="n">
        <v>0</v>
      </c>
      <c r="I397" t="n">
        <v>0</v>
      </c>
      <c r="J397" t="n">
        <v>0</v>
      </c>
      <c r="K397" t="n">
        <v>0</v>
      </c>
      <c r="L397" t="n">
        <v>0</v>
      </c>
      <c r="M397" t="n">
        <v>0</v>
      </c>
      <c r="N397" t="n">
        <v>0</v>
      </c>
      <c r="O397" t="n">
        <v>0</v>
      </c>
      <c r="P397" t="n">
        <v>0</v>
      </c>
      <c r="Q397" t="n">
        <v>0</v>
      </c>
      <c r="R397" s="2" t="inlineStr"/>
    </row>
    <row r="398" ht="15" customHeight="1">
      <c r="A398" t="inlineStr">
        <is>
          <t>A 47793-2022</t>
        </is>
      </c>
      <c r="B398" s="1" t="n">
        <v>44854</v>
      </c>
      <c r="C398" s="1" t="n">
        <v>45672</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47795-2022</t>
        </is>
      </c>
      <c r="B399" s="1" t="n">
        <v>44854</v>
      </c>
      <c r="C399" s="1" t="n">
        <v>45672</v>
      </c>
      <c r="D399" t="inlineStr">
        <is>
          <t>NORRBOTTENS LÄN</t>
        </is>
      </c>
      <c r="E399" t="inlineStr">
        <is>
          <t>GÄLLIVARE</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47805-2022</t>
        </is>
      </c>
      <c r="B400" s="1" t="n">
        <v>44854</v>
      </c>
      <c r="C400" s="1" t="n">
        <v>45672</v>
      </c>
      <c r="D400" t="inlineStr">
        <is>
          <t>NORRBOTTENS LÄN</t>
        </is>
      </c>
      <c r="E400" t="inlineStr">
        <is>
          <t>GÄLLIVARE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47779-2022</t>
        </is>
      </c>
      <c r="B401" s="1" t="n">
        <v>44854</v>
      </c>
      <c r="C401" s="1" t="n">
        <v>45672</v>
      </c>
      <c r="D401" t="inlineStr">
        <is>
          <t>NORRBOTTENS LÄN</t>
        </is>
      </c>
      <c r="E401" t="inlineStr">
        <is>
          <t>GÄLLIVARE</t>
        </is>
      </c>
      <c r="G401" t="n">
        <v>0.6</v>
      </c>
      <c r="H401" t="n">
        <v>0</v>
      </c>
      <c r="I401" t="n">
        <v>0</v>
      </c>
      <c r="J401" t="n">
        <v>0</v>
      </c>
      <c r="K401" t="n">
        <v>0</v>
      </c>
      <c r="L401" t="n">
        <v>0</v>
      </c>
      <c r="M401" t="n">
        <v>0</v>
      </c>
      <c r="N401" t="n">
        <v>0</v>
      </c>
      <c r="O401" t="n">
        <v>0</v>
      </c>
      <c r="P401" t="n">
        <v>0</v>
      </c>
      <c r="Q401" t="n">
        <v>0</v>
      </c>
      <c r="R401" s="2" t="inlineStr"/>
    </row>
    <row r="402" ht="15" customHeight="1">
      <c r="A402" t="inlineStr">
        <is>
          <t>A 47808-2022</t>
        </is>
      </c>
      <c r="B402" s="1" t="n">
        <v>44854</v>
      </c>
      <c r="C402" s="1" t="n">
        <v>45672</v>
      </c>
      <c r="D402" t="inlineStr">
        <is>
          <t>NORRBOTTENS LÄN</t>
        </is>
      </c>
      <c r="E402" t="inlineStr">
        <is>
          <t>GÄLLIVARE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47796-2022</t>
        </is>
      </c>
      <c r="B403" s="1" t="n">
        <v>44854</v>
      </c>
      <c r="C403" s="1" t="n">
        <v>45672</v>
      </c>
      <c r="D403" t="inlineStr">
        <is>
          <t>NORRBOTTENS LÄN</t>
        </is>
      </c>
      <c r="E403" t="inlineStr">
        <is>
          <t>GÄLLIVARE</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47802-2022</t>
        </is>
      </c>
      <c r="B404" s="1" t="n">
        <v>44854</v>
      </c>
      <c r="C404" s="1" t="n">
        <v>45672</v>
      </c>
      <c r="D404" t="inlineStr">
        <is>
          <t>NORRBOTTENS LÄN</t>
        </is>
      </c>
      <c r="E404" t="inlineStr">
        <is>
          <t>GÄLLIVARE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49190-2022</t>
        </is>
      </c>
      <c r="B405" s="1" t="n">
        <v>44861</v>
      </c>
      <c r="C405" s="1" t="n">
        <v>45672</v>
      </c>
      <c r="D405" t="inlineStr">
        <is>
          <t>NORRBOTTENS LÄN</t>
        </is>
      </c>
      <c r="E405" t="inlineStr">
        <is>
          <t>GÄLLIVARE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49326-2022</t>
        </is>
      </c>
      <c r="B406" s="1" t="n">
        <v>44861</v>
      </c>
      <c r="C406" s="1" t="n">
        <v>45672</v>
      </c>
      <c r="D406" t="inlineStr">
        <is>
          <t>NORRBOTTENS LÄN</t>
        </is>
      </c>
      <c r="E406" t="inlineStr">
        <is>
          <t>GÄLLIVARE</t>
        </is>
      </c>
      <c r="F406" t="inlineStr">
        <is>
          <t>Sveaskog</t>
        </is>
      </c>
      <c r="G406" t="n">
        <v>23.3</v>
      </c>
      <c r="H406" t="n">
        <v>0</v>
      </c>
      <c r="I406" t="n">
        <v>0</v>
      </c>
      <c r="J406" t="n">
        <v>0</v>
      </c>
      <c r="K406" t="n">
        <v>0</v>
      </c>
      <c r="L406" t="n">
        <v>0</v>
      </c>
      <c r="M406" t="n">
        <v>0</v>
      </c>
      <c r="N406" t="n">
        <v>0</v>
      </c>
      <c r="O406" t="n">
        <v>0</v>
      </c>
      <c r="P406" t="n">
        <v>0</v>
      </c>
      <c r="Q406" t="n">
        <v>0</v>
      </c>
      <c r="R406" s="2" t="inlineStr"/>
    </row>
    <row r="407" ht="15" customHeight="1">
      <c r="A407" t="inlineStr">
        <is>
          <t>A 49869-2022</t>
        </is>
      </c>
      <c r="B407" s="1" t="n">
        <v>44862</v>
      </c>
      <c r="C407" s="1" t="n">
        <v>45672</v>
      </c>
      <c r="D407" t="inlineStr">
        <is>
          <t>NORRBOTTENS LÄN</t>
        </is>
      </c>
      <c r="E407" t="inlineStr">
        <is>
          <t>GÄLLIVARE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49862-2022</t>
        </is>
      </c>
      <c r="B408" s="1" t="n">
        <v>44862</v>
      </c>
      <c r="C408" s="1" t="n">
        <v>45672</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49870-2022</t>
        </is>
      </c>
      <c r="B409" s="1" t="n">
        <v>44862</v>
      </c>
      <c r="C409" s="1" t="n">
        <v>45672</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50729-2022</t>
        </is>
      </c>
      <c r="B410" s="1" t="n">
        <v>44862</v>
      </c>
      <c r="C410" s="1" t="n">
        <v>45672</v>
      </c>
      <c r="D410" t="inlineStr">
        <is>
          <t>NORRBOTTENS LÄN</t>
        </is>
      </c>
      <c r="E410" t="inlineStr">
        <is>
          <t>GÄLLIVARE</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50513-2022</t>
        </is>
      </c>
      <c r="B411" s="1" t="n">
        <v>44866</v>
      </c>
      <c r="C411" s="1" t="n">
        <v>45672</v>
      </c>
      <c r="D411" t="inlineStr">
        <is>
          <t>NORRBOTTENS LÄN</t>
        </is>
      </c>
      <c r="E411" t="inlineStr">
        <is>
          <t>GÄLLIVARE</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53785-2022</t>
        </is>
      </c>
      <c r="B412" s="1" t="n">
        <v>44875</v>
      </c>
      <c r="C412" s="1" t="n">
        <v>45672</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54842-2022</t>
        </is>
      </c>
      <c r="B413" s="1" t="n">
        <v>44883</v>
      </c>
      <c r="C413" s="1" t="n">
        <v>45672</v>
      </c>
      <c r="D413" t="inlineStr">
        <is>
          <t>NORRBOTTENS LÄN</t>
        </is>
      </c>
      <c r="E413" t="inlineStr">
        <is>
          <t>GÄLLIVARE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55221-2022</t>
        </is>
      </c>
      <c r="B414" s="1" t="n">
        <v>44886</v>
      </c>
      <c r="C414" s="1" t="n">
        <v>45672</v>
      </c>
      <c r="D414" t="inlineStr">
        <is>
          <t>NORRBOTTENS LÄN</t>
        </is>
      </c>
      <c r="E414" t="inlineStr">
        <is>
          <t>GÄLLIVARE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55226-2022</t>
        </is>
      </c>
      <c r="B415" s="1" t="n">
        <v>44887</v>
      </c>
      <c r="C415" s="1" t="n">
        <v>45672</v>
      </c>
      <c r="D415" t="inlineStr">
        <is>
          <t>NORRBOTTENS LÄN</t>
        </is>
      </c>
      <c r="E415" t="inlineStr">
        <is>
          <t>GÄLLIVARE</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55223-2022</t>
        </is>
      </c>
      <c r="B416" s="1" t="n">
        <v>44886</v>
      </c>
      <c r="C416" s="1" t="n">
        <v>45672</v>
      </c>
      <c r="D416" t="inlineStr">
        <is>
          <t>NORRBOTTENS LÄN</t>
        </is>
      </c>
      <c r="E416" t="inlineStr">
        <is>
          <t>GÄLLIVARE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55239-2022</t>
        </is>
      </c>
      <c r="B417" s="1" t="n">
        <v>44886</v>
      </c>
      <c r="C417" s="1" t="n">
        <v>45672</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55222-2022</t>
        </is>
      </c>
      <c r="B418" s="1" t="n">
        <v>44887</v>
      </c>
      <c r="C418" s="1" t="n">
        <v>45672</v>
      </c>
      <c r="D418" t="inlineStr">
        <is>
          <t>NORRBOTTENS LÄN</t>
        </is>
      </c>
      <c r="E418" t="inlineStr">
        <is>
          <t>GÄLLIVARE</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55220-2022</t>
        </is>
      </c>
      <c r="B419" s="1" t="n">
        <v>44887</v>
      </c>
      <c r="C419" s="1" t="n">
        <v>45672</v>
      </c>
      <c r="D419" t="inlineStr">
        <is>
          <t>NORRBOTTENS LÄN</t>
        </is>
      </c>
      <c r="E419" t="inlineStr">
        <is>
          <t>GÄLLIVARE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55224-2022</t>
        </is>
      </c>
      <c r="B420" s="1" t="n">
        <v>44887</v>
      </c>
      <c r="C420" s="1" t="n">
        <v>45672</v>
      </c>
      <c r="D420" t="inlineStr">
        <is>
          <t>NORRBOTTENS LÄN</t>
        </is>
      </c>
      <c r="E420" t="inlineStr">
        <is>
          <t>GÄLLIVARE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58601-2022</t>
        </is>
      </c>
      <c r="B421" s="1" t="n">
        <v>44895</v>
      </c>
      <c r="C421" s="1" t="n">
        <v>45672</v>
      </c>
      <c r="D421" t="inlineStr">
        <is>
          <t>NORRBOTTENS LÄN</t>
        </is>
      </c>
      <c r="E421" t="inlineStr">
        <is>
          <t>GÄLLIVARE</t>
        </is>
      </c>
      <c r="G421" t="n">
        <v>19.4</v>
      </c>
      <c r="H421" t="n">
        <v>0</v>
      </c>
      <c r="I421" t="n">
        <v>0</v>
      </c>
      <c r="J421" t="n">
        <v>0</v>
      </c>
      <c r="K421" t="n">
        <v>0</v>
      </c>
      <c r="L421" t="n">
        <v>0</v>
      </c>
      <c r="M421" t="n">
        <v>0</v>
      </c>
      <c r="N421" t="n">
        <v>0</v>
      </c>
      <c r="O421" t="n">
        <v>0</v>
      </c>
      <c r="P421" t="n">
        <v>0</v>
      </c>
      <c r="Q421" t="n">
        <v>0</v>
      </c>
      <c r="R421" s="2" t="inlineStr"/>
    </row>
    <row r="422" ht="15" customHeight="1">
      <c r="A422" t="inlineStr">
        <is>
          <t>A 58776-2022</t>
        </is>
      </c>
      <c r="B422" s="1" t="n">
        <v>44895</v>
      </c>
      <c r="C422" s="1" t="n">
        <v>45672</v>
      </c>
      <c r="D422" t="inlineStr">
        <is>
          <t>NORRBOTTENS LÄN</t>
        </is>
      </c>
      <c r="E422" t="inlineStr">
        <is>
          <t>GÄLLIVARE</t>
        </is>
      </c>
      <c r="G422" t="n">
        <v>12.1</v>
      </c>
      <c r="H422" t="n">
        <v>0</v>
      </c>
      <c r="I422" t="n">
        <v>0</v>
      </c>
      <c r="J422" t="n">
        <v>0</v>
      </c>
      <c r="K422" t="n">
        <v>0</v>
      </c>
      <c r="L422" t="n">
        <v>0</v>
      </c>
      <c r="M422" t="n">
        <v>0</v>
      </c>
      <c r="N422" t="n">
        <v>0</v>
      </c>
      <c r="O422" t="n">
        <v>0</v>
      </c>
      <c r="P422" t="n">
        <v>0</v>
      </c>
      <c r="Q422" t="n">
        <v>0</v>
      </c>
      <c r="R422" s="2" t="inlineStr"/>
    </row>
    <row r="423" ht="15" customHeight="1">
      <c r="A423" t="inlineStr">
        <is>
          <t>A 57442-2022</t>
        </is>
      </c>
      <c r="B423" s="1" t="n">
        <v>44896</v>
      </c>
      <c r="C423" s="1" t="n">
        <v>45672</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57833-2022</t>
        </is>
      </c>
      <c r="B424" s="1" t="n">
        <v>44897</v>
      </c>
      <c r="C424" s="1" t="n">
        <v>45672</v>
      </c>
      <c r="D424" t="inlineStr">
        <is>
          <t>NORRBOTTENS LÄN</t>
        </is>
      </c>
      <c r="E424" t="inlineStr">
        <is>
          <t>GÄLLIVARE</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58139-2022</t>
        </is>
      </c>
      <c r="B425" s="1" t="n">
        <v>44900</v>
      </c>
      <c r="C425" s="1" t="n">
        <v>45672</v>
      </c>
      <c r="D425" t="inlineStr">
        <is>
          <t>NORRBOTTENS LÄN</t>
        </is>
      </c>
      <c r="E425" t="inlineStr">
        <is>
          <t>GÄLLIVARE</t>
        </is>
      </c>
      <c r="G425" t="n">
        <v>7.6</v>
      </c>
      <c r="H425" t="n">
        <v>0</v>
      </c>
      <c r="I425" t="n">
        <v>0</v>
      </c>
      <c r="J425" t="n">
        <v>0</v>
      </c>
      <c r="K425" t="n">
        <v>0</v>
      </c>
      <c r="L425" t="n">
        <v>0</v>
      </c>
      <c r="M425" t="n">
        <v>0</v>
      </c>
      <c r="N425" t="n">
        <v>0</v>
      </c>
      <c r="O425" t="n">
        <v>0</v>
      </c>
      <c r="P425" t="n">
        <v>0</v>
      </c>
      <c r="Q425" t="n">
        <v>0</v>
      </c>
      <c r="R425" s="2" t="inlineStr"/>
    </row>
    <row r="426" ht="15" customHeight="1">
      <c r="A426" t="inlineStr">
        <is>
          <t>A 59059-2022</t>
        </is>
      </c>
      <c r="B426" s="1" t="n">
        <v>44904</v>
      </c>
      <c r="C426" s="1" t="n">
        <v>45672</v>
      </c>
      <c r="D426" t="inlineStr">
        <is>
          <t>NORRBOTTENS LÄN</t>
        </is>
      </c>
      <c r="E426" t="inlineStr">
        <is>
          <t>GÄLLIVARE</t>
        </is>
      </c>
      <c r="G426" t="n">
        <v>6.7</v>
      </c>
      <c r="H426" t="n">
        <v>0</v>
      </c>
      <c r="I426" t="n">
        <v>0</v>
      </c>
      <c r="J426" t="n">
        <v>0</v>
      </c>
      <c r="K426" t="n">
        <v>0</v>
      </c>
      <c r="L426" t="n">
        <v>0</v>
      </c>
      <c r="M426" t="n">
        <v>0</v>
      </c>
      <c r="N426" t="n">
        <v>0</v>
      </c>
      <c r="O426" t="n">
        <v>0</v>
      </c>
      <c r="P426" t="n">
        <v>0</v>
      </c>
      <c r="Q426" t="n">
        <v>0</v>
      </c>
      <c r="R426" s="2" t="inlineStr"/>
    </row>
    <row r="427" ht="15" customHeight="1">
      <c r="A427" t="inlineStr">
        <is>
          <t>A 59068-2022</t>
        </is>
      </c>
      <c r="B427" s="1" t="n">
        <v>44904</v>
      </c>
      <c r="C427" s="1" t="n">
        <v>45672</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59172-2022</t>
        </is>
      </c>
      <c r="B428" s="1" t="n">
        <v>44904</v>
      </c>
      <c r="C428" s="1" t="n">
        <v>45672</v>
      </c>
      <c r="D428" t="inlineStr">
        <is>
          <t>NORRBOTTENS LÄN</t>
        </is>
      </c>
      <c r="E428" t="inlineStr">
        <is>
          <t>GÄLLIVARE</t>
        </is>
      </c>
      <c r="G428" t="n">
        <v>0.5</v>
      </c>
      <c r="H428" t="n">
        <v>0</v>
      </c>
      <c r="I428" t="n">
        <v>0</v>
      </c>
      <c r="J428" t="n">
        <v>0</v>
      </c>
      <c r="K428" t="n">
        <v>0</v>
      </c>
      <c r="L428" t="n">
        <v>0</v>
      </c>
      <c r="M428" t="n">
        <v>0</v>
      </c>
      <c r="N428" t="n">
        <v>0</v>
      </c>
      <c r="O428" t="n">
        <v>0</v>
      </c>
      <c r="P428" t="n">
        <v>0</v>
      </c>
      <c r="Q428" t="n">
        <v>0</v>
      </c>
      <c r="R428" s="2" t="inlineStr"/>
    </row>
    <row r="429" ht="15" customHeight="1">
      <c r="A429" t="inlineStr">
        <is>
          <t>A 59189-2022</t>
        </is>
      </c>
      <c r="B429" s="1" t="n">
        <v>44904</v>
      </c>
      <c r="C429" s="1" t="n">
        <v>45672</v>
      </c>
      <c r="D429" t="inlineStr">
        <is>
          <t>NORRBOTTENS LÄN</t>
        </is>
      </c>
      <c r="E429" t="inlineStr">
        <is>
          <t>GÄLLIVARE</t>
        </is>
      </c>
      <c r="G429" t="n">
        <v>2.4</v>
      </c>
      <c r="H429" t="n">
        <v>0</v>
      </c>
      <c r="I429" t="n">
        <v>0</v>
      </c>
      <c r="J429" t="n">
        <v>0</v>
      </c>
      <c r="K429" t="n">
        <v>0</v>
      </c>
      <c r="L429" t="n">
        <v>0</v>
      </c>
      <c r="M429" t="n">
        <v>0</v>
      </c>
      <c r="N429" t="n">
        <v>0</v>
      </c>
      <c r="O429" t="n">
        <v>0</v>
      </c>
      <c r="P429" t="n">
        <v>0</v>
      </c>
      <c r="Q429" t="n">
        <v>0</v>
      </c>
      <c r="R429" s="2" t="inlineStr"/>
    </row>
    <row r="430" ht="15" customHeight="1">
      <c r="A430" t="inlineStr">
        <is>
          <t>A 59177-2022</t>
        </is>
      </c>
      <c r="B430" s="1" t="n">
        <v>44904</v>
      </c>
      <c r="C430" s="1" t="n">
        <v>45672</v>
      </c>
      <c r="D430" t="inlineStr">
        <is>
          <t>NORRBOTTENS LÄN</t>
        </is>
      </c>
      <c r="E430" t="inlineStr">
        <is>
          <t>GÄLLIVARE</t>
        </is>
      </c>
      <c r="G430" t="n">
        <v>0.5</v>
      </c>
      <c r="H430" t="n">
        <v>0</v>
      </c>
      <c r="I430" t="n">
        <v>0</v>
      </c>
      <c r="J430" t="n">
        <v>0</v>
      </c>
      <c r="K430" t="n">
        <v>0</v>
      </c>
      <c r="L430" t="n">
        <v>0</v>
      </c>
      <c r="M430" t="n">
        <v>0</v>
      </c>
      <c r="N430" t="n">
        <v>0</v>
      </c>
      <c r="O430" t="n">
        <v>0</v>
      </c>
      <c r="P430" t="n">
        <v>0</v>
      </c>
      <c r="Q430" t="n">
        <v>0</v>
      </c>
      <c r="R430" s="2" t="inlineStr"/>
    </row>
    <row r="431" ht="15" customHeight="1">
      <c r="A431" t="inlineStr">
        <is>
          <t>A 59194-2022</t>
        </is>
      </c>
      <c r="B431" s="1" t="n">
        <v>44904</v>
      </c>
      <c r="C431" s="1" t="n">
        <v>45672</v>
      </c>
      <c r="D431" t="inlineStr">
        <is>
          <t>NORRBOTTENS LÄN</t>
        </is>
      </c>
      <c r="E431" t="inlineStr">
        <is>
          <t>GÄLLIVARE</t>
        </is>
      </c>
      <c r="G431" t="n">
        <v>3.4</v>
      </c>
      <c r="H431" t="n">
        <v>0</v>
      </c>
      <c r="I431" t="n">
        <v>0</v>
      </c>
      <c r="J431" t="n">
        <v>0</v>
      </c>
      <c r="K431" t="n">
        <v>0</v>
      </c>
      <c r="L431" t="n">
        <v>0</v>
      </c>
      <c r="M431" t="n">
        <v>0</v>
      </c>
      <c r="N431" t="n">
        <v>0</v>
      </c>
      <c r="O431" t="n">
        <v>0</v>
      </c>
      <c r="P431" t="n">
        <v>0</v>
      </c>
      <c r="Q431" t="n">
        <v>0</v>
      </c>
      <c r="R431" s="2" t="inlineStr"/>
    </row>
    <row r="432" ht="15" customHeight="1">
      <c r="A432" t="inlineStr">
        <is>
          <t>A 61679-2022</t>
        </is>
      </c>
      <c r="B432" s="1" t="n">
        <v>44909</v>
      </c>
      <c r="C432" s="1" t="n">
        <v>45672</v>
      </c>
      <c r="D432" t="inlineStr">
        <is>
          <t>NORRBOTTENS LÄN</t>
        </is>
      </c>
      <c r="E432" t="inlineStr">
        <is>
          <t>GÄLLIVARE</t>
        </is>
      </c>
      <c r="G432" t="n">
        <v>5.7</v>
      </c>
      <c r="H432" t="n">
        <v>0</v>
      </c>
      <c r="I432" t="n">
        <v>0</v>
      </c>
      <c r="J432" t="n">
        <v>0</v>
      </c>
      <c r="K432" t="n">
        <v>0</v>
      </c>
      <c r="L432" t="n">
        <v>0</v>
      </c>
      <c r="M432" t="n">
        <v>0</v>
      </c>
      <c r="N432" t="n">
        <v>0</v>
      </c>
      <c r="O432" t="n">
        <v>0</v>
      </c>
      <c r="P432" t="n">
        <v>0</v>
      </c>
      <c r="Q432" t="n">
        <v>0</v>
      </c>
      <c r="R432" s="2" t="inlineStr"/>
    </row>
    <row r="433" ht="15" customHeight="1">
      <c r="A433" t="inlineStr">
        <is>
          <t>A 61795-2022</t>
        </is>
      </c>
      <c r="B433" s="1" t="n">
        <v>44911</v>
      </c>
      <c r="C433" s="1" t="n">
        <v>45672</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61644-2022</t>
        </is>
      </c>
      <c r="B434" s="1" t="n">
        <v>44916</v>
      </c>
      <c r="C434" s="1" t="n">
        <v>45672</v>
      </c>
      <c r="D434" t="inlineStr">
        <is>
          <t>NORRBOTTENS LÄN</t>
        </is>
      </c>
      <c r="E434" t="inlineStr">
        <is>
          <t>GÄLLIVARE</t>
        </is>
      </c>
      <c r="G434" t="n">
        <v>0.3</v>
      </c>
      <c r="H434" t="n">
        <v>0</v>
      </c>
      <c r="I434" t="n">
        <v>0</v>
      </c>
      <c r="J434" t="n">
        <v>0</v>
      </c>
      <c r="K434" t="n">
        <v>0</v>
      </c>
      <c r="L434" t="n">
        <v>0</v>
      </c>
      <c r="M434" t="n">
        <v>0</v>
      </c>
      <c r="N434" t="n">
        <v>0</v>
      </c>
      <c r="O434" t="n">
        <v>0</v>
      </c>
      <c r="P434" t="n">
        <v>0</v>
      </c>
      <c r="Q434" t="n">
        <v>0</v>
      </c>
      <c r="R434" s="2" t="inlineStr"/>
    </row>
    <row r="435" ht="15" customHeight="1">
      <c r="A435" t="inlineStr">
        <is>
          <t>A 62496-2022</t>
        </is>
      </c>
      <c r="B435" s="1" t="n">
        <v>44916</v>
      </c>
      <c r="C435" s="1" t="n">
        <v>45672</v>
      </c>
      <c r="D435" t="inlineStr">
        <is>
          <t>NORRBOTTENS LÄN</t>
        </is>
      </c>
      <c r="E435" t="inlineStr">
        <is>
          <t>GÄLLIVARE</t>
        </is>
      </c>
      <c r="G435" t="n">
        <v>23.4</v>
      </c>
      <c r="H435" t="n">
        <v>0</v>
      </c>
      <c r="I435" t="n">
        <v>0</v>
      </c>
      <c r="J435" t="n">
        <v>0</v>
      </c>
      <c r="K435" t="n">
        <v>0</v>
      </c>
      <c r="L435" t="n">
        <v>0</v>
      </c>
      <c r="M435" t="n">
        <v>0</v>
      </c>
      <c r="N435" t="n">
        <v>0</v>
      </c>
      <c r="O435" t="n">
        <v>0</v>
      </c>
      <c r="P435" t="n">
        <v>0</v>
      </c>
      <c r="Q435" t="n">
        <v>0</v>
      </c>
      <c r="R435" s="2" t="inlineStr"/>
    </row>
    <row r="436" ht="15" customHeight="1">
      <c r="A436" t="inlineStr">
        <is>
          <t>A 62160-2022</t>
        </is>
      </c>
      <c r="B436" s="1" t="n">
        <v>44922</v>
      </c>
      <c r="C436" s="1" t="n">
        <v>45672</v>
      </c>
      <c r="D436" t="inlineStr">
        <is>
          <t>NORRBOTTENS LÄN</t>
        </is>
      </c>
      <c r="E436" t="inlineStr">
        <is>
          <t>GÄLLIVARE</t>
        </is>
      </c>
      <c r="G436" t="n">
        <v>19.6</v>
      </c>
      <c r="H436" t="n">
        <v>0</v>
      </c>
      <c r="I436" t="n">
        <v>0</v>
      </c>
      <c r="J436" t="n">
        <v>0</v>
      </c>
      <c r="K436" t="n">
        <v>0</v>
      </c>
      <c r="L436" t="n">
        <v>0</v>
      </c>
      <c r="M436" t="n">
        <v>0</v>
      </c>
      <c r="N436" t="n">
        <v>0</v>
      </c>
      <c r="O436" t="n">
        <v>0</v>
      </c>
      <c r="P436" t="n">
        <v>0</v>
      </c>
      <c r="Q436" t="n">
        <v>0</v>
      </c>
      <c r="R436" s="2" t="inlineStr"/>
    </row>
    <row r="437" ht="15" customHeight="1">
      <c r="A437" t="inlineStr">
        <is>
          <t>A 62258-2022</t>
        </is>
      </c>
      <c r="B437" s="1" t="n">
        <v>44922</v>
      </c>
      <c r="C437" s="1" t="n">
        <v>45672</v>
      </c>
      <c r="D437" t="inlineStr">
        <is>
          <t>NORRBOTTENS LÄN</t>
        </is>
      </c>
      <c r="E437" t="inlineStr">
        <is>
          <t>GÄLLIVARE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404-2023</t>
        </is>
      </c>
      <c r="B438" s="1" t="n">
        <v>44923</v>
      </c>
      <c r="C438" s="1" t="n">
        <v>45672</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62580-2022</t>
        </is>
      </c>
      <c r="B439" s="1" t="n">
        <v>44924</v>
      </c>
      <c r="C439" s="1" t="n">
        <v>45672</v>
      </c>
      <c r="D439" t="inlineStr">
        <is>
          <t>NORRBOTTENS LÄN</t>
        </is>
      </c>
      <c r="E439" t="inlineStr">
        <is>
          <t>GÄLLIVARE</t>
        </is>
      </c>
      <c r="F439" t="inlineStr">
        <is>
          <t>SCA</t>
        </is>
      </c>
      <c r="G439" t="n">
        <v>9.9</v>
      </c>
      <c r="H439" t="n">
        <v>0</v>
      </c>
      <c r="I439" t="n">
        <v>0</v>
      </c>
      <c r="J439" t="n">
        <v>0</v>
      </c>
      <c r="K439" t="n">
        <v>0</v>
      </c>
      <c r="L439" t="n">
        <v>0</v>
      </c>
      <c r="M439" t="n">
        <v>0</v>
      </c>
      <c r="N439" t="n">
        <v>0</v>
      </c>
      <c r="O439" t="n">
        <v>0</v>
      </c>
      <c r="P439" t="n">
        <v>0</v>
      </c>
      <c r="Q439" t="n">
        <v>0</v>
      </c>
      <c r="R439" s="2" t="inlineStr"/>
    </row>
    <row r="440" ht="15" customHeight="1">
      <c r="A440" t="inlineStr">
        <is>
          <t>A 1312-2023</t>
        </is>
      </c>
      <c r="B440" s="1" t="n">
        <v>44931</v>
      </c>
      <c r="C440" s="1" t="n">
        <v>45672</v>
      </c>
      <c r="D440" t="inlineStr">
        <is>
          <t>NORRBOTTENS LÄN</t>
        </is>
      </c>
      <c r="E440" t="inlineStr">
        <is>
          <t>GÄLLIVARE</t>
        </is>
      </c>
      <c r="G440" t="n">
        <v>3.3</v>
      </c>
      <c r="H440" t="n">
        <v>0</v>
      </c>
      <c r="I440" t="n">
        <v>0</v>
      </c>
      <c r="J440" t="n">
        <v>0</v>
      </c>
      <c r="K440" t="n">
        <v>0</v>
      </c>
      <c r="L440" t="n">
        <v>0</v>
      </c>
      <c r="M440" t="n">
        <v>0</v>
      </c>
      <c r="N440" t="n">
        <v>0</v>
      </c>
      <c r="O440" t="n">
        <v>0</v>
      </c>
      <c r="P440" t="n">
        <v>0</v>
      </c>
      <c r="Q440" t="n">
        <v>0</v>
      </c>
      <c r="R440" s="2" t="inlineStr"/>
    </row>
    <row r="441" ht="15" customHeight="1">
      <c r="A441" t="inlineStr">
        <is>
          <t>A 1609-2023</t>
        </is>
      </c>
      <c r="B441" s="1" t="n">
        <v>44937</v>
      </c>
      <c r="C441" s="1" t="n">
        <v>45672</v>
      </c>
      <c r="D441" t="inlineStr">
        <is>
          <t>NORRBOTTENS LÄN</t>
        </is>
      </c>
      <c r="E441" t="inlineStr">
        <is>
          <t>GÄLLIVARE</t>
        </is>
      </c>
      <c r="G441" t="n">
        <v>0.7</v>
      </c>
      <c r="H441" t="n">
        <v>0</v>
      </c>
      <c r="I441" t="n">
        <v>0</v>
      </c>
      <c r="J441" t="n">
        <v>0</v>
      </c>
      <c r="K441" t="n">
        <v>0</v>
      </c>
      <c r="L441" t="n">
        <v>0</v>
      </c>
      <c r="M441" t="n">
        <v>0</v>
      </c>
      <c r="N441" t="n">
        <v>0</v>
      </c>
      <c r="O441" t="n">
        <v>0</v>
      </c>
      <c r="P441" t="n">
        <v>0</v>
      </c>
      <c r="Q441" t="n">
        <v>0</v>
      </c>
      <c r="R441" s="2" t="inlineStr"/>
    </row>
    <row r="442" ht="15" customHeight="1">
      <c r="A442" t="inlineStr">
        <is>
          <t>A 2244-2023</t>
        </is>
      </c>
      <c r="B442" s="1" t="n">
        <v>44942</v>
      </c>
      <c r="C442" s="1" t="n">
        <v>45672</v>
      </c>
      <c r="D442" t="inlineStr">
        <is>
          <t>NORRBOTTENS LÄN</t>
        </is>
      </c>
      <c r="E442" t="inlineStr">
        <is>
          <t>GÄLLIVARE</t>
        </is>
      </c>
      <c r="G442" t="n">
        <v>21.1</v>
      </c>
      <c r="H442" t="n">
        <v>0</v>
      </c>
      <c r="I442" t="n">
        <v>0</v>
      </c>
      <c r="J442" t="n">
        <v>0</v>
      </c>
      <c r="K442" t="n">
        <v>0</v>
      </c>
      <c r="L442" t="n">
        <v>0</v>
      </c>
      <c r="M442" t="n">
        <v>0</v>
      </c>
      <c r="N442" t="n">
        <v>0</v>
      </c>
      <c r="O442" t="n">
        <v>0</v>
      </c>
      <c r="P442" t="n">
        <v>0</v>
      </c>
      <c r="Q442" t="n">
        <v>0</v>
      </c>
      <c r="R442" s="2" t="inlineStr"/>
    </row>
    <row r="443" ht="15" customHeight="1">
      <c r="A443" t="inlineStr">
        <is>
          <t>A 2237-2023</t>
        </is>
      </c>
      <c r="B443" s="1" t="n">
        <v>44942</v>
      </c>
      <c r="C443" s="1" t="n">
        <v>45672</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2276-2023</t>
        </is>
      </c>
      <c r="B444" s="1" t="n">
        <v>44942</v>
      </c>
      <c r="C444" s="1" t="n">
        <v>45672</v>
      </c>
      <c r="D444" t="inlineStr">
        <is>
          <t>NORRBOTTENS LÄN</t>
        </is>
      </c>
      <c r="E444" t="inlineStr">
        <is>
          <t>GÄLLIVARE</t>
        </is>
      </c>
      <c r="G444" t="n">
        <v>2.8</v>
      </c>
      <c r="H444" t="n">
        <v>0</v>
      </c>
      <c r="I444" t="n">
        <v>0</v>
      </c>
      <c r="J444" t="n">
        <v>0</v>
      </c>
      <c r="K444" t="n">
        <v>0</v>
      </c>
      <c r="L444" t="n">
        <v>0</v>
      </c>
      <c r="M444" t="n">
        <v>0</v>
      </c>
      <c r="N444" t="n">
        <v>0</v>
      </c>
      <c r="O444" t="n">
        <v>0</v>
      </c>
      <c r="P444" t="n">
        <v>0</v>
      </c>
      <c r="Q444" t="n">
        <v>0</v>
      </c>
      <c r="R444" s="2" t="inlineStr"/>
    </row>
    <row r="445" ht="15" customHeight="1">
      <c r="A445" t="inlineStr">
        <is>
          <t>A 2621-2023</t>
        </is>
      </c>
      <c r="B445" s="1" t="n">
        <v>44942</v>
      </c>
      <c r="C445" s="1" t="n">
        <v>45672</v>
      </c>
      <c r="D445" t="inlineStr">
        <is>
          <t>NORRBOTTENS LÄN</t>
        </is>
      </c>
      <c r="E445" t="inlineStr">
        <is>
          <t>GÄLLIVARE</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4185-2023</t>
        </is>
      </c>
      <c r="B446" s="1" t="n">
        <v>44953</v>
      </c>
      <c r="C446" s="1" t="n">
        <v>45672</v>
      </c>
      <c r="D446" t="inlineStr">
        <is>
          <t>NORRBOTTENS LÄN</t>
        </is>
      </c>
      <c r="E446" t="inlineStr">
        <is>
          <t>GÄLLIVARE</t>
        </is>
      </c>
      <c r="G446" t="n">
        <v>2.7</v>
      </c>
      <c r="H446" t="n">
        <v>0</v>
      </c>
      <c r="I446" t="n">
        <v>0</v>
      </c>
      <c r="J446" t="n">
        <v>0</v>
      </c>
      <c r="K446" t="n">
        <v>0</v>
      </c>
      <c r="L446" t="n">
        <v>0</v>
      </c>
      <c r="M446" t="n">
        <v>0</v>
      </c>
      <c r="N446" t="n">
        <v>0</v>
      </c>
      <c r="O446" t="n">
        <v>0</v>
      </c>
      <c r="P446" t="n">
        <v>0</v>
      </c>
      <c r="Q446" t="n">
        <v>0</v>
      </c>
      <c r="R446" s="2" t="inlineStr"/>
    </row>
    <row r="447" ht="15" customHeight="1">
      <c r="A447" t="inlineStr">
        <is>
          <t>A 4768-2023</t>
        </is>
      </c>
      <c r="B447" s="1" t="n">
        <v>44953</v>
      </c>
      <c r="C447" s="1" t="n">
        <v>45672</v>
      </c>
      <c r="D447" t="inlineStr">
        <is>
          <t>NORRBOTTENS LÄN</t>
        </is>
      </c>
      <c r="E447" t="inlineStr">
        <is>
          <t>GÄLLIVARE</t>
        </is>
      </c>
      <c r="G447" t="n">
        <v>7.9</v>
      </c>
      <c r="H447" t="n">
        <v>0</v>
      </c>
      <c r="I447" t="n">
        <v>0</v>
      </c>
      <c r="J447" t="n">
        <v>0</v>
      </c>
      <c r="K447" t="n">
        <v>0</v>
      </c>
      <c r="L447" t="n">
        <v>0</v>
      </c>
      <c r="M447" t="n">
        <v>0</v>
      </c>
      <c r="N447" t="n">
        <v>0</v>
      </c>
      <c r="O447" t="n">
        <v>0</v>
      </c>
      <c r="P447" t="n">
        <v>0</v>
      </c>
      <c r="Q447" t="n">
        <v>0</v>
      </c>
      <c r="R447" s="2" t="inlineStr"/>
    </row>
    <row r="448" ht="15" customHeight="1">
      <c r="A448" t="inlineStr">
        <is>
          <t>A 4756-2023</t>
        </is>
      </c>
      <c r="B448" s="1" t="n">
        <v>44953</v>
      </c>
      <c r="C448" s="1" t="n">
        <v>45672</v>
      </c>
      <c r="D448" t="inlineStr">
        <is>
          <t>NORRBOTTENS LÄN</t>
        </is>
      </c>
      <c r="E448" t="inlineStr">
        <is>
          <t>GÄLLIVARE</t>
        </is>
      </c>
      <c r="G448" t="n">
        <v>4.2</v>
      </c>
      <c r="H448" t="n">
        <v>0</v>
      </c>
      <c r="I448" t="n">
        <v>0</v>
      </c>
      <c r="J448" t="n">
        <v>0</v>
      </c>
      <c r="K448" t="n">
        <v>0</v>
      </c>
      <c r="L448" t="n">
        <v>0</v>
      </c>
      <c r="M448" t="n">
        <v>0</v>
      </c>
      <c r="N448" t="n">
        <v>0</v>
      </c>
      <c r="O448" t="n">
        <v>0</v>
      </c>
      <c r="P448" t="n">
        <v>0</v>
      </c>
      <c r="Q448" t="n">
        <v>0</v>
      </c>
      <c r="R448" s="2" t="inlineStr"/>
    </row>
    <row r="449" ht="15" customHeight="1">
      <c r="A449" t="inlineStr">
        <is>
          <t>A 4773-2023</t>
        </is>
      </c>
      <c r="B449" s="1" t="n">
        <v>44953</v>
      </c>
      <c r="C449" s="1" t="n">
        <v>45672</v>
      </c>
      <c r="D449" t="inlineStr">
        <is>
          <t>NORRBOTTENS LÄN</t>
        </is>
      </c>
      <c r="E449" t="inlineStr">
        <is>
          <t>GÄLLIVARE</t>
        </is>
      </c>
      <c r="G449" t="n">
        <v>8.6</v>
      </c>
      <c r="H449" t="n">
        <v>0</v>
      </c>
      <c r="I449" t="n">
        <v>0</v>
      </c>
      <c r="J449" t="n">
        <v>0</v>
      </c>
      <c r="K449" t="n">
        <v>0</v>
      </c>
      <c r="L449" t="n">
        <v>0</v>
      </c>
      <c r="M449" t="n">
        <v>0</v>
      </c>
      <c r="N449" t="n">
        <v>0</v>
      </c>
      <c r="O449" t="n">
        <v>0</v>
      </c>
      <c r="P449" t="n">
        <v>0</v>
      </c>
      <c r="Q449" t="n">
        <v>0</v>
      </c>
      <c r="R449" s="2" t="inlineStr"/>
    </row>
    <row r="450" ht="15" customHeight="1">
      <c r="A450" t="inlineStr">
        <is>
          <t>A 4238-2023</t>
        </is>
      </c>
      <c r="B450" s="1" t="n">
        <v>44953</v>
      </c>
      <c r="C450" s="1" t="n">
        <v>45672</v>
      </c>
      <c r="D450" t="inlineStr">
        <is>
          <t>NORRBOTTENS LÄN</t>
        </is>
      </c>
      <c r="E450" t="inlineStr">
        <is>
          <t>GÄLLIVARE</t>
        </is>
      </c>
      <c r="G450" t="n">
        <v>5.1</v>
      </c>
      <c r="H450" t="n">
        <v>0</v>
      </c>
      <c r="I450" t="n">
        <v>0</v>
      </c>
      <c r="J450" t="n">
        <v>0</v>
      </c>
      <c r="K450" t="n">
        <v>0</v>
      </c>
      <c r="L450" t="n">
        <v>0</v>
      </c>
      <c r="M450" t="n">
        <v>0</v>
      </c>
      <c r="N450" t="n">
        <v>0</v>
      </c>
      <c r="O450" t="n">
        <v>0</v>
      </c>
      <c r="P450" t="n">
        <v>0</v>
      </c>
      <c r="Q450" t="n">
        <v>0</v>
      </c>
      <c r="R450" s="2" t="inlineStr"/>
    </row>
    <row r="451" ht="15" customHeight="1">
      <c r="A451" t="inlineStr">
        <is>
          <t>A 5454-2023</t>
        </is>
      </c>
      <c r="B451" s="1" t="n">
        <v>44959</v>
      </c>
      <c r="C451" s="1" t="n">
        <v>45672</v>
      </c>
      <c r="D451" t="inlineStr">
        <is>
          <t>NORRBOTTENS LÄN</t>
        </is>
      </c>
      <c r="E451" t="inlineStr">
        <is>
          <t>GÄLLIVARE</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5456-2023</t>
        </is>
      </c>
      <c r="B452" s="1" t="n">
        <v>44959</v>
      </c>
      <c r="C452" s="1" t="n">
        <v>45672</v>
      </c>
      <c r="D452" t="inlineStr">
        <is>
          <t>NORRBOTTENS LÄN</t>
        </is>
      </c>
      <c r="E452" t="inlineStr">
        <is>
          <t>GÄLLIVARE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5695-2023</t>
        </is>
      </c>
      <c r="B453" s="1" t="n">
        <v>44960</v>
      </c>
      <c r="C453" s="1" t="n">
        <v>45672</v>
      </c>
      <c r="D453" t="inlineStr">
        <is>
          <t>NORRBOTTENS LÄN</t>
        </is>
      </c>
      <c r="E453" t="inlineStr">
        <is>
          <t>GÄLLIVARE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5704-2023</t>
        </is>
      </c>
      <c r="B454" s="1" t="n">
        <v>44960</v>
      </c>
      <c r="C454" s="1" t="n">
        <v>45672</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5708-2023</t>
        </is>
      </c>
      <c r="B455" s="1" t="n">
        <v>44960</v>
      </c>
      <c r="C455" s="1" t="n">
        <v>45672</v>
      </c>
      <c r="D455" t="inlineStr">
        <is>
          <t>NORRBOTTENS LÄN</t>
        </is>
      </c>
      <c r="E455" t="inlineStr">
        <is>
          <t>GÄLLIVARE</t>
        </is>
      </c>
      <c r="F455" t="inlineStr">
        <is>
          <t>SCA</t>
        </is>
      </c>
      <c r="G455" t="n">
        <v>15.3</v>
      </c>
      <c r="H455" t="n">
        <v>0</v>
      </c>
      <c r="I455" t="n">
        <v>0</v>
      </c>
      <c r="J455" t="n">
        <v>0</v>
      </c>
      <c r="K455" t="n">
        <v>0</v>
      </c>
      <c r="L455" t="n">
        <v>0</v>
      </c>
      <c r="M455" t="n">
        <v>0</v>
      </c>
      <c r="N455" t="n">
        <v>0</v>
      </c>
      <c r="O455" t="n">
        <v>0</v>
      </c>
      <c r="P455" t="n">
        <v>0</v>
      </c>
      <c r="Q455" t="n">
        <v>0</v>
      </c>
      <c r="R455" s="2" t="inlineStr"/>
    </row>
    <row r="456" ht="15" customHeight="1">
      <c r="A456" t="inlineStr">
        <is>
          <t>A 5709-2023</t>
        </is>
      </c>
      <c r="B456" s="1" t="n">
        <v>44960</v>
      </c>
      <c r="C456" s="1" t="n">
        <v>45672</v>
      </c>
      <c r="D456" t="inlineStr">
        <is>
          <t>NORRBOTTENS LÄN</t>
        </is>
      </c>
      <c r="E456" t="inlineStr">
        <is>
          <t>GÄLLIVARE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6459-2023</t>
        </is>
      </c>
      <c r="B457" s="1" t="n">
        <v>44965</v>
      </c>
      <c r="C457" s="1" t="n">
        <v>45672</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6783-2023</t>
        </is>
      </c>
      <c r="B458" s="1" t="n">
        <v>44966</v>
      </c>
      <c r="C458" s="1" t="n">
        <v>45672</v>
      </c>
      <c r="D458" t="inlineStr">
        <is>
          <t>NORRBOTTENS LÄN</t>
        </is>
      </c>
      <c r="E458" t="inlineStr">
        <is>
          <t>GÄLLIVARE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6781-2023</t>
        </is>
      </c>
      <c r="B459" s="1" t="n">
        <v>44966</v>
      </c>
      <c r="C459" s="1" t="n">
        <v>45672</v>
      </c>
      <c r="D459" t="inlineStr">
        <is>
          <t>NORRBOTTENS LÄN</t>
        </is>
      </c>
      <c r="E459" t="inlineStr">
        <is>
          <t>GÄLLIVARE</t>
        </is>
      </c>
      <c r="F459" t="inlineStr">
        <is>
          <t>SCA</t>
        </is>
      </c>
      <c r="G459" t="n">
        <v>14.1</v>
      </c>
      <c r="H459" t="n">
        <v>0</v>
      </c>
      <c r="I459" t="n">
        <v>0</v>
      </c>
      <c r="J459" t="n">
        <v>0</v>
      </c>
      <c r="K459" t="n">
        <v>0</v>
      </c>
      <c r="L459" t="n">
        <v>0</v>
      </c>
      <c r="M459" t="n">
        <v>0</v>
      </c>
      <c r="N459" t="n">
        <v>0</v>
      </c>
      <c r="O459" t="n">
        <v>0</v>
      </c>
      <c r="P459" t="n">
        <v>0</v>
      </c>
      <c r="Q459" t="n">
        <v>0</v>
      </c>
      <c r="R459" s="2" t="inlineStr"/>
    </row>
    <row r="460" ht="15" customHeight="1">
      <c r="A460" t="inlineStr">
        <is>
          <t>A 10149-2023</t>
        </is>
      </c>
      <c r="B460" s="1" t="n">
        <v>44980</v>
      </c>
      <c r="C460" s="1" t="n">
        <v>45672</v>
      </c>
      <c r="D460" t="inlineStr">
        <is>
          <t>NORRBOTTENS LÄN</t>
        </is>
      </c>
      <c r="E460" t="inlineStr">
        <is>
          <t>GÄLLIVARE</t>
        </is>
      </c>
      <c r="F460" t="inlineStr">
        <is>
          <t>Allmännings- och besparingsskogar</t>
        </is>
      </c>
      <c r="G460" t="n">
        <v>12.5</v>
      </c>
      <c r="H460" t="n">
        <v>0</v>
      </c>
      <c r="I460" t="n">
        <v>0</v>
      </c>
      <c r="J460" t="n">
        <v>0</v>
      </c>
      <c r="K460" t="n">
        <v>0</v>
      </c>
      <c r="L460" t="n">
        <v>0</v>
      </c>
      <c r="M460" t="n">
        <v>0</v>
      </c>
      <c r="N460" t="n">
        <v>0</v>
      </c>
      <c r="O460" t="n">
        <v>0</v>
      </c>
      <c r="P460" t="n">
        <v>0</v>
      </c>
      <c r="Q460" t="n">
        <v>0</v>
      </c>
      <c r="R460" s="2" t="inlineStr"/>
    </row>
    <row r="461" ht="15" customHeight="1">
      <c r="A461" t="inlineStr">
        <is>
          <t>A 10183-2023</t>
        </is>
      </c>
      <c r="B461" s="1" t="n">
        <v>44980</v>
      </c>
      <c r="C461" s="1" t="n">
        <v>45672</v>
      </c>
      <c r="D461" t="inlineStr">
        <is>
          <t>NORRBOTTENS LÄN</t>
        </is>
      </c>
      <c r="E461" t="inlineStr">
        <is>
          <t>GÄLLIVARE</t>
        </is>
      </c>
      <c r="F461" t="inlineStr">
        <is>
          <t>Allmännings- och besparingsskogar</t>
        </is>
      </c>
      <c r="G461" t="n">
        <v>3.4</v>
      </c>
      <c r="H461" t="n">
        <v>0</v>
      </c>
      <c r="I461" t="n">
        <v>0</v>
      </c>
      <c r="J461" t="n">
        <v>0</v>
      </c>
      <c r="K461" t="n">
        <v>0</v>
      </c>
      <c r="L461" t="n">
        <v>0</v>
      </c>
      <c r="M461" t="n">
        <v>0</v>
      </c>
      <c r="N461" t="n">
        <v>0</v>
      </c>
      <c r="O461" t="n">
        <v>0</v>
      </c>
      <c r="P461" t="n">
        <v>0</v>
      </c>
      <c r="Q461" t="n">
        <v>0</v>
      </c>
      <c r="R461" s="2" t="inlineStr"/>
    </row>
    <row r="462" ht="15" customHeight="1">
      <c r="A462" t="inlineStr">
        <is>
          <t>A 10153-2023</t>
        </is>
      </c>
      <c r="B462" s="1" t="n">
        <v>44980</v>
      </c>
      <c r="C462" s="1" t="n">
        <v>45672</v>
      </c>
      <c r="D462" t="inlineStr">
        <is>
          <t>NORRBOTTENS LÄN</t>
        </is>
      </c>
      <c r="E462" t="inlineStr">
        <is>
          <t>GÄLLIVARE</t>
        </is>
      </c>
      <c r="F462" t="inlineStr">
        <is>
          <t>Allmännings- och besparingsskogar</t>
        </is>
      </c>
      <c r="G462" t="n">
        <v>35.1</v>
      </c>
      <c r="H462" t="n">
        <v>0</v>
      </c>
      <c r="I462" t="n">
        <v>0</v>
      </c>
      <c r="J462" t="n">
        <v>0</v>
      </c>
      <c r="K462" t="n">
        <v>0</v>
      </c>
      <c r="L462" t="n">
        <v>0</v>
      </c>
      <c r="M462" t="n">
        <v>0</v>
      </c>
      <c r="N462" t="n">
        <v>0</v>
      </c>
      <c r="O462" t="n">
        <v>0</v>
      </c>
      <c r="P462" t="n">
        <v>0</v>
      </c>
      <c r="Q462" t="n">
        <v>0</v>
      </c>
      <c r="R462" s="2" t="inlineStr"/>
    </row>
    <row r="463" ht="15" customHeight="1">
      <c r="A463" t="inlineStr">
        <is>
          <t>A 10139-2023</t>
        </is>
      </c>
      <c r="B463" s="1" t="n">
        <v>44980</v>
      </c>
      <c r="C463" s="1" t="n">
        <v>45672</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10166-2023</t>
        </is>
      </c>
      <c r="B464" s="1" t="n">
        <v>44980</v>
      </c>
      <c r="C464" s="1" t="n">
        <v>45672</v>
      </c>
      <c r="D464" t="inlineStr">
        <is>
          <t>NORRBOTTENS LÄN</t>
        </is>
      </c>
      <c r="E464" t="inlineStr">
        <is>
          <t>GÄLLIVARE</t>
        </is>
      </c>
      <c r="F464" t="inlineStr">
        <is>
          <t>Allmännings- och besparingsskogar</t>
        </is>
      </c>
      <c r="G464" t="n">
        <v>18.6</v>
      </c>
      <c r="H464" t="n">
        <v>0</v>
      </c>
      <c r="I464" t="n">
        <v>0</v>
      </c>
      <c r="J464" t="n">
        <v>0</v>
      </c>
      <c r="K464" t="n">
        <v>0</v>
      </c>
      <c r="L464" t="n">
        <v>0</v>
      </c>
      <c r="M464" t="n">
        <v>0</v>
      </c>
      <c r="N464" t="n">
        <v>0</v>
      </c>
      <c r="O464" t="n">
        <v>0</v>
      </c>
      <c r="P464" t="n">
        <v>0</v>
      </c>
      <c r="Q464" t="n">
        <v>0</v>
      </c>
      <c r="R464" s="2" t="inlineStr"/>
    </row>
    <row r="465" ht="15" customHeight="1">
      <c r="A465" t="inlineStr">
        <is>
          <t>A 10187-2023</t>
        </is>
      </c>
      <c r="B465" s="1" t="n">
        <v>44980</v>
      </c>
      <c r="C465" s="1" t="n">
        <v>45672</v>
      </c>
      <c r="D465" t="inlineStr">
        <is>
          <t>NORRBOTTENS LÄN</t>
        </is>
      </c>
      <c r="E465" t="inlineStr">
        <is>
          <t>GÄLLIVARE</t>
        </is>
      </c>
      <c r="F465" t="inlineStr">
        <is>
          <t>Allmännings- och besparingsskogar</t>
        </is>
      </c>
      <c r="G465" t="n">
        <v>33.5</v>
      </c>
      <c r="H465" t="n">
        <v>0</v>
      </c>
      <c r="I465" t="n">
        <v>0</v>
      </c>
      <c r="J465" t="n">
        <v>0</v>
      </c>
      <c r="K465" t="n">
        <v>0</v>
      </c>
      <c r="L465" t="n">
        <v>0</v>
      </c>
      <c r="M465" t="n">
        <v>0</v>
      </c>
      <c r="N465" t="n">
        <v>0</v>
      </c>
      <c r="O465" t="n">
        <v>0</v>
      </c>
      <c r="P465" t="n">
        <v>0</v>
      </c>
      <c r="Q465" t="n">
        <v>0</v>
      </c>
      <c r="R465" s="2" t="inlineStr"/>
    </row>
    <row r="466" ht="15" customHeight="1">
      <c r="A466" t="inlineStr">
        <is>
          <t>A 9556-2023</t>
        </is>
      </c>
      <c r="B466" s="1" t="n">
        <v>44981</v>
      </c>
      <c r="C466" s="1" t="n">
        <v>45672</v>
      </c>
      <c r="D466" t="inlineStr">
        <is>
          <t>NORRBOTTENS LÄN</t>
        </is>
      </c>
      <c r="E466" t="inlineStr">
        <is>
          <t>GÄLLIVARE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10298-2023</t>
        </is>
      </c>
      <c r="B467" s="1" t="n">
        <v>44986</v>
      </c>
      <c r="C467" s="1" t="n">
        <v>45672</v>
      </c>
      <c r="D467" t="inlineStr">
        <is>
          <t>NORRBOTTENS LÄN</t>
        </is>
      </c>
      <c r="E467" t="inlineStr">
        <is>
          <t>GÄLLIVARE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11290-2023</t>
        </is>
      </c>
      <c r="B468" s="1" t="n">
        <v>44992</v>
      </c>
      <c r="C468" s="1" t="n">
        <v>45672</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13250-2023</t>
        </is>
      </c>
      <c r="B469" s="1" t="n">
        <v>45002</v>
      </c>
      <c r="C469" s="1" t="n">
        <v>45672</v>
      </c>
      <c r="D469" t="inlineStr">
        <is>
          <t>NORRBOTTENS LÄN</t>
        </is>
      </c>
      <c r="E469" t="inlineStr">
        <is>
          <t>GÄLLIVARE</t>
        </is>
      </c>
      <c r="F469" t="inlineStr">
        <is>
          <t>SCA</t>
        </is>
      </c>
      <c r="G469" t="n">
        <v>16.9</v>
      </c>
      <c r="H469" t="n">
        <v>0</v>
      </c>
      <c r="I469" t="n">
        <v>0</v>
      </c>
      <c r="J469" t="n">
        <v>0</v>
      </c>
      <c r="K469" t="n">
        <v>0</v>
      </c>
      <c r="L469" t="n">
        <v>0</v>
      </c>
      <c r="M469" t="n">
        <v>0</v>
      </c>
      <c r="N469" t="n">
        <v>0</v>
      </c>
      <c r="O469" t="n">
        <v>0</v>
      </c>
      <c r="P469" t="n">
        <v>0</v>
      </c>
      <c r="Q469" t="n">
        <v>0</v>
      </c>
      <c r="R469" s="2" t="inlineStr"/>
    </row>
    <row r="470" ht="15" customHeight="1">
      <c r="A470" t="inlineStr">
        <is>
          <t>A 13251-2023</t>
        </is>
      </c>
      <c r="B470" s="1" t="n">
        <v>45002</v>
      </c>
      <c r="C470" s="1" t="n">
        <v>45672</v>
      </c>
      <c r="D470" t="inlineStr">
        <is>
          <t>NORRBOTTENS LÄN</t>
        </is>
      </c>
      <c r="E470" t="inlineStr">
        <is>
          <t>GÄLLIVARE</t>
        </is>
      </c>
      <c r="F470" t="inlineStr">
        <is>
          <t>SCA</t>
        </is>
      </c>
      <c r="G470" t="n">
        <v>23.6</v>
      </c>
      <c r="H470" t="n">
        <v>0</v>
      </c>
      <c r="I470" t="n">
        <v>0</v>
      </c>
      <c r="J470" t="n">
        <v>0</v>
      </c>
      <c r="K470" t="n">
        <v>0</v>
      </c>
      <c r="L470" t="n">
        <v>0</v>
      </c>
      <c r="M470" t="n">
        <v>0</v>
      </c>
      <c r="N470" t="n">
        <v>0</v>
      </c>
      <c r="O470" t="n">
        <v>0</v>
      </c>
      <c r="P470" t="n">
        <v>0</v>
      </c>
      <c r="Q470" t="n">
        <v>0</v>
      </c>
      <c r="R470" s="2" t="inlineStr"/>
    </row>
    <row r="471" ht="15" customHeight="1">
      <c r="A471" t="inlineStr">
        <is>
          <t>A 15072-2023</t>
        </is>
      </c>
      <c r="B471" s="1" t="n">
        <v>45015</v>
      </c>
      <c r="C471" s="1" t="n">
        <v>45672</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16068-2023</t>
        </is>
      </c>
      <c r="B472" s="1" t="n">
        <v>45027</v>
      </c>
      <c r="C472" s="1" t="n">
        <v>45672</v>
      </c>
      <c r="D472" t="inlineStr">
        <is>
          <t>NORRBOTTENS LÄN</t>
        </is>
      </c>
      <c r="E472" t="inlineStr">
        <is>
          <t>GÄLLIVARE</t>
        </is>
      </c>
      <c r="G472" t="n">
        <v>4.1</v>
      </c>
      <c r="H472" t="n">
        <v>0</v>
      </c>
      <c r="I472" t="n">
        <v>0</v>
      </c>
      <c r="J472" t="n">
        <v>0</v>
      </c>
      <c r="K472" t="n">
        <v>0</v>
      </c>
      <c r="L472" t="n">
        <v>0</v>
      </c>
      <c r="M472" t="n">
        <v>0</v>
      </c>
      <c r="N472" t="n">
        <v>0</v>
      </c>
      <c r="O472" t="n">
        <v>0</v>
      </c>
      <c r="P472" t="n">
        <v>0</v>
      </c>
      <c r="Q472" t="n">
        <v>0</v>
      </c>
      <c r="R472" s="2" t="inlineStr"/>
    </row>
    <row r="473" ht="15" customHeight="1">
      <c r="A473" t="inlineStr">
        <is>
          <t>A 16754-2023</t>
        </is>
      </c>
      <c r="B473" s="1" t="n">
        <v>45030</v>
      </c>
      <c r="C473" s="1" t="n">
        <v>45672</v>
      </c>
      <c r="D473" t="inlineStr">
        <is>
          <t>NORRBOTTENS LÄN</t>
        </is>
      </c>
      <c r="E473" t="inlineStr">
        <is>
          <t>GÄLLIVARE</t>
        </is>
      </c>
      <c r="G473" t="n">
        <v>9.1</v>
      </c>
      <c r="H473" t="n">
        <v>0</v>
      </c>
      <c r="I473" t="n">
        <v>0</v>
      </c>
      <c r="J473" t="n">
        <v>0</v>
      </c>
      <c r="K473" t="n">
        <v>0</v>
      </c>
      <c r="L473" t="n">
        <v>0</v>
      </c>
      <c r="M473" t="n">
        <v>0</v>
      </c>
      <c r="N473" t="n">
        <v>0</v>
      </c>
      <c r="O473" t="n">
        <v>0</v>
      </c>
      <c r="P473" t="n">
        <v>0</v>
      </c>
      <c r="Q473" t="n">
        <v>0</v>
      </c>
      <c r="R473" s="2" t="inlineStr"/>
    </row>
    <row r="474" ht="15" customHeight="1">
      <c r="A474" t="inlineStr">
        <is>
          <t>A 16973-2023</t>
        </is>
      </c>
      <c r="B474" s="1" t="n">
        <v>45033</v>
      </c>
      <c r="C474" s="1" t="n">
        <v>45672</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16952-2023</t>
        </is>
      </c>
      <c r="B475" s="1" t="n">
        <v>45033</v>
      </c>
      <c r="C475" s="1" t="n">
        <v>45672</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19619-2023</t>
        </is>
      </c>
      <c r="B476" s="1" t="n">
        <v>45050</v>
      </c>
      <c r="C476" s="1" t="n">
        <v>45672</v>
      </c>
      <c r="D476" t="inlineStr">
        <is>
          <t>NORRBOTTENS LÄN</t>
        </is>
      </c>
      <c r="E476" t="inlineStr">
        <is>
          <t>GÄLLIVARE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20126-2023</t>
        </is>
      </c>
      <c r="B477" s="1" t="n">
        <v>45051</v>
      </c>
      <c r="C477" s="1" t="n">
        <v>45672</v>
      </c>
      <c r="D477" t="inlineStr">
        <is>
          <t>NORRBOTTENS LÄN</t>
        </is>
      </c>
      <c r="E477" t="inlineStr">
        <is>
          <t>GÄLLIVARE</t>
        </is>
      </c>
      <c r="G477" t="n">
        <v>2.8</v>
      </c>
      <c r="H477" t="n">
        <v>0</v>
      </c>
      <c r="I477" t="n">
        <v>0</v>
      </c>
      <c r="J477" t="n">
        <v>0</v>
      </c>
      <c r="K477" t="n">
        <v>0</v>
      </c>
      <c r="L477" t="n">
        <v>0</v>
      </c>
      <c r="M477" t="n">
        <v>0</v>
      </c>
      <c r="N477" t="n">
        <v>0</v>
      </c>
      <c r="O477" t="n">
        <v>0</v>
      </c>
      <c r="P477" t="n">
        <v>0</v>
      </c>
      <c r="Q477" t="n">
        <v>0</v>
      </c>
      <c r="R477" s="2" t="inlineStr"/>
    </row>
    <row r="478" ht="15" customHeight="1">
      <c r="A478" t="inlineStr">
        <is>
          <t>A 21159-2023</t>
        </is>
      </c>
      <c r="B478" s="1" t="n">
        <v>45062</v>
      </c>
      <c r="C478" s="1" t="n">
        <v>45672</v>
      </c>
      <c r="D478" t="inlineStr">
        <is>
          <t>NORRBOTTENS LÄN</t>
        </is>
      </c>
      <c r="E478" t="inlineStr">
        <is>
          <t>GÄLLIVARE</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21556-2023</t>
        </is>
      </c>
      <c r="B479" s="1" t="n">
        <v>45063</v>
      </c>
      <c r="C479" s="1" t="n">
        <v>45672</v>
      </c>
      <c r="D479" t="inlineStr">
        <is>
          <t>NORRBOTTENS LÄN</t>
        </is>
      </c>
      <c r="E479" t="inlineStr">
        <is>
          <t>GÄLLIVARE</t>
        </is>
      </c>
      <c r="G479" t="n">
        <v>6.8</v>
      </c>
      <c r="H479" t="n">
        <v>0</v>
      </c>
      <c r="I479" t="n">
        <v>0</v>
      </c>
      <c r="J479" t="n">
        <v>0</v>
      </c>
      <c r="K479" t="n">
        <v>0</v>
      </c>
      <c r="L479" t="n">
        <v>0</v>
      </c>
      <c r="M479" t="n">
        <v>0</v>
      </c>
      <c r="N479" t="n">
        <v>0</v>
      </c>
      <c r="O479" t="n">
        <v>0</v>
      </c>
      <c r="P479" t="n">
        <v>0</v>
      </c>
      <c r="Q479" t="n">
        <v>0</v>
      </c>
      <c r="R479" s="2" t="inlineStr"/>
    </row>
    <row r="480" ht="15" customHeight="1">
      <c r="A480" t="inlineStr">
        <is>
          <t>A 21785-2023</t>
        </is>
      </c>
      <c r="B480" s="1" t="n">
        <v>45065</v>
      </c>
      <c r="C480" s="1" t="n">
        <v>45672</v>
      </c>
      <c r="D480" t="inlineStr">
        <is>
          <t>NORRBOTTENS LÄN</t>
        </is>
      </c>
      <c r="E480" t="inlineStr">
        <is>
          <t>GÄLLIVARE</t>
        </is>
      </c>
      <c r="G480" t="n">
        <v>22.4</v>
      </c>
      <c r="H480" t="n">
        <v>0</v>
      </c>
      <c r="I480" t="n">
        <v>0</v>
      </c>
      <c r="J480" t="n">
        <v>0</v>
      </c>
      <c r="K480" t="n">
        <v>0</v>
      </c>
      <c r="L480" t="n">
        <v>0</v>
      </c>
      <c r="M480" t="n">
        <v>0</v>
      </c>
      <c r="N480" t="n">
        <v>0</v>
      </c>
      <c r="O480" t="n">
        <v>0</v>
      </c>
      <c r="P480" t="n">
        <v>0</v>
      </c>
      <c r="Q480" t="n">
        <v>0</v>
      </c>
      <c r="R480" s="2" t="inlineStr"/>
    </row>
    <row r="481" ht="15" customHeight="1">
      <c r="A481" t="inlineStr">
        <is>
          <t>A 22744-2023</t>
        </is>
      </c>
      <c r="B481" s="1" t="n">
        <v>45072</v>
      </c>
      <c r="C481" s="1" t="n">
        <v>45672</v>
      </c>
      <c r="D481" t="inlineStr">
        <is>
          <t>NORRBOTTENS LÄN</t>
        </is>
      </c>
      <c r="E481" t="inlineStr">
        <is>
          <t>GÄLLIVARE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22743-2023</t>
        </is>
      </c>
      <c r="B482" s="1" t="n">
        <v>45072</v>
      </c>
      <c r="C482" s="1" t="n">
        <v>45672</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23489-2023</t>
        </is>
      </c>
      <c r="B483" s="1" t="n">
        <v>45072</v>
      </c>
      <c r="C483" s="1" t="n">
        <v>45672</v>
      </c>
      <c r="D483" t="inlineStr">
        <is>
          <t>NORRBOTTENS LÄN</t>
        </is>
      </c>
      <c r="E483" t="inlineStr">
        <is>
          <t>GÄLLIVARE</t>
        </is>
      </c>
      <c r="G483" t="n">
        <v>4.2</v>
      </c>
      <c r="H483" t="n">
        <v>0</v>
      </c>
      <c r="I483" t="n">
        <v>0</v>
      </c>
      <c r="J483" t="n">
        <v>0</v>
      </c>
      <c r="K483" t="n">
        <v>0</v>
      </c>
      <c r="L483" t="n">
        <v>0</v>
      </c>
      <c r="M483" t="n">
        <v>0</v>
      </c>
      <c r="N483" t="n">
        <v>0</v>
      </c>
      <c r="O483" t="n">
        <v>0</v>
      </c>
      <c r="P483" t="n">
        <v>0</v>
      </c>
      <c r="Q483" t="n">
        <v>0</v>
      </c>
      <c r="R483" s="2" t="inlineStr"/>
    </row>
    <row r="484" ht="15" customHeight="1">
      <c r="A484" t="inlineStr">
        <is>
          <t>A 23774-2023</t>
        </is>
      </c>
      <c r="B484" s="1" t="n">
        <v>45077</v>
      </c>
      <c r="C484" s="1" t="n">
        <v>45672</v>
      </c>
      <c r="D484" t="inlineStr">
        <is>
          <t>NORRBOTTENS LÄN</t>
        </is>
      </c>
      <c r="E484" t="inlineStr">
        <is>
          <t>GÄLLIVARE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24094-2023</t>
        </is>
      </c>
      <c r="B485" s="1" t="n">
        <v>45079</v>
      </c>
      <c r="C485" s="1" t="n">
        <v>45672</v>
      </c>
      <c r="D485" t="inlineStr">
        <is>
          <t>NORRBOTTENS LÄN</t>
        </is>
      </c>
      <c r="E485" t="inlineStr">
        <is>
          <t>GÄLLIVARE</t>
        </is>
      </c>
      <c r="G485" t="n">
        <v>3.6</v>
      </c>
      <c r="H485" t="n">
        <v>0</v>
      </c>
      <c r="I485" t="n">
        <v>0</v>
      </c>
      <c r="J485" t="n">
        <v>0</v>
      </c>
      <c r="K485" t="n">
        <v>0</v>
      </c>
      <c r="L485" t="n">
        <v>0</v>
      </c>
      <c r="M485" t="n">
        <v>0</v>
      </c>
      <c r="N485" t="n">
        <v>0</v>
      </c>
      <c r="O485" t="n">
        <v>0</v>
      </c>
      <c r="P485" t="n">
        <v>0</v>
      </c>
      <c r="Q485" t="n">
        <v>0</v>
      </c>
      <c r="R485" s="2" t="inlineStr"/>
    </row>
    <row r="486" ht="15" customHeight="1">
      <c r="A486" t="inlineStr">
        <is>
          <t>A 24117-2023</t>
        </is>
      </c>
      <c r="B486" s="1" t="n">
        <v>45079</v>
      </c>
      <c r="C486" s="1" t="n">
        <v>45672</v>
      </c>
      <c r="D486" t="inlineStr">
        <is>
          <t>NORRBOTTENS LÄN</t>
        </is>
      </c>
      <c r="E486" t="inlineStr">
        <is>
          <t>GÄLLIVARE</t>
        </is>
      </c>
      <c r="G486" t="n">
        <v>2.9</v>
      </c>
      <c r="H486" t="n">
        <v>0</v>
      </c>
      <c r="I486" t="n">
        <v>0</v>
      </c>
      <c r="J486" t="n">
        <v>0</v>
      </c>
      <c r="K486" t="n">
        <v>0</v>
      </c>
      <c r="L486" t="n">
        <v>0</v>
      </c>
      <c r="M486" t="n">
        <v>0</v>
      </c>
      <c r="N486" t="n">
        <v>0</v>
      </c>
      <c r="O486" t="n">
        <v>0</v>
      </c>
      <c r="P486" t="n">
        <v>0</v>
      </c>
      <c r="Q486" t="n">
        <v>0</v>
      </c>
      <c r="R486" s="2" t="inlineStr"/>
    </row>
    <row r="487" ht="15" customHeight="1">
      <c r="A487" t="inlineStr">
        <is>
          <t>A 25197-2023</t>
        </is>
      </c>
      <c r="B487" s="1" t="n">
        <v>45086</v>
      </c>
      <c r="C487" s="1" t="n">
        <v>45672</v>
      </c>
      <c r="D487" t="inlineStr">
        <is>
          <t>NORRBOTTENS LÄN</t>
        </is>
      </c>
      <c r="E487" t="inlineStr">
        <is>
          <t>GÄLLIVARE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25195-2023</t>
        </is>
      </c>
      <c r="B488" s="1" t="n">
        <v>45086</v>
      </c>
      <c r="C488" s="1" t="n">
        <v>45672</v>
      </c>
      <c r="D488" t="inlineStr">
        <is>
          <t>NORRBOTTENS LÄN</t>
        </is>
      </c>
      <c r="E488" t="inlineStr">
        <is>
          <t>GÄLLIVARE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25191-2023</t>
        </is>
      </c>
      <c r="B489" s="1" t="n">
        <v>45086</v>
      </c>
      <c r="C489" s="1" t="n">
        <v>45672</v>
      </c>
      <c r="D489" t="inlineStr">
        <is>
          <t>NORRBOTTENS LÄN</t>
        </is>
      </c>
      <c r="E489" t="inlineStr">
        <is>
          <t>GÄLLIVARE</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25681-2023</t>
        </is>
      </c>
      <c r="B490" s="1" t="n">
        <v>45089</v>
      </c>
      <c r="C490" s="1" t="n">
        <v>45672</v>
      </c>
      <c r="D490" t="inlineStr">
        <is>
          <t>NORRBOTTENS LÄN</t>
        </is>
      </c>
      <c r="E490" t="inlineStr">
        <is>
          <t>GÄLLIVARE</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28600-2023</t>
        </is>
      </c>
      <c r="B491" s="1" t="n">
        <v>45096</v>
      </c>
      <c r="C491" s="1" t="n">
        <v>45672</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28646-2023</t>
        </is>
      </c>
      <c r="B492" s="1" t="n">
        <v>45096</v>
      </c>
      <c r="C492" s="1" t="n">
        <v>45672</v>
      </c>
      <c r="D492" t="inlineStr">
        <is>
          <t>NORRBOTTENS LÄN</t>
        </is>
      </c>
      <c r="E492" t="inlineStr">
        <is>
          <t>GÄLLIVARE</t>
        </is>
      </c>
      <c r="F492" t="inlineStr">
        <is>
          <t>Allmännings- och besparingsskogar</t>
        </is>
      </c>
      <c r="G492" t="n">
        <v>1.9</v>
      </c>
      <c r="H492" t="n">
        <v>0</v>
      </c>
      <c r="I492" t="n">
        <v>0</v>
      </c>
      <c r="J492" t="n">
        <v>0</v>
      </c>
      <c r="K492" t="n">
        <v>0</v>
      </c>
      <c r="L492" t="n">
        <v>0</v>
      </c>
      <c r="M492" t="n">
        <v>0</v>
      </c>
      <c r="N492" t="n">
        <v>0</v>
      </c>
      <c r="O492" t="n">
        <v>0</v>
      </c>
      <c r="P492" t="n">
        <v>0</v>
      </c>
      <c r="Q492" t="n">
        <v>0</v>
      </c>
      <c r="R492" s="2" t="inlineStr"/>
    </row>
    <row r="493" ht="15" customHeight="1">
      <c r="A493" t="inlineStr">
        <is>
          <t>A 28619-2023</t>
        </is>
      </c>
      <c r="B493" s="1" t="n">
        <v>45096</v>
      </c>
      <c r="C493" s="1" t="n">
        <v>45672</v>
      </c>
      <c r="D493" t="inlineStr">
        <is>
          <t>NORRBOTTENS LÄN</t>
        </is>
      </c>
      <c r="E493" t="inlineStr">
        <is>
          <t>GÄLLIVARE</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28624-2023</t>
        </is>
      </c>
      <c r="B494" s="1" t="n">
        <v>45096</v>
      </c>
      <c r="C494" s="1" t="n">
        <v>45672</v>
      </c>
      <c r="D494" t="inlineStr">
        <is>
          <t>NORRBOTTENS LÄN</t>
        </is>
      </c>
      <c r="E494" t="inlineStr">
        <is>
          <t>GÄLLIVARE</t>
        </is>
      </c>
      <c r="F494" t="inlineStr">
        <is>
          <t>Allmännings- och besparingsskogar</t>
        </is>
      </c>
      <c r="G494" t="n">
        <v>44.7</v>
      </c>
      <c r="H494" t="n">
        <v>0</v>
      </c>
      <c r="I494" t="n">
        <v>0</v>
      </c>
      <c r="J494" t="n">
        <v>0</v>
      </c>
      <c r="K494" t="n">
        <v>0</v>
      </c>
      <c r="L494" t="n">
        <v>0</v>
      </c>
      <c r="M494" t="n">
        <v>0</v>
      </c>
      <c r="N494" t="n">
        <v>0</v>
      </c>
      <c r="O494" t="n">
        <v>0</v>
      </c>
      <c r="P494" t="n">
        <v>0</v>
      </c>
      <c r="Q494" t="n">
        <v>0</v>
      </c>
      <c r="R494" s="2" t="inlineStr"/>
    </row>
    <row r="495" ht="15" customHeight="1">
      <c r="A495" t="inlineStr">
        <is>
          <t>A 28177-2023</t>
        </is>
      </c>
      <c r="B495" s="1" t="n">
        <v>45099</v>
      </c>
      <c r="C495" s="1" t="n">
        <v>45672</v>
      </c>
      <c r="D495" t="inlineStr">
        <is>
          <t>NORRBOTTENS LÄN</t>
        </is>
      </c>
      <c r="E495" t="inlineStr">
        <is>
          <t>GÄLLIVARE</t>
        </is>
      </c>
      <c r="G495" t="n">
        <v>3.2</v>
      </c>
      <c r="H495" t="n">
        <v>0</v>
      </c>
      <c r="I495" t="n">
        <v>0</v>
      </c>
      <c r="J495" t="n">
        <v>0</v>
      </c>
      <c r="K495" t="n">
        <v>0</v>
      </c>
      <c r="L495" t="n">
        <v>0</v>
      </c>
      <c r="M495" t="n">
        <v>0</v>
      </c>
      <c r="N495" t="n">
        <v>0</v>
      </c>
      <c r="O495" t="n">
        <v>0</v>
      </c>
      <c r="P495" t="n">
        <v>0</v>
      </c>
      <c r="Q495" t="n">
        <v>0</v>
      </c>
      <c r="R495" s="2" t="inlineStr"/>
    </row>
    <row r="496" ht="15" customHeight="1">
      <c r="A496" t="inlineStr">
        <is>
          <t>A 30765-2023</t>
        </is>
      </c>
      <c r="B496" s="1" t="n">
        <v>45103</v>
      </c>
      <c r="C496" s="1" t="n">
        <v>45672</v>
      </c>
      <c r="D496" t="inlineStr">
        <is>
          <t>NORRBOTTENS LÄN</t>
        </is>
      </c>
      <c r="E496" t="inlineStr">
        <is>
          <t>GÄLLIVARE</t>
        </is>
      </c>
      <c r="F496" t="inlineStr">
        <is>
          <t>Allmännings- och besparingsskogar</t>
        </is>
      </c>
      <c r="G496" t="n">
        <v>10.8</v>
      </c>
      <c r="H496" t="n">
        <v>0</v>
      </c>
      <c r="I496" t="n">
        <v>0</v>
      </c>
      <c r="J496" t="n">
        <v>0</v>
      </c>
      <c r="K496" t="n">
        <v>0</v>
      </c>
      <c r="L496" t="n">
        <v>0</v>
      </c>
      <c r="M496" t="n">
        <v>0</v>
      </c>
      <c r="N496" t="n">
        <v>0</v>
      </c>
      <c r="O496" t="n">
        <v>0</v>
      </c>
      <c r="P496" t="n">
        <v>0</v>
      </c>
      <c r="Q496" t="n">
        <v>0</v>
      </c>
      <c r="R496" s="2" t="inlineStr"/>
    </row>
    <row r="497" ht="15" customHeight="1">
      <c r="A497" t="inlineStr">
        <is>
          <t>A 28837-2023</t>
        </is>
      </c>
      <c r="B497" s="1" t="n">
        <v>45104</v>
      </c>
      <c r="C497" s="1" t="n">
        <v>45672</v>
      </c>
      <c r="D497" t="inlineStr">
        <is>
          <t>NORRBOTTENS LÄN</t>
        </is>
      </c>
      <c r="E497" t="inlineStr">
        <is>
          <t>GÄLLIVARE</t>
        </is>
      </c>
      <c r="F497" t="inlineStr">
        <is>
          <t>Sveaskog</t>
        </is>
      </c>
      <c r="G497" t="n">
        <v>22.4</v>
      </c>
      <c r="H497" t="n">
        <v>0</v>
      </c>
      <c r="I497" t="n">
        <v>0</v>
      </c>
      <c r="J497" t="n">
        <v>0</v>
      </c>
      <c r="K497" t="n">
        <v>0</v>
      </c>
      <c r="L497" t="n">
        <v>0</v>
      </c>
      <c r="M497" t="n">
        <v>0</v>
      </c>
      <c r="N497" t="n">
        <v>0</v>
      </c>
      <c r="O497" t="n">
        <v>0</v>
      </c>
      <c r="P497" t="n">
        <v>0</v>
      </c>
      <c r="Q497" t="n">
        <v>0</v>
      </c>
      <c r="R497" s="2" t="inlineStr"/>
    </row>
    <row r="498" ht="15" customHeight="1">
      <c r="A498" t="inlineStr">
        <is>
          <t>A 29634-2023</t>
        </is>
      </c>
      <c r="B498" s="1" t="n">
        <v>45107</v>
      </c>
      <c r="C498" s="1" t="n">
        <v>45672</v>
      </c>
      <c r="D498" t="inlineStr">
        <is>
          <t>NORRBOTTENS LÄN</t>
        </is>
      </c>
      <c r="E498" t="inlineStr">
        <is>
          <t>GÄLLIVARE</t>
        </is>
      </c>
      <c r="F498" t="inlineStr">
        <is>
          <t>SCA</t>
        </is>
      </c>
      <c r="G498" t="n">
        <v>12.1</v>
      </c>
      <c r="H498" t="n">
        <v>0</v>
      </c>
      <c r="I498" t="n">
        <v>0</v>
      </c>
      <c r="J498" t="n">
        <v>0</v>
      </c>
      <c r="K498" t="n">
        <v>0</v>
      </c>
      <c r="L498" t="n">
        <v>0</v>
      </c>
      <c r="M498" t="n">
        <v>0</v>
      </c>
      <c r="N498" t="n">
        <v>0</v>
      </c>
      <c r="O498" t="n">
        <v>0</v>
      </c>
      <c r="P498" t="n">
        <v>0</v>
      </c>
      <c r="Q498" t="n">
        <v>0</v>
      </c>
      <c r="R498" s="2" t="inlineStr"/>
    </row>
    <row r="499" ht="15" customHeight="1">
      <c r="A499" t="inlineStr">
        <is>
          <t>A 30020-2023</t>
        </is>
      </c>
      <c r="B499" s="1" t="n">
        <v>45110</v>
      </c>
      <c r="C499" s="1" t="n">
        <v>45672</v>
      </c>
      <c r="D499" t="inlineStr">
        <is>
          <t>NORRBOTTENS LÄN</t>
        </is>
      </c>
      <c r="E499" t="inlineStr">
        <is>
          <t>GÄLLIVARE</t>
        </is>
      </c>
      <c r="F499" t="inlineStr">
        <is>
          <t>Sveaskog</t>
        </is>
      </c>
      <c r="G499" t="n">
        <v>19.6</v>
      </c>
      <c r="H499" t="n">
        <v>0</v>
      </c>
      <c r="I499" t="n">
        <v>0</v>
      </c>
      <c r="J499" t="n">
        <v>0</v>
      </c>
      <c r="K499" t="n">
        <v>0</v>
      </c>
      <c r="L499" t="n">
        <v>0</v>
      </c>
      <c r="M499" t="n">
        <v>0</v>
      </c>
      <c r="N499" t="n">
        <v>0</v>
      </c>
      <c r="O499" t="n">
        <v>0</v>
      </c>
      <c r="P499" t="n">
        <v>0</v>
      </c>
      <c r="Q499" t="n">
        <v>0</v>
      </c>
      <c r="R499" s="2" t="inlineStr"/>
    </row>
    <row r="500" ht="15" customHeight="1">
      <c r="A500" t="inlineStr">
        <is>
          <t>A 30026-2023</t>
        </is>
      </c>
      <c r="B500" s="1" t="n">
        <v>45110</v>
      </c>
      <c r="C500" s="1" t="n">
        <v>45672</v>
      </c>
      <c r="D500" t="inlineStr">
        <is>
          <t>NORRBOTTENS LÄN</t>
        </is>
      </c>
      <c r="E500" t="inlineStr">
        <is>
          <t>GÄLLIVARE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30384-2023</t>
        </is>
      </c>
      <c r="B501" s="1" t="n">
        <v>45111</v>
      </c>
      <c r="C501" s="1" t="n">
        <v>45672</v>
      </c>
      <c r="D501" t="inlineStr">
        <is>
          <t>NORRBOTTENS LÄN</t>
        </is>
      </c>
      <c r="E501" t="inlineStr">
        <is>
          <t>GÄLLIVARE</t>
        </is>
      </c>
      <c r="G501" t="n">
        <v>1.6</v>
      </c>
      <c r="H501" t="n">
        <v>0</v>
      </c>
      <c r="I501" t="n">
        <v>0</v>
      </c>
      <c r="J501" t="n">
        <v>0</v>
      </c>
      <c r="K501" t="n">
        <v>0</v>
      </c>
      <c r="L501" t="n">
        <v>0</v>
      </c>
      <c r="M501" t="n">
        <v>0</v>
      </c>
      <c r="N501" t="n">
        <v>0</v>
      </c>
      <c r="O501" t="n">
        <v>0</v>
      </c>
      <c r="P501" t="n">
        <v>0</v>
      </c>
      <c r="Q501" t="n">
        <v>0</v>
      </c>
      <c r="R501" s="2" t="inlineStr"/>
    </row>
    <row r="502" ht="15" customHeight="1">
      <c r="A502" t="inlineStr">
        <is>
          <t>A 30383-2023</t>
        </is>
      </c>
      <c r="B502" s="1" t="n">
        <v>45111</v>
      </c>
      <c r="C502" s="1" t="n">
        <v>45672</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30781-2023</t>
        </is>
      </c>
      <c r="B503" s="1" t="n">
        <v>45112</v>
      </c>
      <c r="C503" s="1" t="n">
        <v>45672</v>
      </c>
      <c r="D503" t="inlineStr">
        <is>
          <t>NORRBOTTENS LÄN</t>
        </is>
      </c>
      <c r="E503" t="inlineStr">
        <is>
          <t>GÄLLIVARE</t>
        </is>
      </c>
      <c r="G503" t="n">
        <v>1.1</v>
      </c>
      <c r="H503" t="n">
        <v>0</v>
      </c>
      <c r="I503" t="n">
        <v>0</v>
      </c>
      <c r="J503" t="n">
        <v>0</v>
      </c>
      <c r="K503" t="n">
        <v>0</v>
      </c>
      <c r="L503" t="n">
        <v>0</v>
      </c>
      <c r="M503" t="n">
        <v>0</v>
      </c>
      <c r="N503" t="n">
        <v>0</v>
      </c>
      <c r="O503" t="n">
        <v>0</v>
      </c>
      <c r="P503" t="n">
        <v>0</v>
      </c>
      <c r="Q503" t="n">
        <v>0</v>
      </c>
      <c r="R503" s="2" t="inlineStr"/>
    </row>
    <row r="504" ht="15" customHeight="1">
      <c r="A504" t="inlineStr">
        <is>
          <t>A 30851-2023</t>
        </is>
      </c>
      <c r="B504" s="1" t="n">
        <v>45112</v>
      </c>
      <c r="C504" s="1" t="n">
        <v>45672</v>
      </c>
      <c r="D504" t="inlineStr">
        <is>
          <t>NORRBOTTENS LÄN</t>
        </is>
      </c>
      <c r="E504" t="inlineStr">
        <is>
          <t>GÄLLIVARE</t>
        </is>
      </c>
      <c r="F504" t="inlineStr">
        <is>
          <t>SCA</t>
        </is>
      </c>
      <c r="G504" t="n">
        <v>28.4</v>
      </c>
      <c r="H504" t="n">
        <v>0</v>
      </c>
      <c r="I504" t="n">
        <v>0</v>
      </c>
      <c r="J504" t="n">
        <v>0</v>
      </c>
      <c r="K504" t="n">
        <v>0</v>
      </c>
      <c r="L504" t="n">
        <v>0</v>
      </c>
      <c r="M504" t="n">
        <v>0</v>
      </c>
      <c r="N504" t="n">
        <v>0</v>
      </c>
      <c r="O504" t="n">
        <v>0</v>
      </c>
      <c r="P504" t="n">
        <v>0</v>
      </c>
      <c r="Q504" t="n">
        <v>0</v>
      </c>
      <c r="R504" s="2" t="inlineStr"/>
    </row>
    <row r="505" ht="15" customHeight="1">
      <c r="A505" t="inlineStr">
        <is>
          <t>A 33382-2023</t>
        </is>
      </c>
      <c r="B505" s="1" t="n">
        <v>45117</v>
      </c>
      <c r="C505" s="1" t="n">
        <v>45672</v>
      </c>
      <c r="D505" t="inlineStr">
        <is>
          <t>NORRBOTTENS LÄN</t>
        </is>
      </c>
      <c r="E505" t="inlineStr">
        <is>
          <t>GÄLLIVARE</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33373-2023</t>
        </is>
      </c>
      <c r="B506" s="1" t="n">
        <v>45117</v>
      </c>
      <c r="C506" s="1" t="n">
        <v>45672</v>
      </c>
      <c r="D506" t="inlineStr">
        <is>
          <t>NORRBOTTENS LÄN</t>
        </is>
      </c>
      <c r="E506" t="inlineStr">
        <is>
          <t>GÄLLIVARE</t>
        </is>
      </c>
      <c r="F506" t="inlineStr">
        <is>
          <t>Allmännings- och besparingsskogar</t>
        </is>
      </c>
      <c r="G506" t="n">
        <v>3</v>
      </c>
      <c r="H506" t="n">
        <v>0</v>
      </c>
      <c r="I506" t="n">
        <v>0</v>
      </c>
      <c r="J506" t="n">
        <v>0</v>
      </c>
      <c r="K506" t="n">
        <v>0</v>
      </c>
      <c r="L506" t="n">
        <v>0</v>
      </c>
      <c r="M506" t="n">
        <v>0</v>
      </c>
      <c r="N506" t="n">
        <v>0</v>
      </c>
      <c r="O506" t="n">
        <v>0</v>
      </c>
      <c r="P506" t="n">
        <v>0</v>
      </c>
      <c r="Q506" t="n">
        <v>0</v>
      </c>
      <c r="R506" s="2" t="inlineStr"/>
    </row>
    <row r="507" ht="15" customHeight="1">
      <c r="A507" t="inlineStr">
        <is>
          <t>A 33392-2023</t>
        </is>
      </c>
      <c r="B507" s="1" t="n">
        <v>45117</v>
      </c>
      <c r="C507" s="1" t="n">
        <v>45672</v>
      </c>
      <c r="D507" t="inlineStr">
        <is>
          <t>NORRBOTTENS LÄN</t>
        </is>
      </c>
      <c r="E507" t="inlineStr">
        <is>
          <t>GÄLLIVARE</t>
        </is>
      </c>
      <c r="F507" t="inlineStr">
        <is>
          <t>Allmännings- och besparingsskogar</t>
        </is>
      </c>
      <c r="G507" t="n">
        <v>4.2</v>
      </c>
      <c r="H507" t="n">
        <v>0</v>
      </c>
      <c r="I507" t="n">
        <v>0</v>
      </c>
      <c r="J507" t="n">
        <v>0</v>
      </c>
      <c r="K507" t="n">
        <v>0</v>
      </c>
      <c r="L507" t="n">
        <v>0</v>
      </c>
      <c r="M507" t="n">
        <v>0</v>
      </c>
      <c r="N507" t="n">
        <v>0</v>
      </c>
      <c r="O507" t="n">
        <v>0</v>
      </c>
      <c r="P507" t="n">
        <v>0</v>
      </c>
      <c r="Q507" t="n">
        <v>0</v>
      </c>
      <c r="R507" s="2" t="inlineStr"/>
    </row>
    <row r="508" ht="15" customHeight="1">
      <c r="A508" t="inlineStr">
        <is>
          <t>A 33390-2023</t>
        </is>
      </c>
      <c r="B508" s="1" t="n">
        <v>45117</v>
      </c>
      <c r="C508" s="1" t="n">
        <v>45672</v>
      </c>
      <c r="D508" t="inlineStr">
        <is>
          <t>NORRBOTTENS LÄN</t>
        </is>
      </c>
      <c r="E508" t="inlineStr">
        <is>
          <t>GÄLLIVARE</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33847-2023</t>
        </is>
      </c>
      <c r="B509" s="1" t="n">
        <v>45121</v>
      </c>
      <c r="C509" s="1" t="n">
        <v>45672</v>
      </c>
      <c r="D509" t="inlineStr">
        <is>
          <t>NORRBOTTENS LÄN</t>
        </is>
      </c>
      <c r="E509" t="inlineStr">
        <is>
          <t>GÄLLIVARE</t>
        </is>
      </c>
      <c r="F509" t="inlineStr">
        <is>
          <t>Övriga statliga verk och myndigheter</t>
        </is>
      </c>
      <c r="G509" t="n">
        <v>3</v>
      </c>
      <c r="H509" t="n">
        <v>0</v>
      </c>
      <c r="I509" t="n">
        <v>0</v>
      </c>
      <c r="J509" t="n">
        <v>0</v>
      </c>
      <c r="K509" t="n">
        <v>0</v>
      </c>
      <c r="L509" t="n">
        <v>0</v>
      </c>
      <c r="M509" t="n">
        <v>0</v>
      </c>
      <c r="N509" t="n">
        <v>0</v>
      </c>
      <c r="O509" t="n">
        <v>0</v>
      </c>
      <c r="P509" t="n">
        <v>0</v>
      </c>
      <c r="Q509" t="n">
        <v>0</v>
      </c>
      <c r="R509" s="2" t="inlineStr"/>
    </row>
    <row r="510" ht="15" customHeight="1">
      <c r="A510" t="inlineStr">
        <is>
          <t>A 33182-2023</t>
        </is>
      </c>
      <c r="B510" s="1" t="n">
        <v>45127</v>
      </c>
      <c r="C510" s="1" t="n">
        <v>45672</v>
      </c>
      <c r="D510" t="inlineStr">
        <is>
          <t>NORRBOTTENS LÄN</t>
        </is>
      </c>
      <c r="E510" t="inlineStr">
        <is>
          <t>GÄLLIVARE</t>
        </is>
      </c>
      <c r="F510" t="inlineStr">
        <is>
          <t>Sveaskog</t>
        </is>
      </c>
      <c r="G510" t="n">
        <v>40.3</v>
      </c>
      <c r="H510" t="n">
        <v>0</v>
      </c>
      <c r="I510" t="n">
        <v>0</v>
      </c>
      <c r="J510" t="n">
        <v>0</v>
      </c>
      <c r="K510" t="n">
        <v>0</v>
      </c>
      <c r="L510" t="n">
        <v>0</v>
      </c>
      <c r="M510" t="n">
        <v>0</v>
      </c>
      <c r="N510" t="n">
        <v>0</v>
      </c>
      <c r="O510" t="n">
        <v>0</v>
      </c>
      <c r="P510" t="n">
        <v>0</v>
      </c>
      <c r="Q510" t="n">
        <v>0</v>
      </c>
      <c r="R510" s="2" t="inlineStr"/>
    </row>
    <row r="511" ht="15" customHeight="1">
      <c r="A511" t="inlineStr">
        <is>
          <t>A 34139-2023</t>
        </is>
      </c>
      <c r="B511" s="1" t="n">
        <v>45136</v>
      </c>
      <c r="C511" s="1" t="n">
        <v>45672</v>
      </c>
      <c r="D511" t="inlineStr">
        <is>
          <t>NORRBOTTENS LÄN</t>
        </is>
      </c>
      <c r="E511" t="inlineStr">
        <is>
          <t>GÄLLIVARE</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34173-2023</t>
        </is>
      </c>
      <c r="B512" s="1" t="n">
        <v>45138</v>
      </c>
      <c r="C512" s="1" t="n">
        <v>45672</v>
      </c>
      <c r="D512" t="inlineStr">
        <is>
          <t>NORRBOTTENS LÄN</t>
        </is>
      </c>
      <c r="E512" t="inlineStr">
        <is>
          <t>GÄLLIVARE</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34625-2023</t>
        </is>
      </c>
      <c r="B513" s="1" t="n">
        <v>45140</v>
      </c>
      <c r="C513" s="1" t="n">
        <v>45672</v>
      </c>
      <c r="D513" t="inlineStr">
        <is>
          <t>NORRBOTTENS LÄN</t>
        </is>
      </c>
      <c r="E513" t="inlineStr">
        <is>
          <t>GÄLLIVARE</t>
        </is>
      </c>
      <c r="F513" t="inlineStr">
        <is>
          <t>Sveaskog</t>
        </is>
      </c>
      <c r="G513" t="n">
        <v>22.6</v>
      </c>
      <c r="H513" t="n">
        <v>0</v>
      </c>
      <c r="I513" t="n">
        <v>0</v>
      </c>
      <c r="J513" t="n">
        <v>0</v>
      </c>
      <c r="K513" t="n">
        <v>0</v>
      </c>
      <c r="L513" t="n">
        <v>0</v>
      </c>
      <c r="M513" t="n">
        <v>0</v>
      </c>
      <c r="N513" t="n">
        <v>0</v>
      </c>
      <c r="O513" t="n">
        <v>0</v>
      </c>
      <c r="P513" t="n">
        <v>0</v>
      </c>
      <c r="Q513" t="n">
        <v>0</v>
      </c>
      <c r="R513" s="2" t="inlineStr"/>
    </row>
    <row r="514" ht="15" customHeight="1">
      <c r="A514" t="inlineStr">
        <is>
          <t>A 34622-2023</t>
        </is>
      </c>
      <c r="B514" s="1" t="n">
        <v>45140</v>
      </c>
      <c r="C514" s="1" t="n">
        <v>45672</v>
      </c>
      <c r="D514" t="inlineStr">
        <is>
          <t>NORRBOTTENS LÄN</t>
        </is>
      </c>
      <c r="E514" t="inlineStr">
        <is>
          <t>GÄLLIVARE</t>
        </is>
      </c>
      <c r="F514" t="inlineStr">
        <is>
          <t>Sveaskog</t>
        </is>
      </c>
      <c r="G514" t="n">
        <v>31.4</v>
      </c>
      <c r="H514" t="n">
        <v>0</v>
      </c>
      <c r="I514" t="n">
        <v>0</v>
      </c>
      <c r="J514" t="n">
        <v>0</v>
      </c>
      <c r="K514" t="n">
        <v>0</v>
      </c>
      <c r="L514" t="n">
        <v>0</v>
      </c>
      <c r="M514" t="n">
        <v>0</v>
      </c>
      <c r="N514" t="n">
        <v>0</v>
      </c>
      <c r="O514" t="n">
        <v>0</v>
      </c>
      <c r="P514" t="n">
        <v>0</v>
      </c>
      <c r="Q514" t="n">
        <v>0</v>
      </c>
      <c r="R514" s="2" t="inlineStr"/>
    </row>
    <row r="515" ht="15" customHeight="1">
      <c r="A515" t="inlineStr">
        <is>
          <t>A 34900-2023</t>
        </is>
      </c>
      <c r="B515" s="1" t="n">
        <v>45142</v>
      </c>
      <c r="C515" s="1" t="n">
        <v>45672</v>
      </c>
      <c r="D515" t="inlineStr">
        <is>
          <t>NORRBOTTENS LÄN</t>
        </is>
      </c>
      <c r="E515" t="inlineStr">
        <is>
          <t>GÄLLIVARE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35362-2023</t>
        </is>
      </c>
      <c r="B516" s="1" t="n">
        <v>45146</v>
      </c>
      <c r="C516" s="1" t="n">
        <v>45672</v>
      </c>
      <c r="D516" t="inlineStr">
        <is>
          <t>NORRBOTTENS LÄN</t>
        </is>
      </c>
      <c r="E516" t="inlineStr">
        <is>
          <t>GÄLLIVARE</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35730-2023</t>
        </is>
      </c>
      <c r="B517" s="1" t="n">
        <v>45147</v>
      </c>
      <c r="C517" s="1" t="n">
        <v>45672</v>
      </c>
      <c r="D517" t="inlineStr">
        <is>
          <t>NORRBOTTENS LÄN</t>
        </is>
      </c>
      <c r="E517" t="inlineStr">
        <is>
          <t>GÄLLIVARE</t>
        </is>
      </c>
      <c r="G517" t="n">
        <v>0.4</v>
      </c>
      <c r="H517" t="n">
        <v>0</v>
      </c>
      <c r="I517" t="n">
        <v>0</v>
      </c>
      <c r="J517" t="n">
        <v>0</v>
      </c>
      <c r="K517" t="n">
        <v>0</v>
      </c>
      <c r="L517" t="n">
        <v>0</v>
      </c>
      <c r="M517" t="n">
        <v>0</v>
      </c>
      <c r="N517" t="n">
        <v>0</v>
      </c>
      <c r="O517" t="n">
        <v>0</v>
      </c>
      <c r="P517" t="n">
        <v>0</v>
      </c>
      <c r="Q517" t="n">
        <v>0</v>
      </c>
      <c r="R517" s="2" t="inlineStr"/>
    </row>
    <row r="518" ht="15" customHeight="1">
      <c r="A518" t="inlineStr">
        <is>
          <t>A 36014-2023</t>
        </is>
      </c>
      <c r="B518" s="1" t="n">
        <v>45148</v>
      </c>
      <c r="C518" s="1" t="n">
        <v>45672</v>
      </c>
      <c r="D518" t="inlineStr">
        <is>
          <t>NORRBOTTENS LÄN</t>
        </is>
      </c>
      <c r="E518" t="inlineStr">
        <is>
          <t>GÄLLIVARE</t>
        </is>
      </c>
      <c r="F518" t="inlineStr">
        <is>
          <t>Allmännings- och besparingsskogar</t>
        </is>
      </c>
      <c r="G518" t="n">
        <v>9.9</v>
      </c>
      <c r="H518" t="n">
        <v>0</v>
      </c>
      <c r="I518" t="n">
        <v>0</v>
      </c>
      <c r="J518" t="n">
        <v>0</v>
      </c>
      <c r="K518" t="n">
        <v>0</v>
      </c>
      <c r="L518" t="n">
        <v>0</v>
      </c>
      <c r="M518" t="n">
        <v>0</v>
      </c>
      <c r="N518" t="n">
        <v>0</v>
      </c>
      <c r="O518" t="n">
        <v>0</v>
      </c>
      <c r="P518" t="n">
        <v>0</v>
      </c>
      <c r="Q518" t="n">
        <v>0</v>
      </c>
      <c r="R518" s="2" t="inlineStr"/>
    </row>
    <row r="519" ht="15" customHeight="1">
      <c r="A519" t="inlineStr">
        <is>
          <t>A 36039-2023</t>
        </is>
      </c>
      <c r="B519" s="1" t="n">
        <v>45148</v>
      </c>
      <c r="C519" s="1" t="n">
        <v>45672</v>
      </c>
      <c r="D519" t="inlineStr">
        <is>
          <t>NORRBOTTENS LÄN</t>
        </is>
      </c>
      <c r="E519" t="inlineStr">
        <is>
          <t>GÄLLIVARE</t>
        </is>
      </c>
      <c r="F519" t="inlineStr">
        <is>
          <t>Allmännings- och besparingsskogar</t>
        </is>
      </c>
      <c r="G519" t="n">
        <v>24.3</v>
      </c>
      <c r="H519" t="n">
        <v>0</v>
      </c>
      <c r="I519" t="n">
        <v>0</v>
      </c>
      <c r="J519" t="n">
        <v>0</v>
      </c>
      <c r="K519" t="n">
        <v>0</v>
      </c>
      <c r="L519" t="n">
        <v>0</v>
      </c>
      <c r="M519" t="n">
        <v>0</v>
      </c>
      <c r="N519" t="n">
        <v>0</v>
      </c>
      <c r="O519" t="n">
        <v>0</v>
      </c>
      <c r="P519" t="n">
        <v>0</v>
      </c>
      <c r="Q519" t="n">
        <v>0</v>
      </c>
      <c r="R519" s="2" t="inlineStr"/>
    </row>
    <row r="520" ht="15" customHeight="1">
      <c r="A520" t="inlineStr">
        <is>
          <t>A 36245-2023</t>
        </is>
      </c>
      <c r="B520" s="1" t="n">
        <v>45150</v>
      </c>
      <c r="C520" s="1" t="n">
        <v>45672</v>
      </c>
      <c r="D520" t="inlineStr">
        <is>
          <t>NORRBOTTENS LÄN</t>
        </is>
      </c>
      <c r="E520" t="inlineStr">
        <is>
          <t>GÄLLIVARE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36249-2023</t>
        </is>
      </c>
      <c r="B521" s="1" t="n">
        <v>45151</v>
      </c>
      <c r="C521" s="1" t="n">
        <v>45672</v>
      </c>
      <c r="D521" t="inlineStr">
        <is>
          <t>NORRBOTTENS LÄN</t>
        </is>
      </c>
      <c r="E521" t="inlineStr">
        <is>
          <t>GÄLLIVARE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36242-2023</t>
        </is>
      </c>
      <c r="B522" s="1" t="n">
        <v>45150</v>
      </c>
      <c r="C522" s="1" t="n">
        <v>45672</v>
      </c>
      <c r="D522" t="inlineStr">
        <is>
          <t>NORRBOTTENS LÄN</t>
        </is>
      </c>
      <c r="E522" t="inlineStr">
        <is>
          <t>GÄLLIVARE</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36247-2023</t>
        </is>
      </c>
      <c r="B523" s="1" t="n">
        <v>45151</v>
      </c>
      <c r="C523" s="1" t="n">
        <v>45672</v>
      </c>
      <c r="D523" t="inlineStr">
        <is>
          <t>NORRBOTTENS LÄN</t>
        </is>
      </c>
      <c r="E523" t="inlineStr">
        <is>
          <t>GÄLLIVARE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36251-2023</t>
        </is>
      </c>
      <c r="B524" s="1" t="n">
        <v>45151</v>
      </c>
      <c r="C524" s="1" t="n">
        <v>45672</v>
      </c>
      <c r="D524" t="inlineStr">
        <is>
          <t>NORRBOTTENS LÄN</t>
        </is>
      </c>
      <c r="E524" t="inlineStr">
        <is>
          <t>GÄLLIVARE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36244-2023</t>
        </is>
      </c>
      <c r="B525" s="1" t="n">
        <v>45150</v>
      </c>
      <c r="C525" s="1" t="n">
        <v>45672</v>
      </c>
      <c r="D525" t="inlineStr">
        <is>
          <t>NORRBOTTENS LÄN</t>
        </is>
      </c>
      <c r="E525" t="inlineStr">
        <is>
          <t>GÄLLIVARE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45672</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36250-2023</t>
        </is>
      </c>
      <c r="B527" s="1" t="n">
        <v>45151</v>
      </c>
      <c r="C527" s="1" t="n">
        <v>45672</v>
      </c>
      <c r="D527" t="inlineStr">
        <is>
          <t>NORRBOTTENS LÄN</t>
        </is>
      </c>
      <c r="E527" t="inlineStr">
        <is>
          <t>GÄLLIVARE</t>
        </is>
      </c>
      <c r="F527" t="inlineStr">
        <is>
          <t>SCA</t>
        </is>
      </c>
      <c r="G527" t="n">
        <v>14.6</v>
      </c>
      <c r="H527" t="n">
        <v>0</v>
      </c>
      <c r="I527" t="n">
        <v>0</v>
      </c>
      <c r="J527" t="n">
        <v>0</v>
      </c>
      <c r="K527" t="n">
        <v>0</v>
      </c>
      <c r="L527" t="n">
        <v>0</v>
      </c>
      <c r="M527" t="n">
        <v>0</v>
      </c>
      <c r="N527" t="n">
        <v>0</v>
      </c>
      <c r="O527" t="n">
        <v>0</v>
      </c>
      <c r="P527" t="n">
        <v>0</v>
      </c>
      <c r="Q527" t="n">
        <v>0</v>
      </c>
      <c r="R527" s="2" t="inlineStr"/>
    </row>
    <row r="528" ht="15" customHeight="1">
      <c r="A528" t="inlineStr">
        <is>
          <t>A 36322-2023</t>
        </is>
      </c>
      <c r="B528" s="1" t="n">
        <v>45152</v>
      </c>
      <c r="C528" s="1" t="n">
        <v>45672</v>
      </c>
      <c r="D528" t="inlineStr">
        <is>
          <t>NORRBOTTENS LÄN</t>
        </is>
      </c>
      <c r="E528" t="inlineStr">
        <is>
          <t>GÄLLIVARE</t>
        </is>
      </c>
      <c r="F528" t="inlineStr">
        <is>
          <t>Allmännings- och besparingsskogar</t>
        </is>
      </c>
      <c r="G528" t="n">
        <v>36.8</v>
      </c>
      <c r="H528" t="n">
        <v>0</v>
      </c>
      <c r="I528" t="n">
        <v>0</v>
      </c>
      <c r="J528" t="n">
        <v>0</v>
      </c>
      <c r="K528" t="n">
        <v>0</v>
      </c>
      <c r="L528" t="n">
        <v>0</v>
      </c>
      <c r="M528" t="n">
        <v>0</v>
      </c>
      <c r="N528" t="n">
        <v>0</v>
      </c>
      <c r="O528" t="n">
        <v>0</v>
      </c>
      <c r="P528" t="n">
        <v>0</v>
      </c>
      <c r="Q528" t="n">
        <v>0</v>
      </c>
      <c r="R528" s="2" t="inlineStr"/>
    </row>
    <row r="529" ht="15" customHeight="1">
      <c r="A529" t="inlineStr">
        <is>
          <t>A 36587-2023</t>
        </is>
      </c>
      <c r="B529" s="1" t="n">
        <v>45153</v>
      </c>
      <c r="C529" s="1" t="n">
        <v>45672</v>
      </c>
      <c r="D529" t="inlineStr">
        <is>
          <t>NORRBOTTENS LÄN</t>
        </is>
      </c>
      <c r="E529" t="inlineStr">
        <is>
          <t>GÄLLIVARE</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36612-2023</t>
        </is>
      </c>
      <c r="B530" s="1" t="n">
        <v>45153</v>
      </c>
      <c r="C530" s="1" t="n">
        <v>45672</v>
      </c>
      <c r="D530" t="inlineStr">
        <is>
          <t>NORRBOTTENS LÄN</t>
        </is>
      </c>
      <c r="E530" t="inlineStr">
        <is>
          <t>GÄLLIVARE</t>
        </is>
      </c>
      <c r="F530" t="inlineStr">
        <is>
          <t>Sveaskog</t>
        </is>
      </c>
      <c r="G530" t="n">
        <v>27.5</v>
      </c>
      <c r="H530" t="n">
        <v>0</v>
      </c>
      <c r="I530" t="n">
        <v>0</v>
      </c>
      <c r="J530" t="n">
        <v>0</v>
      </c>
      <c r="K530" t="n">
        <v>0</v>
      </c>
      <c r="L530" t="n">
        <v>0</v>
      </c>
      <c r="M530" t="n">
        <v>0</v>
      </c>
      <c r="N530" t="n">
        <v>0</v>
      </c>
      <c r="O530" t="n">
        <v>0</v>
      </c>
      <c r="P530" t="n">
        <v>0</v>
      </c>
      <c r="Q530" t="n">
        <v>0</v>
      </c>
      <c r="R530" s="2" t="inlineStr"/>
    </row>
    <row r="531" ht="15" customHeight="1">
      <c r="A531" t="inlineStr">
        <is>
          <t>A 36591-2023</t>
        </is>
      </c>
      <c r="B531" s="1" t="n">
        <v>45153</v>
      </c>
      <c r="C531" s="1" t="n">
        <v>45672</v>
      </c>
      <c r="D531" t="inlineStr">
        <is>
          <t>NORRBOTTENS LÄN</t>
        </is>
      </c>
      <c r="E531" t="inlineStr">
        <is>
          <t>GÄLLIVARE</t>
        </is>
      </c>
      <c r="F531" t="inlineStr">
        <is>
          <t>Sveaskog</t>
        </is>
      </c>
      <c r="G531" t="n">
        <v>8.5</v>
      </c>
      <c r="H531" t="n">
        <v>0</v>
      </c>
      <c r="I531" t="n">
        <v>0</v>
      </c>
      <c r="J531" t="n">
        <v>0</v>
      </c>
      <c r="K531" t="n">
        <v>0</v>
      </c>
      <c r="L531" t="n">
        <v>0</v>
      </c>
      <c r="M531" t="n">
        <v>0</v>
      </c>
      <c r="N531" t="n">
        <v>0</v>
      </c>
      <c r="O531" t="n">
        <v>0</v>
      </c>
      <c r="P531" t="n">
        <v>0</v>
      </c>
      <c r="Q531" t="n">
        <v>0</v>
      </c>
      <c r="R531" s="2" t="inlineStr"/>
    </row>
    <row r="532" ht="15" customHeight="1">
      <c r="A532" t="inlineStr">
        <is>
          <t>A 36602-2023</t>
        </is>
      </c>
      <c r="B532" s="1" t="n">
        <v>45153</v>
      </c>
      <c r="C532" s="1" t="n">
        <v>45672</v>
      </c>
      <c r="D532" t="inlineStr">
        <is>
          <t>NORRBOTTENS LÄN</t>
        </is>
      </c>
      <c r="E532" t="inlineStr">
        <is>
          <t>GÄLLIVARE</t>
        </is>
      </c>
      <c r="F532" t="inlineStr">
        <is>
          <t>Sveaskog</t>
        </is>
      </c>
      <c r="G532" t="n">
        <v>8.6</v>
      </c>
      <c r="H532" t="n">
        <v>0</v>
      </c>
      <c r="I532" t="n">
        <v>0</v>
      </c>
      <c r="J532" t="n">
        <v>0</v>
      </c>
      <c r="K532" t="n">
        <v>0</v>
      </c>
      <c r="L532" t="n">
        <v>0</v>
      </c>
      <c r="M532" t="n">
        <v>0</v>
      </c>
      <c r="N532" t="n">
        <v>0</v>
      </c>
      <c r="O532" t="n">
        <v>0</v>
      </c>
      <c r="P532" t="n">
        <v>0</v>
      </c>
      <c r="Q532" t="n">
        <v>0</v>
      </c>
      <c r="R532" s="2" t="inlineStr"/>
    </row>
    <row r="533" ht="15" customHeight="1">
      <c r="A533" t="inlineStr">
        <is>
          <t>A 36881-2023</t>
        </is>
      </c>
      <c r="B533" s="1" t="n">
        <v>45154</v>
      </c>
      <c r="C533" s="1" t="n">
        <v>45672</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36969-2023</t>
        </is>
      </c>
      <c r="B534" s="1" t="n">
        <v>45155</v>
      </c>
      <c r="C534" s="1" t="n">
        <v>45672</v>
      </c>
      <c r="D534" t="inlineStr">
        <is>
          <t>NORRBOTTENS LÄN</t>
        </is>
      </c>
      <c r="E534" t="inlineStr">
        <is>
          <t>GÄLLIVARE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36980-2023</t>
        </is>
      </c>
      <c r="B535" s="1" t="n">
        <v>45155</v>
      </c>
      <c r="C535" s="1" t="n">
        <v>45672</v>
      </c>
      <c r="D535" t="inlineStr">
        <is>
          <t>NORRBOTTENS LÄN</t>
        </is>
      </c>
      <c r="E535" t="inlineStr">
        <is>
          <t>GÄLLIVARE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36984-2023</t>
        </is>
      </c>
      <c r="B536" s="1" t="n">
        <v>45155</v>
      </c>
      <c r="C536" s="1" t="n">
        <v>45672</v>
      </c>
      <c r="D536" t="inlineStr">
        <is>
          <t>NORRBOTTENS LÄN</t>
        </is>
      </c>
      <c r="E536" t="inlineStr">
        <is>
          <t>GÄLLIVARE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36978-2023</t>
        </is>
      </c>
      <c r="B537" s="1" t="n">
        <v>45155</v>
      </c>
      <c r="C537" s="1" t="n">
        <v>45672</v>
      </c>
      <c r="D537" t="inlineStr">
        <is>
          <t>NORRBOTTENS LÄN</t>
        </is>
      </c>
      <c r="E537" t="inlineStr">
        <is>
          <t>GÄLLIVARE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36979-2023</t>
        </is>
      </c>
      <c r="B538" s="1" t="n">
        <v>45155</v>
      </c>
      <c r="C538" s="1" t="n">
        <v>45672</v>
      </c>
      <c r="D538" t="inlineStr">
        <is>
          <t>NORRBOTTENS LÄN</t>
        </is>
      </c>
      <c r="E538" t="inlineStr">
        <is>
          <t>GÄLLIVARE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36983-2023</t>
        </is>
      </c>
      <c r="B539" s="1" t="n">
        <v>45155</v>
      </c>
      <c r="C539" s="1" t="n">
        <v>45672</v>
      </c>
      <c r="D539" t="inlineStr">
        <is>
          <t>NORRBOTTENS LÄN</t>
        </is>
      </c>
      <c r="E539" t="inlineStr">
        <is>
          <t>GÄLLIVARE</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37819-2023</t>
        </is>
      </c>
      <c r="B540" s="1" t="n">
        <v>45160</v>
      </c>
      <c r="C540" s="1" t="n">
        <v>45672</v>
      </c>
      <c r="D540" t="inlineStr">
        <is>
          <t>NORRBOTTENS LÄN</t>
        </is>
      </c>
      <c r="E540" t="inlineStr">
        <is>
          <t>GÄLLIVARE</t>
        </is>
      </c>
      <c r="F540" t="inlineStr">
        <is>
          <t>Sveaskog</t>
        </is>
      </c>
      <c r="G540" t="n">
        <v>30.4</v>
      </c>
      <c r="H540" t="n">
        <v>0</v>
      </c>
      <c r="I540" t="n">
        <v>0</v>
      </c>
      <c r="J540" t="n">
        <v>0</v>
      </c>
      <c r="K540" t="n">
        <v>0</v>
      </c>
      <c r="L540" t="n">
        <v>0</v>
      </c>
      <c r="M540" t="n">
        <v>0</v>
      </c>
      <c r="N540" t="n">
        <v>0</v>
      </c>
      <c r="O540" t="n">
        <v>0</v>
      </c>
      <c r="P540" t="n">
        <v>0</v>
      </c>
      <c r="Q540" t="n">
        <v>0</v>
      </c>
      <c r="R540" s="2" t="inlineStr"/>
    </row>
    <row r="541" ht="15" customHeight="1">
      <c r="A541" t="inlineStr">
        <is>
          <t>A 37818-2023</t>
        </is>
      </c>
      <c r="B541" s="1" t="n">
        <v>45160</v>
      </c>
      <c r="C541" s="1" t="n">
        <v>45672</v>
      </c>
      <c r="D541" t="inlineStr">
        <is>
          <t>NORRBOTTENS LÄN</t>
        </is>
      </c>
      <c r="E541" t="inlineStr">
        <is>
          <t>GÄLLIVARE</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38426-2023</t>
        </is>
      </c>
      <c r="B542" s="1" t="n">
        <v>45162</v>
      </c>
      <c r="C542" s="1" t="n">
        <v>45672</v>
      </c>
      <c r="D542" t="inlineStr">
        <is>
          <t>NORRBOTTENS LÄN</t>
        </is>
      </c>
      <c r="E542" t="inlineStr">
        <is>
          <t>GÄLLIVARE</t>
        </is>
      </c>
      <c r="F542" t="inlineStr">
        <is>
          <t>Sveaskog</t>
        </is>
      </c>
      <c r="G542" t="n">
        <v>13.9</v>
      </c>
      <c r="H542" t="n">
        <v>0</v>
      </c>
      <c r="I542" t="n">
        <v>0</v>
      </c>
      <c r="J542" t="n">
        <v>0</v>
      </c>
      <c r="K542" t="n">
        <v>0</v>
      </c>
      <c r="L542" t="n">
        <v>0</v>
      </c>
      <c r="M542" t="n">
        <v>0</v>
      </c>
      <c r="N542" t="n">
        <v>0</v>
      </c>
      <c r="O542" t="n">
        <v>0</v>
      </c>
      <c r="P542" t="n">
        <v>0</v>
      </c>
      <c r="Q542" t="n">
        <v>0</v>
      </c>
      <c r="R542" s="2" t="inlineStr"/>
    </row>
    <row r="543" ht="15" customHeight="1">
      <c r="A543" t="inlineStr">
        <is>
          <t>A 38406-2023</t>
        </is>
      </c>
      <c r="B543" s="1" t="n">
        <v>45162</v>
      </c>
      <c r="C543" s="1" t="n">
        <v>45672</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38598-2023</t>
        </is>
      </c>
      <c r="B544" s="1" t="n">
        <v>45162</v>
      </c>
      <c r="C544" s="1" t="n">
        <v>45672</v>
      </c>
      <c r="D544" t="inlineStr">
        <is>
          <t>NORRBOTTENS LÄN</t>
        </is>
      </c>
      <c r="E544" t="inlineStr">
        <is>
          <t>GÄLLIVARE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39057-2023</t>
        </is>
      </c>
      <c r="B545" s="1" t="n">
        <v>45163</v>
      </c>
      <c r="C545" s="1" t="n">
        <v>45672</v>
      </c>
      <c r="D545" t="inlineStr">
        <is>
          <t>NORRBOTTENS LÄN</t>
        </is>
      </c>
      <c r="E545" t="inlineStr">
        <is>
          <t>GÄLLIVARE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39056-2023</t>
        </is>
      </c>
      <c r="B546" s="1" t="n">
        <v>45163</v>
      </c>
      <c r="C546" s="1" t="n">
        <v>45672</v>
      </c>
      <c r="D546" t="inlineStr">
        <is>
          <t>NORRBOTTENS LÄN</t>
        </is>
      </c>
      <c r="E546" t="inlineStr">
        <is>
          <t>GÄLLIVARE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39060-2023</t>
        </is>
      </c>
      <c r="B547" s="1" t="n">
        <v>45163</v>
      </c>
      <c r="C547" s="1" t="n">
        <v>45672</v>
      </c>
      <c r="D547" t="inlineStr">
        <is>
          <t>NORRBOTTENS LÄN</t>
        </is>
      </c>
      <c r="E547" t="inlineStr">
        <is>
          <t>GÄLLIVARE</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40498-2023</t>
        </is>
      </c>
      <c r="B548" s="1" t="n">
        <v>45170</v>
      </c>
      <c r="C548" s="1" t="n">
        <v>45672</v>
      </c>
      <c r="D548" t="inlineStr">
        <is>
          <t>NORRBOTTENS LÄN</t>
        </is>
      </c>
      <c r="E548" t="inlineStr">
        <is>
          <t>GÄLLIVARE</t>
        </is>
      </c>
      <c r="F548" t="inlineStr">
        <is>
          <t>Sveaskog</t>
        </is>
      </c>
      <c r="G548" t="n">
        <v>7.2</v>
      </c>
      <c r="H548" t="n">
        <v>0</v>
      </c>
      <c r="I548" t="n">
        <v>0</v>
      </c>
      <c r="J548" t="n">
        <v>0</v>
      </c>
      <c r="K548" t="n">
        <v>0</v>
      </c>
      <c r="L548" t="n">
        <v>0</v>
      </c>
      <c r="M548" t="n">
        <v>0</v>
      </c>
      <c r="N548" t="n">
        <v>0</v>
      </c>
      <c r="O548" t="n">
        <v>0</v>
      </c>
      <c r="P548" t="n">
        <v>0</v>
      </c>
      <c r="Q548" t="n">
        <v>0</v>
      </c>
      <c r="R548" s="2" t="inlineStr"/>
    </row>
    <row r="549" ht="15" customHeight="1">
      <c r="A549" t="inlineStr">
        <is>
          <t>A 40492-2023</t>
        </is>
      </c>
      <c r="B549" s="1" t="n">
        <v>45170</v>
      </c>
      <c r="C549" s="1" t="n">
        <v>45672</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40816-2023</t>
        </is>
      </c>
      <c r="B550" s="1" t="n">
        <v>45171</v>
      </c>
      <c r="C550" s="1" t="n">
        <v>45672</v>
      </c>
      <c r="D550" t="inlineStr">
        <is>
          <t>NORRBOTTENS LÄN</t>
        </is>
      </c>
      <c r="E550" t="inlineStr">
        <is>
          <t>GÄLLIVARE</t>
        </is>
      </c>
      <c r="F550" t="inlineStr">
        <is>
          <t>Sveaskog</t>
        </is>
      </c>
      <c r="G550" t="n">
        <v>7.7</v>
      </c>
      <c r="H550" t="n">
        <v>0</v>
      </c>
      <c r="I550" t="n">
        <v>0</v>
      </c>
      <c r="J550" t="n">
        <v>0</v>
      </c>
      <c r="K550" t="n">
        <v>0</v>
      </c>
      <c r="L550" t="n">
        <v>0</v>
      </c>
      <c r="M550" t="n">
        <v>0</v>
      </c>
      <c r="N550" t="n">
        <v>0</v>
      </c>
      <c r="O550" t="n">
        <v>0</v>
      </c>
      <c r="P550" t="n">
        <v>0</v>
      </c>
      <c r="Q550" t="n">
        <v>0</v>
      </c>
      <c r="R550" s="2" t="inlineStr"/>
    </row>
    <row r="551" ht="15" customHeight="1">
      <c r="A551" t="inlineStr">
        <is>
          <t>A 40819-2023</t>
        </is>
      </c>
      <c r="B551" s="1" t="n">
        <v>45171</v>
      </c>
      <c r="C551" s="1" t="n">
        <v>45672</v>
      </c>
      <c r="D551" t="inlineStr">
        <is>
          <t>NORRBOTTENS LÄN</t>
        </is>
      </c>
      <c r="E551" t="inlineStr">
        <is>
          <t>GÄLLIVARE</t>
        </is>
      </c>
      <c r="F551" t="inlineStr">
        <is>
          <t>Sveaskog</t>
        </is>
      </c>
      <c r="G551" t="n">
        <v>10</v>
      </c>
      <c r="H551" t="n">
        <v>0</v>
      </c>
      <c r="I551" t="n">
        <v>0</v>
      </c>
      <c r="J551" t="n">
        <v>0</v>
      </c>
      <c r="K551" t="n">
        <v>0</v>
      </c>
      <c r="L551" t="n">
        <v>0</v>
      </c>
      <c r="M551" t="n">
        <v>0</v>
      </c>
      <c r="N551" t="n">
        <v>0</v>
      </c>
      <c r="O551" t="n">
        <v>0</v>
      </c>
      <c r="P551" t="n">
        <v>0</v>
      </c>
      <c r="Q551" t="n">
        <v>0</v>
      </c>
      <c r="R551" s="2" t="inlineStr"/>
    </row>
    <row r="552" ht="15" customHeight="1">
      <c r="A552" t="inlineStr">
        <is>
          <t>A 40818-2023</t>
        </is>
      </c>
      <c r="B552" s="1" t="n">
        <v>45171</v>
      </c>
      <c r="C552" s="1" t="n">
        <v>45672</v>
      </c>
      <c r="D552" t="inlineStr">
        <is>
          <t>NORRBOTTENS LÄN</t>
        </is>
      </c>
      <c r="E552" t="inlineStr">
        <is>
          <t>GÄLLIVARE</t>
        </is>
      </c>
      <c r="F552" t="inlineStr">
        <is>
          <t>Sveaskog</t>
        </is>
      </c>
      <c r="G552" t="n">
        <v>9.1</v>
      </c>
      <c r="H552" t="n">
        <v>0</v>
      </c>
      <c r="I552" t="n">
        <v>0</v>
      </c>
      <c r="J552" t="n">
        <v>0</v>
      </c>
      <c r="K552" t="n">
        <v>0</v>
      </c>
      <c r="L552" t="n">
        <v>0</v>
      </c>
      <c r="M552" t="n">
        <v>0</v>
      </c>
      <c r="N552" t="n">
        <v>0</v>
      </c>
      <c r="O552" t="n">
        <v>0</v>
      </c>
      <c r="P552" t="n">
        <v>0</v>
      </c>
      <c r="Q552" t="n">
        <v>0</v>
      </c>
      <c r="R552" s="2" t="inlineStr"/>
    </row>
    <row r="553" ht="15" customHeight="1">
      <c r="A553" t="inlineStr">
        <is>
          <t>A 40817-2023</t>
        </is>
      </c>
      <c r="B553" s="1" t="n">
        <v>45171</v>
      </c>
      <c r="C553" s="1" t="n">
        <v>45672</v>
      </c>
      <c r="D553" t="inlineStr">
        <is>
          <t>NORRBOTTENS LÄN</t>
        </is>
      </c>
      <c r="E553" t="inlineStr">
        <is>
          <t>GÄLLIVARE</t>
        </is>
      </c>
      <c r="F553" t="inlineStr">
        <is>
          <t>Sveaskog</t>
        </is>
      </c>
      <c r="G553" t="n">
        <v>6.2</v>
      </c>
      <c r="H553" t="n">
        <v>0</v>
      </c>
      <c r="I553" t="n">
        <v>0</v>
      </c>
      <c r="J553" t="n">
        <v>0</v>
      </c>
      <c r="K553" t="n">
        <v>0</v>
      </c>
      <c r="L553" t="n">
        <v>0</v>
      </c>
      <c r="M553" t="n">
        <v>0</v>
      </c>
      <c r="N553" t="n">
        <v>0</v>
      </c>
      <c r="O553" t="n">
        <v>0</v>
      </c>
      <c r="P553" t="n">
        <v>0</v>
      </c>
      <c r="Q553" t="n">
        <v>0</v>
      </c>
      <c r="R553" s="2" t="inlineStr"/>
    </row>
    <row r="554" ht="15" customHeight="1">
      <c r="A554" t="inlineStr">
        <is>
          <t>A 40974-2023</t>
        </is>
      </c>
      <c r="B554" s="1" t="n">
        <v>45173</v>
      </c>
      <c r="C554" s="1" t="n">
        <v>45672</v>
      </c>
      <c r="D554" t="inlineStr">
        <is>
          <t>NORRBOTTENS LÄN</t>
        </is>
      </c>
      <c r="E554" t="inlineStr">
        <is>
          <t>GÄLLIVARE</t>
        </is>
      </c>
      <c r="G554" t="n">
        <v>3</v>
      </c>
      <c r="H554" t="n">
        <v>0</v>
      </c>
      <c r="I554" t="n">
        <v>0</v>
      </c>
      <c r="J554" t="n">
        <v>0</v>
      </c>
      <c r="K554" t="n">
        <v>0</v>
      </c>
      <c r="L554" t="n">
        <v>0</v>
      </c>
      <c r="M554" t="n">
        <v>0</v>
      </c>
      <c r="N554" t="n">
        <v>0</v>
      </c>
      <c r="O554" t="n">
        <v>0</v>
      </c>
      <c r="P554" t="n">
        <v>0</v>
      </c>
      <c r="Q554" t="n">
        <v>0</v>
      </c>
      <c r="R554" s="2" t="inlineStr"/>
    </row>
    <row r="555" ht="15" customHeight="1">
      <c r="A555" t="inlineStr">
        <is>
          <t>A 41547-2023</t>
        </is>
      </c>
      <c r="B555" s="1" t="n">
        <v>45173</v>
      </c>
      <c r="C555" s="1" t="n">
        <v>45672</v>
      </c>
      <c r="D555" t="inlineStr">
        <is>
          <t>NORRBOTTENS LÄN</t>
        </is>
      </c>
      <c r="E555" t="inlineStr">
        <is>
          <t>GÄLLIVARE</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41560-2023</t>
        </is>
      </c>
      <c r="B556" s="1" t="n">
        <v>45173</v>
      </c>
      <c r="C556" s="1" t="n">
        <v>45672</v>
      </c>
      <c r="D556" t="inlineStr">
        <is>
          <t>NORRBOTTENS LÄN</t>
        </is>
      </c>
      <c r="E556" t="inlineStr">
        <is>
          <t>GÄLLIVARE</t>
        </is>
      </c>
      <c r="G556" t="n">
        <v>9</v>
      </c>
      <c r="H556" t="n">
        <v>0</v>
      </c>
      <c r="I556" t="n">
        <v>0</v>
      </c>
      <c r="J556" t="n">
        <v>0</v>
      </c>
      <c r="K556" t="n">
        <v>0</v>
      </c>
      <c r="L556" t="n">
        <v>0</v>
      </c>
      <c r="M556" t="n">
        <v>0</v>
      </c>
      <c r="N556" t="n">
        <v>0</v>
      </c>
      <c r="O556" t="n">
        <v>0</v>
      </c>
      <c r="P556" t="n">
        <v>0</v>
      </c>
      <c r="Q556" t="n">
        <v>0</v>
      </c>
      <c r="R556" s="2" t="inlineStr"/>
    </row>
    <row r="557" ht="15" customHeight="1">
      <c r="A557" t="inlineStr">
        <is>
          <t>A 41653-2023</t>
        </is>
      </c>
      <c r="B557" s="1" t="n">
        <v>45176</v>
      </c>
      <c r="C557" s="1" t="n">
        <v>45672</v>
      </c>
      <c r="D557" t="inlineStr">
        <is>
          <t>NORRBOTTENS LÄN</t>
        </is>
      </c>
      <c r="E557" t="inlineStr">
        <is>
          <t>GÄLLIVARE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42612-2023</t>
        </is>
      </c>
      <c r="B558" s="1" t="n">
        <v>45176</v>
      </c>
      <c r="C558" s="1" t="n">
        <v>45672</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42158-2023</t>
        </is>
      </c>
      <c r="B559" s="1" t="n">
        <v>45178</v>
      </c>
      <c r="C559" s="1" t="n">
        <v>45672</v>
      </c>
      <c r="D559" t="inlineStr">
        <is>
          <t>NORRBOTTENS LÄN</t>
        </is>
      </c>
      <c r="E559" t="inlineStr">
        <is>
          <t>GÄLLIVARE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42157-2023</t>
        </is>
      </c>
      <c r="B560" s="1" t="n">
        <v>45178</v>
      </c>
      <c r="C560" s="1" t="n">
        <v>45672</v>
      </c>
      <c r="D560" t="inlineStr">
        <is>
          <t>NORRBOTTENS LÄN</t>
        </is>
      </c>
      <c r="E560" t="inlineStr">
        <is>
          <t>GÄLLIVARE</t>
        </is>
      </c>
      <c r="F560" t="inlineStr">
        <is>
          <t>SCA</t>
        </is>
      </c>
      <c r="G560" t="n">
        <v>7.9</v>
      </c>
      <c r="H560" t="n">
        <v>0</v>
      </c>
      <c r="I560" t="n">
        <v>0</v>
      </c>
      <c r="J560" t="n">
        <v>0</v>
      </c>
      <c r="K560" t="n">
        <v>0</v>
      </c>
      <c r="L560" t="n">
        <v>0</v>
      </c>
      <c r="M560" t="n">
        <v>0</v>
      </c>
      <c r="N560" t="n">
        <v>0</v>
      </c>
      <c r="O560" t="n">
        <v>0</v>
      </c>
      <c r="P560" t="n">
        <v>0</v>
      </c>
      <c r="Q560" t="n">
        <v>0</v>
      </c>
      <c r="R560" s="2" t="inlineStr"/>
    </row>
    <row r="561" ht="15" customHeight="1">
      <c r="A561" t="inlineStr">
        <is>
          <t>A 42546-2023</t>
        </is>
      </c>
      <c r="B561" s="1" t="n">
        <v>45181</v>
      </c>
      <c r="C561" s="1" t="n">
        <v>45672</v>
      </c>
      <c r="D561" t="inlineStr">
        <is>
          <t>NORRBOTTENS LÄN</t>
        </is>
      </c>
      <c r="E561" t="inlineStr">
        <is>
          <t>GÄLLIVARE</t>
        </is>
      </c>
      <c r="F561" t="inlineStr">
        <is>
          <t>Sveaskog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42562-2023</t>
        </is>
      </c>
      <c r="B562" s="1" t="n">
        <v>45181</v>
      </c>
      <c r="C562" s="1" t="n">
        <v>45672</v>
      </c>
      <c r="D562" t="inlineStr">
        <is>
          <t>NORRBOTTENS LÄN</t>
        </is>
      </c>
      <c r="E562" t="inlineStr">
        <is>
          <t>GÄLLIVARE</t>
        </is>
      </c>
      <c r="F562" t="inlineStr">
        <is>
          <t>Sveaskog</t>
        </is>
      </c>
      <c r="G562" t="n">
        <v>32.4</v>
      </c>
      <c r="H562" t="n">
        <v>0</v>
      </c>
      <c r="I562" t="n">
        <v>0</v>
      </c>
      <c r="J562" t="n">
        <v>0</v>
      </c>
      <c r="K562" t="n">
        <v>0</v>
      </c>
      <c r="L562" t="n">
        <v>0</v>
      </c>
      <c r="M562" t="n">
        <v>0</v>
      </c>
      <c r="N562" t="n">
        <v>0</v>
      </c>
      <c r="O562" t="n">
        <v>0</v>
      </c>
      <c r="P562" t="n">
        <v>0</v>
      </c>
      <c r="Q562" t="n">
        <v>0</v>
      </c>
      <c r="R562" s="2" t="inlineStr"/>
    </row>
    <row r="563" ht="15" customHeight="1">
      <c r="A563" t="inlineStr">
        <is>
          <t>A 42568-2023</t>
        </is>
      </c>
      <c r="B563" s="1" t="n">
        <v>45181</v>
      </c>
      <c r="C563" s="1" t="n">
        <v>45672</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43109-2023</t>
        </is>
      </c>
      <c r="B564" s="1" t="n">
        <v>45183</v>
      </c>
      <c r="C564" s="1" t="n">
        <v>45672</v>
      </c>
      <c r="D564" t="inlineStr">
        <is>
          <t>NORRBOTTENS LÄN</t>
        </is>
      </c>
      <c r="E564" t="inlineStr">
        <is>
          <t>GÄLLIVARE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43407-2023</t>
        </is>
      </c>
      <c r="B565" s="1" t="n">
        <v>45184</v>
      </c>
      <c r="C565" s="1" t="n">
        <v>45672</v>
      </c>
      <c r="D565" t="inlineStr">
        <is>
          <t>NORRBOTTENS LÄN</t>
        </is>
      </c>
      <c r="E565" t="inlineStr">
        <is>
          <t>GÄLLIVARE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43408-2023</t>
        </is>
      </c>
      <c r="B566" s="1" t="n">
        <v>45183</v>
      </c>
      <c r="C566" s="1" t="n">
        <v>45672</v>
      </c>
      <c r="D566" t="inlineStr">
        <is>
          <t>NORRBOTTENS LÄN</t>
        </is>
      </c>
      <c r="E566" t="inlineStr">
        <is>
          <t>GÄLLIVARE</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43477-2023</t>
        </is>
      </c>
      <c r="B567" s="1" t="n">
        <v>45184</v>
      </c>
      <c r="C567" s="1" t="n">
        <v>45672</v>
      </c>
      <c r="D567" t="inlineStr">
        <is>
          <t>NORRBOTTENS LÄN</t>
        </is>
      </c>
      <c r="E567" t="inlineStr">
        <is>
          <t>GÄLLIVARE</t>
        </is>
      </c>
      <c r="F567" t="inlineStr">
        <is>
          <t>Sveaskog</t>
        </is>
      </c>
      <c r="G567" t="n">
        <v>29.1</v>
      </c>
      <c r="H567" t="n">
        <v>0</v>
      </c>
      <c r="I567" t="n">
        <v>0</v>
      </c>
      <c r="J567" t="n">
        <v>0</v>
      </c>
      <c r="K567" t="n">
        <v>0</v>
      </c>
      <c r="L567" t="n">
        <v>0</v>
      </c>
      <c r="M567" t="n">
        <v>0</v>
      </c>
      <c r="N567" t="n">
        <v>0</v>
      </c>
      <c r="O567" t="n">
        <v>0</v>
      </c>
      <c r="P567" t="n">
        <v>0</v>
      </c>
      <c r="Q567" t="n">
        <v>0</v>
      </c>
      <c r="R567" s="2" t="inlineStr"/>
    </row>
    <row r="568" ht="15" customHeight="1">
      <c r="A568" t="inlineStr">
        <is>
          <t>A 43988-2023</t>
        </is>
      </c>
      <c r="B568" s="1" t="n">
        <v>45187</v>
      </c>
      <c r="C568" s="1" t="n">
        <v>45672</v>
      </c>
      <c r="D568" t="inlineStr">
        <is>
          <t>NORRBOTTENS LÄN</t>
        </is>
      </c>
      <c r="E568" t="inlineStr">
        <is>
          <t>GÄLLIVARE</t>
        </is>
      </c>
      <c r="F568" t="inlineStr">
        <is>
          <t>SCA</t>
        </is>
      </c>
      <c r="G568" t="n">
        <v>10.7</v>
      </c>
      <c r="H568" t="n">
        <v>0</v>
      </c>
      <c r="I568" t="n">
        <v>0</v>
      </c>
      <c r="J568" t="n">
        <v>0</v>
      </c>
      <c r="K568" t="n">
        <v>0</v>
      </c>
      <c r="L568" t="n">
        <v>0</v>
      </c>
      <c r="M568" t="n">
        <v>0</v>
      </c>
      <c r="N568" t="n">
        <v>0</v>
      </c>
      <c r="O568" t="n">
        <v>0</v>
      </c>
      <c r="P568" t="n">
        <v>0</v>
      </c>
      <c r="Q568" t="n">
        <v>0</v>
      </c>
      <c r="R568" s="2" t="inlineStr"/>
    </row>
    <row r="569" ht="15" customHeight="1">
      <c r="A569" t="inlineStr">
        <is>
          <t>A 44398-2023</t>
        </is>
      </c>
      <c r="B569" s="1" t="n">
        <v>45188</v>
      </c>
      <c r="C569" s="1" t="n">
        <v>45672</v>
      </c>
      <c r="D569" t="inlineStr">
        <is>
          <t>NORRBOTTENS LÄN</t>
        </is>
      </c>
      <c r="E569" t="inlineStr">
        <is>
          <t>GÄLLIVARE</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44689-2023</t>
        </is>
      </c>
      <c r="B570" s="1" t="n">
        <v>45189</v>
      </c>
      <c r="C570" s="1" t="n">
        <v>45672</v>
      </c>
      <c r="D570" t="inlineStr">
        <is>
          <t>NORRBOTTENS LÄN</t>
        </is>
      </c>
      <c r="E570" t="inlineStr">
        <is>
          <t>GÄLLIVARE</t>
        </is>
      </c>
      <c r="G570" t="n">
        <v>26.1</v>
      </c>
      <c r="H570" t="n">
        <v>0</v>
      </c>
      <c r="I570" t="n">
        <v>0</v>
      </c>
      <c r="J570" t="n">
        <v>0</v>
      </c>
      <c r="K570" t="n">
        <v>0</v>
      </c>
      <c r="L570" t="n">
        <v>0</v>
      </c>
      <c r="M570" t="n">
        <v>0</v>
      </c>
      <c r="N570" t="n">
        <v>0</v>
      </c>
      <c r="O570" t="n">
        <v>0</v>
      </c>
      <c r="P570" t="n">
        <v>0</v>
      </c>
      <c r="Q570" t="n">
        <v>0</v>
      </c>
      <c r="R570" s="2" t="inlineStr"/>
    </row>
    <row r="571" ht="15" customHeight="1">
      <c r="A571" t="inlineStr">
        <is>
          <t>A 44686-2023</t>
        </is>
      </c>
      <c r="B571" s="1" t="n">
        <v>45189</v>
      </c>
      <c r="C571" s="1" t="n">
        <v>45672</v>
      </c>
      <c r="D571" t="inlineStr">
        <is>
          <t>NORRBOTTENS LÄN</t>
        </is>
      </c>
      <c r="E571" t="inlineStr">
        <is>
          <t>GÄLLIVARE</t>
        </is>
      </c>
      <c r="G571" t="n">
        <v>19.4</v>
      </c>
      <c r="H571" t="n">
        <v>0</v>
      </c>
      <c r="I571" t="n">
        <v>0</v>
      </c>
      <c r="J571" t="n">
        <v>0</v>
      </c>
      <c r="K571" t="n">
        <v>0</v>
      </c>
      <c r="L571" t="n">
        <v>0</v>
      </c>
      <c r="M571" t="n">
        <v>0</v>
      </c>
      <c r="N571" t="n">
        <v>0</v>
      </c>
      <c r="O571" t="n">
        <v>0</v>
      </c>
      <c r="P571" t="n">
        <v>0</v>
      </c>
      <c r="Q571" t="n">
        <v>0</v>
      </c>
      <c r="R571" s="2" t="inlineStr"/>
    </row>
    <row r="572" ht="15" customHeight="1">
      <c r="A572" t="inlineStr">
        <is>
          <t>A 44690-2023</t>
        </is>
      </c>
      <c r="B572" s="1" t="n">
        <v>45189</v>
      </c>
      <c r="C572" s="1" t="n">
        <v>45672</v>
      </c>
      <c r="D572" t="inlineStr">
        <is>
          <t>NORRBOTTENS LÄN</t>
        </is>
      </c>
      <c r="E572" t="inlineStr">
        <is>
          <t>GÄLLIVARE</t>
        </is>
      </c>
      <c r="G572" t="n">
        <v>8.6</v>
      </c>
      <c r="H572" t="n">
        <v>0</v>
      </c>
      <c r="I572" t="n">
        <v>0</v>
      </c>
      <c r="J572" t="n">
        <v>0</v>
      </c>
      <c r="K572" t="n">
        <v>0</v>
      </c>
      <c r="L572" t="n">
        <v>0</v>
      </c>
      <c r="M572" t="n">
        <v>0</v>
      </c>
      <c r="N572" t="n">
        <v>0</v>
      </c>
      <c r="O572" t="n">
        <v>0</v>
      </c>
      <c r="P572" t="n">
        <v>0</v>
      </c>
      <c r="Q572" t="n">
        <v>0</v>
      </c>
      <c r="R572" s="2" t="inlineStr"/>
    </row>
    <row r="573" ht="15" customHeight="1">
      <c r="A573" t="inlineStr">
        <is>
          <t>A 44691-2023</t>
        </is>
      </c>
      <c r="B573" s="1" t="n">
        <v>45189</v>
      </c>
      <c r="C573" s="1" t="n">
        <v>45672</v>
      </c>
      <c r="D573" t="inlineStr">
        <is>
          <t>NORRBOTTENS LÄN</t>
        </is>
      </c>
      <c r="E573" t="inlineStr">
        <is>
          <t>GÄLLIVARE</t>
        </is>
      </c>
      <c r="G573" t="n">
        <v>18.8</v>
      </c>
      <c r="H573" t="n">
        <v>0</v>
      </c>
      <c r="I573" t="n">
        <v>0</v>
      </c>
      <c r="J573" t="n">
        <v>0</v>
      </c>
      <c r="K573" t="n">
        <v>0</v>
      </c>
      <c r="L573" t="n">
        <v>0</v>
      </c>
      <c r="M573" t="n">
        <v>0</v>
      </c>
      <c r="N573" t="n">
        <v>0</v>
      </c>
      <c r="O573" t="n">
        <v>0</v>
      </c>
      <c r="P573" t="n">
        <v>0</v>
      </c>
      <c r="Q573" t="n">
        <v>0</v>
      </c>
      <c r="R573" s="2" t="inlineStr"/>
    </row>
    <row r="574" ht="15" customHeight="1">
      <c r="A574" t="inlineStr">
        <is>
          <t>A 44983-2023</t>
        </is>
      </c>
      <c r="B574" s="1" t="n">
        <v>45190</v>
      </c>
      <c r="C574" s="1" t="n">
        <v>45672</v>
      </c>
      <c r="D574" t="inlineStr">
        <is>
          <t>NORRBOTTENS LÄN</t>
        </is>
      </c>
      <c r="E574" t="inlineStr">
        <is>
          <t>GÄLLIVARE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44982-2023</t>
        </is>
      </c>
      <c r="B575" s="1" t="n">
        <v>45191</v>
      </c>
      <c r="C575" s="1" t="n">
        <v>45672</v>
      </c>
      <c r="D575" t="inlineStr">
        <is>
          <t>NORRBOTTENS LÄN</t>
        </is>
      </c>
      <c r="E575" t="inlineStr">
        <is>
          <t>GÄLLIVARE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45026-2023</t>
        </is>
      </c>
      <c r="B576" s="1" t="n">
        <v>45191</v>
      </c>
      <c r="C576" s="1" t="n">
        <v>45672</v>
      </c>
      <c r="D576" t="inlineStr">
        <is>
          <t>NORRBOTTENS LÄN</t>
        </is>
      </c>
      <c r="E576" t="inlineStr">
        <is>
          <t>GÄLLIVARE</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44981-2023</t>
        </is>
      </c>
      <c r="B577" s="1" t="n">
        <v>45191</v>
      </c>
      <c r="C577" s="1" t="n">
        <v>45672</v>
      </c>
      <c r="D577" t="inlineStr">
        <is>
          <t>NORRBOTTENS LÄN</t>
        </is>
      </c>
      <c r="E577" t="inlineStr">
        <is>
          <t>GÄLLIVARE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44985-2023</t>
        </is>
      </c>
      <c r="B578" s="1" t="n">
        <v>45191</v>
      </c>
      <c r="C578" s="1" t="n">
        <v>45672</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46056-2023</t>
        </is>
      </c>
      <c r="B579" s="1" t="n">
        <v>45196</v>
      </c>
      <c r="C579" s="1" t="n">
        <v>45672</v>
      </c>
      <c r="D579" t="inlineStr">
        <is>
          <t>NORRBOTTENS LÄN</t>
        </is>
      </c>
      <c r="E579" t="inlineStr">
        <is>
          <t>GÄLLIVARE</t>
        </is>
      </c>
      <c r="G579" t="n">
        <v>3.9</v>
      </c>
      <c r="H579" t="n">
        <v>0</v>
      </c>
      <c r="I579" t="n">
        <v>0</v>
      </c>
      <c r="J579" t="n">
        <v>0</v>
      </c>
      <c r="K579" t="n">
        <v>0</v>
      </c>
      <c r="L579" t="n">
        <v>0</v>
      </c>
      <c r="M579" t="n">
        <v>0</v>
      </c>
      <c r="N579" t="n">
        <v>0</v>
      </c>
      <c r="O579" t="n">
        <v>0</v>
      </c>
      <c r="P579" t="n">
        <v>0</v>
      </c>
      <c r="Q579" t="n">
        <v>0</v>
      </c>
      <c r="R579" s="2" t="inlineStr"/>
    </row>
    <row r="580" ht="15" customHeight="1">
      <c r="A580" t="inlineStr">
        <is>
          <t>A 46271-2023</t>
        </is>
      </c>
      <c r="B580" s="1" t="n">
        <v>45196</v>
      </c>
      <c r="C580" s="1" t="n">
        <v>45672</v>
      </c>
      <c r="D580" t="inlineStr">
        <is>
          <t>NORRBOTTENS LÄN</t>
        </is>
      </c>
      <c r="E580" t="inlineStr">
        <is>
          <t>GÄLLIVARE</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47239-2023</t>
        </is>
      </c>
      <c r="B581" s="1" t="n">
        <v>45196</v>
      </c>
      <c r="C581" s="1" t="n">
        <v>45672</v>
      </c>
      <c r="D581" t="inlineStr">
        <is>
          <t>NORRBOTTENS LÄN</t>
        </is>
      </c>
      <c r="E581" t="inlineStr">
        <is>
          <t>GÄLLIVARE</t>
        </is>
      </c>
      <c r="F581" t="inlineStr">
        <is>
          <t>Övriga statliga verk och myndigheter</t>
        </is>
      </c>
      <c r="G581" t="n">
        <v>146</v>
      </c>
      <c r="H581" t="n">
        <v>0</v>
      </c>
      <c r="I581" t="n">
        <v>0</v>
      </c>
      <c r="J581" t="n">
        <v>0</v>
      </c>
      <c r="K581" t="n">
        <v>0</v>
      </c>
      <c r="L581" t="n">
        <v>0</v>
      </c>
      <c r="M581" t="n">
        <v>0</v>
      </c>
      <c r="N581" t="n">
        <v>0</v>
      </c>
      <c r="O581" t="n">
        <v>0</v>
      </c>
      <c r="P581" t="n">
        <v>0</v>
      </c>
      <c r="Q581" t="n">
        <v>0</v>
      </c>
      <c r="R581" s="2" t="inlineStr"/>
    </row>
    <row r="582" ht="15" customHeight="1">
      <c r="A582" t="inlineStr">
        <is>
          <t>A 46334-2023</t>
        </is>
      </c>
      <c r="B582" s="1" t="n">
        <v>45197</v>
      </c>
      <c r="C582" s="1" t="n">
        <v>45672</v>
      </c>
      <c r="D582" t="inlineStr">
        <is>
          <t>NORRBOTTENS LÄN</t>
        </is>
      </c>
      <c r="E582" t="inlineStr">
        <is>
          <t>GÄLLIVARE</t>
        </is>
      </c>
      <c r="F582" t="inlineStr">
        <is>
          <t>Sveaskog</t>
        </is>
      </c>
      <c r="G582" t="n">
        <v>22.9</v>
      </c>
      <c r="H582" t="n">
        <v>0</v>
      </c>
      <c r="I582" t="n">
        <v>0</v>
      </c>
      <c r="J582" t="n">
        <v>0</v>
      </c>
      <c r="K582" t="n">
        <v>0</v>
      </c>
      <c r="L582" t="n">
        <v>0</v>
      </c>
      <c r="M582" t="n">
        <v>0</v>
      </c>
      <c r="N582" t="n">
        <v>0</v>
      </c>
      <c r="O582" t="n">
        <v>0</v>
      </c>
      <c r="P582" t="n">
        <v>0</v>
      </c>
      <c r="Q582" t="n">
        <v>0</v>
      </c>
      <c r="R582" s="2" t="inlineStr"/>
    </row>
    <row r="583" ht="15" customHeight="1">
      <c r="A583" t="inlineStr">
        <is>
          <t>A 46478-2023</t>
        </is>
      </c>
      <c r="B583" s="1" t="n">
        <v>45197</v>
      </c>
      <c r="C583" s="1" t="n">
        <v>45672</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46474-2023</t>
        </is>
      </c>
      <c r="B584" s="1" t="n">
        <v>45197</v>
      </c>
      <c r="C584" s="1" t="n">
        <v>45672</v>
      </c>
      <c r="D584" t="inlineStr">
        <is>
          <t>NORRBOTTENS LÄN</t>
        </is>
      </c>
      <c r="E584" t="inlineStr">
        <is>
          <t>GÄLLIVARE</t>
        </is>
      </c>
      <c r="G584" t="n">
        <v>42.7</v>
      </c>
      <c r="H584" t="n">
        <v>0</v>
      </c>
      <c r="I584" t="n">
        <v>0</v>
      </c>
      <c r="J584" t="n">
        <v>0</v>
      </c>
      <c r="K584" t="n">
        <v>0</v>
      </c>
      <c r="L584" t="n">
        <v>0</v>
      </c>
      <c r="M584" t="n">
        <v>0</v>
      </c>
      <c r="N584" t="n">
        <v>0</v>
      </c>
      <c r="O584" t="n">
        <v>0</v>
      </c>
      <c r="P584" t="n">
        <v>0</v>
      </c>
      <c r="Q584" t="n">
        <v>0</v>
      </c>
      <c r="R584" s="2" t="inlineStr"/>
    </row>
    <row r="585" ht="15" customHeight="1">
      <c r="A585" t="inlineStr">
        <is>
          <t>A 46484-2023</t>
        </is>
      </c>
      <c r="B585" s="1" t="n">
        <v>45197</v>
      </c>
      <c r="C585" s="1" t="n">
        <v>45672</v>
      </c>
      <c r="D585" t="inlineStr">
        <is>
          <t>NORRBOTTENS LÄN</t>
        </is>
      </c>
      <c r="E585" t="inlineStr">
        <is>
          <t>GÄLLIVARE</t>
        </is>
      </c>
      <c r="G585" t="n">
        <v>5.8</v>
      </c>
      <c r="H585" t="n">
        <v>0</v>
      </c>
      <c r="I585" t="n">
        <v>0</v>
      </c>
      <c r="J585" t="n">
        <v>0</v>
      </c>
      <c r="K585" t="n">
        <v>0</v>
      </c>
      <c r="L585" t="n">
        <v>0</v>
      </c>
      <c r="M585" t="n">
        <v>0</v>
      </c>
      <c r="N585" t="n">
        <v>0</v>
      </c>
      <c r="O585" t="n">
        <v>0</v>
      </c>
      <c r="P585" t="n">
        <v>0</v>
      </c>
      <c r="Q585" t="n">
        <v>0</v>
      </c>
      <c r="R585" s="2" t="inlineStr"/>
    </row>
    <row r="586" ht="15" customHeight="1">
      <c r="A586" t="inlineStr">
        <is>
          <t>A 47613-2023</t>
        </is>
      </c>
      <c r="B586" s="1" t="n">
        <v>45198</v>
      </c>
      <c r="C586" s="1" t="n">
        <v>45672</v>
      </c>
      <c r="D586" t="inlineStr">
        <is>
          <t>NORRBOTTENS LÄN</t>
        </is>
      </c>
      <c r="E586" t="inlineStr">
        <is>
          <t>GÄLLIVARE</t>
        </is>
      </c>
      <c r="G586" t="n">
        <v>1.9</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45672</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45672</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45672</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45672</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45672</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45672</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45672</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45672</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45672</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45672</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45672</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45672</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45672</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45672</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45672</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45672</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45672</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45672</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45672</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45672</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45672</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45672</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45672</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45672</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45672</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45672</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45672</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45672</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45672</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45672</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45672</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45672</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45672</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45672</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45672</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45672</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45672</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45672</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45672</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45672</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45672</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45672</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45672</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45672</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45672</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45672</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45672</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45672</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45672</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45672</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45672</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45672</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45672</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45672</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45672</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45672</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45672</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45672</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45672</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45672</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45672</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45672</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45672</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45672</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45672</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45672</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45672</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45672</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45672</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45672</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45672</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45672</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45672</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45672</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45672</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45672</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45672</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45672</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45672</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45672</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45672</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45672</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45672</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45672</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45672</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45672</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45672</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45672</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45672</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45672</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45672</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45672</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45672</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45672</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45672</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45672</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45672</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45672</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45672</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45672</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45672</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45672</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45672</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45672</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45672</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45672</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45672</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45672</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45672</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45672</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45672</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45672</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45672</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45672</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45672</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45672</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45672</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45672</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45672</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45672</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45672</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45672</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45672</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45672</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45672</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45672</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45672</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45672</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45672</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45672</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45672</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45672</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45672</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45672</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45672</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45672</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45672</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45672</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45672</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45672</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45672</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45672</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45672</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45672</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45672</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45672</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45672</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45672</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45672</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45672</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45672</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45672</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45672</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45672</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45672</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45672</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45672</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45672</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45672</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45672</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45672</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45672</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45672</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45672</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45672</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45672</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45672</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45672</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45672</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45672</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45672</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45672</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45672</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45672</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45672</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45672</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45672</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45672</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45672</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45672</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45672</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45672</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45672</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45672</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45672</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45672</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45672</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45672</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45672</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45672</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45672</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45672</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45672</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45672</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45672</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45672</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45672</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45672</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45672</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45672</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45672</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45672</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45672</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45672</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45672</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45672</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45672</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45672</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45672</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45672</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45672</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45672</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45672</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45672</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45672</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45672</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45672</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45672</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45672</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45672</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45672</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45672</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45672</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45672</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45672</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45672</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45672</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45672</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45672</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45672</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45672</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45672</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45672</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45672</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45672</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45672</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45672</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45672</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45672</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45672</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45672</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45672</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45672</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45672</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45672</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45672</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45672</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45672</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45672</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45672</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45672</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45672</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45672</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45672</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45672</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45672</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45672</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45672</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45672</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45672</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45672</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45672</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45672</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45672</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45672</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45672</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45672</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45672</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45672</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45672</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45672</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45672</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45672</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45672</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45672</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45672</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45672</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45672</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45672</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45672</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45672</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45672</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45672</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45672</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45672</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45672</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45672</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45672</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45672</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45672</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45672</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45672</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45672</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45672</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45672</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45672</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45672</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45672</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45672</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45672</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45672</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45672</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45672</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45672</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45672</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45672</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45672</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45672</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45672</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45672</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45672</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45672</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45672</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45672</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45672</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45672</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45672</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45672</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45672</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59698-2024</t>
        </is>
      </c>
      <c r="B906" s="1" t="n">
        <v>45639</v>
      </c>
      <c r="C906" s="1" t="n">
        <v>45672</v>
      </c>
      <c r="D906" t="inlineStr">
        <is>
          <t>NORRBOTTENS LÄN</t>
        </is>
      </c>
      <c r="E906" t="inlineStr">
        <is>
          <t>GÄLLIVARE</t>
        </is>
      </c>
      <c r="F906" t="inlineStr">
        <is>
          <t>Sveaskog</t>
        </is>
      </c>
      <c r="G906" t="n">
        <v>3.7</v>
      </c>
      <c r="H906" t="n">
        <v>0</v>
      </c>
      <c r="I906" t="n">
        <v>0</v>
      </c>
      <c r="J906" t="n">
        <v>0</v>
      </c>
      <c r="K906" t="n">
        <v>0</v>
      </c>
      <c r="L906" t="n">
        <v>0</v>
      </c>
      <c r="M906" t="n">
        <v>0</v>
      </c>
      <c r="N906" t="n">
        <v>0</v>
      </c>
      <c r="O906" t="n">
        <v>0</v>
      </c>
      <c r="P906" t="n">
        <v>0</v>
      </c>
      <c r="Q906" t="n">
        <v>0</v>
      </c>
      <c r="R906" s="2" t="inlineStr"/>
    </row>
    <row r="907" ht="15" customHeight="1">
      <c r="A907" t="inlineStr">
        <is>
          <t>A 59685-2024</t>
        </is>
      </c>
      <c r="B907" s="1" t="n">
        <v>45639</v>
      </c>
      <c r="C907" s="1" t="n">
        <v>45672</v>
      </c>
      <c r="D907" t="inlineStr">
        <is>
          <t>NORRBOTTENS LÄN</t>
        </is>
      </c>
      <c r="E907" t="inlineStr">
        <is>
          <t>GÄLLIVARE</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59680-2024</t>
        </is>
      </c>
      <c r="B908" s="1" t="n">
        <v>45639</v>
      </c>
      <c r="C908" s="1" t="n">
        <v>45672</v>
      </c>
      <c r="D908" t="inlineStr">
        <is>
          <t>NORRBOTTENS LÄN</t>
        </is>
      </c>
      <c r="E908" t="inlineStr">
        <is>
          <t>GÄLLIVARE</t>
        </is>
      </c>
      <c r="F908" t="inlineStr">
        <is>
          <t>Sveaskog</t>
        </is>
      </c>
      <c r="G908" t="n">
        <v>14.4</v>
      </c>
      <c r="H908" t="n">
        <v>0</v>
      </c>
      <c r="I908" t="n">
        <v>0</v>
      </c>
      <c r="J908" t="n">
        <v>0</v>
      </c>
      <c r="K908" t="n">
        <v>0</v>
      </c>
      <c r="L908" t="n">
        <v>0</v>
      </c>
      <c r="M908" t="n">
        <v>0</v>
      </c>
      <c r="N908" t="n">
        <v>0</v>
      </c>
      <c r="O908" t="n">
        <v>0</v>
      </c>
      <c r="P908" t="n">
        <v>0</v>
      </c>
      <c r="Q908" t="n">
        <v>0</v>
      </c>
      <c r="R908" s="2" t="inlineStr"/>
    </row>
    <row r="909" ht="15" customHeight="1">
      <c r="A909" t="inlineStr">
        <is>
          <t>A 59652-2024</t>
        </is>
      </c>
      <c r="B909" s="1" t="n">
        <v>45639</v>
      </c>
      <c r="C909" s="1" t="n">
        <v>45672</v>
      </c>
      <c r="D909" t="inlineStr">
        <is>
          <t>NORRBOTTENS LÄN</t>
        </is>
      </c>
      <c r="E909" t="inlineStr">
        <is>
          <t>GÄLLIVARE</t>
        </is>
      </c>
      <c r="F909" t="inlineStr">
        <is>
          <t>SCA</t>
        </is>
      </c>
      <c r="G909" t="n">
        <v>13.6</v>
      </c>
      <c r="H909" t="n">
        <v>0</v>
      </c>
      <c r="I909" t="n">
        <v>0</v>
      </c>
      <c r="J909" t="n">
        <v>0</v>
      </c>
      <c r="K909" t="n">
        <v>0</v>
      </c>
      <c r="L909" t="n">
        <v>0</v>
      </c>
      <c r="M909" t="n">
        <v>0</v>
      </c>
      <c r="N909" t="n">
        <v>0</v>
      </c>
      <c r="O909" t="n">
        <v>0</v>
      </c>
      <c r="P909" t="n">
        <v>0</v>
      </c>
      <c r="Q909" t="n">
        <v>0</v>
      </c>
      <c r="R909" s="2" t="inlineStr"/>
    </row>
    <row r="910" ht="15" customHeight="1">
      <c r="A910" t="inlineStr">
        <is>
          <t>A 59675-2024</t>
        </is>
      </c>
      <c r="B910" s="1" t="n">
        <v>45639</v>
      </c>
      <c r="C910" s="1" t="n">
        <v>45672</v>
      </c>
      <c r="D910" t="inlineStr">
        <is>
          <t>NORRBOTTENS LÄN</t>
        </is>
      </c>
      <c r="E910" t="inlineStr">
        <is>
          <t>GÄLLIVARE</t>
        </is>
      </c>
      <c r="F910" t="inlineStr">
        <is>
          <t>Sveaskog</t>
        </is>
      </c>
      <c r="G910" t="n">
        <v>0.5</v>
      </c>
      <c r="H910" t="n">
        <v>0</v>
      </c>
      <c r="I910" t="n">
        <v>0</v>
      </c>
      <c r="J910" t="n">
        <v>0</v>
      </c>
      <c r="K910" t="n">
        <v>0</v>
      </c>
      <c r="L910" t="n">
        <v>0</v>
      </c>
      <c r="M910" t="n">
        <v>0</v>
      </c>
      <c r="N910" t="n">
        <v>0</v>
      </c>
      <c r="O910" t="n">
        <v>0</v>
      </c>
      <c r="P910" t="n">
        <v>0</v>
      </c>
      <c r="Q910" t="n">
        <v>0</v>
      </c>
      <c r="R910" s="2" t="inlineStr"/>
    </row>
    <row r="911" ht="15" customHeight="1">
      <c r="A911" t="inlineStr">
        <is>
          <t>A 59697-2024</t>
        </is>
      </c>
      <c r="B911" s="1" t="n">
        <v>45639</v>
      </c>
      <c r="C911" s="1" t="n">
        <v>45672</v>
      </c>
      <c r="D911" t="inlineStr">
        <is>
          <t>NORRBOTTENS LÄN</t>
        </is>
      </c>
      <c r="E911" t="inlineStr">
        <is>
          <t>GÄLLIVARE</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59704-2024</t>
        </is>
      </c>
      <c r="B912" s="1" t="n">
        <v>45639</v>
      </c>
      <c r="C912" s="1" t="n">
        <v>45672</v>
      </c>
      <c r="D912" t="inlineStr">
        <is>
          <t>NORRBOTTENS LÄN</t>
        </is>
      </c>
      <c r="E912" t="inlineStr">
        <is>
          <t>GÄLLIVARE</t>
        </is>
      </c>
      <c r="F912" t="inlineStr">
        <is>
          <t>Sveaskog</t>
        </is>
      </c>
      <c r="G912" t="n">
        <v>5.8</v>
      </c>
      <c r="H912" t="n">
        <v>0</v>
      </c>
      <c r="I912" t="n">
        <v>0</v>
      </c>
      <c r="J912" t="n">
        <v>0</v>
      </c>
      <c r="K912" t="n">
        <v>0</v>
      </c>
      <c r="L912" t="n">
        <v>0</v>
      </c>
      <c r="M912" t="n">
        <v>0</v>
      </c>
      <c r="N912" t="n">
        <v>0</v>
      </c>
      <c r="O912" t="n">
        <v>0</v>
      </c>
      <c r="P912" t="n">
        <v>0</v>
      </c>
      <c r="Q912" t="n">
        <v>0</v>
      </c>
      <c r="R912" s="2" t="inlineStr"/>
    </row>
    <row r="913" ht="15" customHeight="1">
      <c r="A913" t="inlineStr">
        <is>
          <t>A 59703-2024</t>
        </is>
      </c>
      <c r="B913" s="1" t="n">
        <v>45639</v>
      </c>
      <c r="C913" s="1" t="n">
        <v>45672</v>
      </c>
      <c r="D913" t="inlineStr">
        <is>
          <t>NORRBOTTENS LÄN</t>
        </is>
      </c>
      <c r="E913" t="inlineStr">
        <is>
          <t>GÄLLIVARE</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59695-2024</t>
        </is>
      </c>
      <c r="B914" s="1" t="n">
        <v>45639</v>
      </c>
      <c r="C914" s="1" t="n">
        <v>45672</v>
      </c>
      <c r="D914" t="inlineStr">
        <is>
          <t>NORRBOTTENS LÄN</t>
        </is>
      </c>
      <c r="E914" t="inlineStr">
        <is>
          <t>GÄLLIVARE</t>
        </is>
      </c>
      <c r="F914" t="inlineStr">
        <is>
          <t>Sveaskog</t>
        </is>
      </c>
      <c r="G914" t="n">
        <v>5.9</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45672</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61468-2024</t>
        </is>
      </c>
      <c r="B916" s="1" t="n">
        <v>45646</v>
      </c>
      <c r="C916" s="1" t="n">
        <v>45672</v>
      </c>
      <c r="D916" t="inlineStr">
        <is>
          <t>NORRBOTTENS LÄN</t>
        </is>
      </c>
      <c r="E916" t="inlineStr">
        <is>
          <t>GÄLLIVARE</t>
        </is>
      </c>
      <c r="G916" t="n">
        <v>1.5</v>
      </c>
      <c r="H916" t="n">
        <v>0</v>
      </c>
      <c r="I916" t="n">
        <v>0</v>
      </c>
      <c r="J916" t="n">
        <v>0</v>
      </c>
      <c r="K916" t="n">
        <v>0</v>
      </c>
      <c r="L916" t="n">
        <v>0</v>
      </c>
      <c r="M916" t="n">
        <v>0</v>
      </c>
      <c r="N916" t="n">
        <v>0</v>
      </c>
      <c r="O916" t="n">
        <v>0</v>
      </c>
      <c r="P916" t="n">
        <v>0</v>
      </c>
      <c r="Q916" t="n">
        <v>0</v>
      </c>
      <c r="R916" s="2" t="inlineStr"/>
    </row>
    <row r="917" ht="15" customHeight="1">
      <c r="A917" t="inlineStr">
        <is>
          <t>A 61471-2024</t>
        </is>
      </c>
      <c r="B917" s="1" t="n">
        <v>45646</v>
      </c>
      <c r="C917" s="1" t="n">
        <v>45672</v>
      </c>
      <c r="D917" t="inlineStr">
        <is>
          <t>NORRBOTTENS LÄN</t>
        </is>
      </c>
      <c r="E917" t="inlineStr">
        <is>
          <t>GÄLLIVARE</t>
        </is>
      </c>
      <c r="G917" t="n">
        <v>4.8</v>
      </c>
      <c r="H917" t="n">
        <v>0</v>
      </c>
      <c r="I917" t="n">
        <v>0</v>
      </c>
      <c r="J917" t="n">
        <v>0</v>
      </c>
      <c r="K917" t="n">
        <v>0</v>
      </c>
      <c r="L917" t="n">
        <v>0</v>
      </c>
      <c r="M917" t="n">
        <v>0</v>
      </c>
      <c r="N917" t="n">
        <v>0</v>
      </c>
      <c r="O917" t="n">
        <v>0</v>
      </c>
      <c r="P917" t="n">
        <v>0</v>
      </c>
      <c r="Q917" t="n">
        <v>0</v>
      </c>
      <c r="R917" s="2" t="inlineStr"/>
    </row>
    <row r="918" ht="15" customHeight="1">
      <c r="A918" t="inlineStr">
        <is>
          <t>A 61476-2024</t>
        </is>
      </c>
      <c r="B918" s="1" t="n">
        <v>45646</v>
      </c>
      <c r="C918" s="1" t="n">
        <v>45672</v>
      </c>
      <c r="D918" t="inlineStr">
        <is>
          <t>NORRBOTTENS LÄN</t>
        </is>
      </c>
      <c r="E918" t="inlineStr">
        <is>
          <t>GÄLLIVARE</t>
        </is>
      </c>
      <c r="G918" t="n">
        <v>17</v>
      </c>
      <c r="H918" t="n">
        <v>0</v>
      </c>
      <c r="I918" t="n">
        <v>0</v>
      </c>
      <c r="J918" t="n">
        <v>0</v>
      </c>
      <c r="K918" t="n">
        <v>0</v>
      </c>
      <c r="L918" t="n">
        <v>0</v>
      </c>
      <c r="M918" t="n">
        <v>0</v>
      </c>
      <c r="N918" t="n">
        <v>0</v>
      </c>
      <c r="O918" t="n">
        <v>0</v>
      </c>
      <c r="P918" t="n">
        <v>0</v>
      </c>
      <c r="Q918" t="n">
        <v>0</v>
      </c>
      <c r="R918" s="2" t="inlineStr"/>
    </row>
    <row r="919" ht="15" customHeight="1">
      <c r="A919" t="inlineStr">
        <is>
          <t>A 61473-2024</t>
        </is>
      </c>
      <c r="B919" s="1" t="n">
        <v>45646</v>
      </c>
      <c r="C919" s="1" t="n">
        <v>45672</v>
      </c>
      <c r="D919" t="inlineStr">
        <is>
          <t>NORRBOTTENS LÄN</t>
        </is>
      </c>
      <c r="E919" t="inlineStr">
        <is>
          <t>GÄLLIVARE</t>
        </is>
      </c>
      <c r="G919" t="n">
        <v>0.9</v>
      </c>
      <c r="H919" t="n">
        <v>0</v>
      </c>
      <c r="I919" t="n">
        <v>0</v>
      </c>
      <c r="J919" t="n">
        <v>0</v>
      </c>
      <c r="K919" t="n">
        <v>0</v>
      </c>
      <c r="L919" t="n">
        <v>0</v>
      </c>
      <c r="M919" t="n">
        <v>0</v>
      </c>
      <c r="N919" t="n">
        <v>0</v>
      </c>
      <c r="O919" t="n">
        <v>0</v>
      </c>
      <c r="P919" t="n">
        <v>0</v>
      </c>
      <c r="Q919" t="n">
        <v>0</v>
      </c>
      <c r="R919" s="2" t="inlineStr"/>
    </row>
    <row r="920" ht="15" customHeight="1">
      <c r="A920" t="inlineStr">
        <is>
          <t>A 177-2025</t>
        </is>
      </c>
      <c r="B920" s="1" t="n">
        <v>45649</v>
      </c>
      <c r="C920" s="1" t="n">
        <v>45672</v>
      </c>
      <c r="D920" t="inlineStr">
        <is>
          <t>NORRBOTTENS LÄN</t>
        </is>
      </c>
      <c r="E920" t="inlineStr">
        <is>
          <t>GÄLLIVARE</t>
        </is>
      </c>
      <c r="F920" t="inlineStr">
        <is>
          <t>Allmännings- och besparingsskogar</t>
        </is>
      </c>
      <c r="G920" t="n">
        <v>6.5</v>
      </c>
      <c r="H920" t="n">
        <v>0</v>
      </c>
      <c r="I920" t="n">
        <v>0</v>
      </c>
      <c r="J920" t="n">
        <v>0</v>
      </c>
      <c r="K920" t="n">
        <v>0</v>
      </c>
      <c r="L920" t="n">
        <v>0</v>
      </c>
      <c r="M920" t="n">
        <v>0</v>
      </c>
      <c r="N920" t="n">
        <v>0</v>
      </c>
      <c r="O920" t="n">
        <v>0</v>
      </c>
      <c r="P920" t="n">
        <v>0</v>
      </c>
      <c r="Q920" t="n">
        <v>0</v>
      </c>
      <c r="R920" s="2" t="inlineStr"/>
    </row>
    <row r="921" ht="15" customHeight="1">
      <c r="A921" t="inlineStr">
        <is>
          <t>A 836-2025</t>
        </is>
      </c>
      <c r="B921" s="1" t="n">
        <v>45665</v>
      </c>
      <c r="C921" s="1" t="n">
        <v>45672</v>
      </c>
      <c r="D921" t="inlineStr">
        <is>
          <t>NORRBOTTENS LÄN</t>
        </is>
      </c>
      <c r="E921" t="inlineStr">
        <is>
          <t>GÄLLIVARE</t>
        </is>
      </c>
      <c r="F921" t="inlineStr">
        <is>
          <t>Sveaskog</t>
        </is>
      </c>
      <c r="G921" t="n">
        <v>4.2</v>
      </c>
      <c r="H921" t="n">
        <v>0</v>
      </c>
      <c r="I921" t="n">
        <v>0</v>
      </c>
      <c r="J921" t="n">
        <v>0</v>
      </c>
      <c r="K921" t="n">
        <v>0</v>
      </c>
      <c r="L921" t="n">
        <v>0</v>
      </c>
      <c r="M921" t="n">
        <v>0</v>
      </c>
      <c r="N921" t="n">
        <v>0</v>
      </c>
      <c r="O921" t="n">
        <v>0</v>
      </c>
      <c r="P921" t="n">
        <v>0</v>
      </c>
      <c r="Q921" t="n">
        <v>0</v>
      </c>
      <c r="R921" s="2" t="inlineStr"/>
    </row>
    <row r="922" ht="15" customHeight="1">
      <c r="A922" t="inlineStr">
        <is>
          <t>A 838-2025</t>
        </is>
      </c>
      <c r="B922" s="1" t="n">
        <v>45665</v>
      </c>
      <c r="C922" s="1" t="n">
        <v>45672</v>
      </c>
      <c r="D922" t="inlineStr">
        <is>
          <t>NORRBOTTENS LÄN</t>
        </is>
      </c>
      <c r="E922" t="inlineStr">
        <is>
          <t>GÄLLIVARE</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839-2025</t>
        </is>
      </c>
      <c r="B923" s="1" t="n">
        <v>45665</v>
      </c>
      <c r="C923" s="1" t="n">
        <v>45672</v>
      </c>
      <c r="D923" t="inlineStr">
        <is>
          <t>NORRBOTTENS LÄN</t>
        </is>
      </c>
      <c r="E923" t="inlineStr">
        <is>
          <t>GÄLLIVARE</t>
        </is>
      </c>
      <c r="F923" t="inlineStr">
        <is>
          <t>Sveaskog</t>
        </is>
      </c>
      <c r="G923" t="n">
        <v>9.199999999999999</v>
      </c>
      <c r="H923" t="n">
        <v>0</v>
      </c>
      <c r="I923" t="n">
        <v>0</v>
      </c>
      <c r="J923" t="n">
        <v>0</v>
      </c>
      <c r="K923" t="n">
        <v>0</v>
      </c>
      <c r="L923" t="n">
        <v>0</v>
      </c>
      <c r="M923" t="n">
        <v>0</v>
      </c>
      <c r="N923" t="n">
        <v>0</v>
      </c>
      <c r="O923" t="n">
        <v>0</v>
      </c>
      <c r="P923" t="n">
        <v>0</v>
      </c>
      <c r="Q923" t="n">
        <v>0</v>
      </c>
      <c r="R923" s="2" t="inlineStr"/>
    </row>
    <row r="924">
      <c r="A924" t="inlineStr">
        <is>
          <t>A 833-2025</t>
        </is>
      </c>
      <c r="B924" s="1" t="n">
        <v>45665</v>
      </c>
      <c r="C924" s="1" t="n">
        <v>45672</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2025-01-15T15:55:58Z</dcterms:created>
  <dcterms:modified xmlns:dcterms="http://purl.org/dc/terms/" xmlns:xsi="http://www.w3.org/2001/XMLSchema-instance" xsi:type="dcterms:W3CDTF">2025-01-15T15:55:59Z</dcterms:modified>
</cp:coreProperties>
</file>