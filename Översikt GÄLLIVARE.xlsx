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46033</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46033</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46033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46033</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46033</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46033</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46033</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46033</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46033</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46033</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2548-2021</t>
        </is>
      </c>
      <c r="B22" s="1" t="n">
        <v>44214</v>
      </c>
      <c r="C22" s="1" t="n">
        <v>46033</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36298-2025</t>
        </is>
      </c>
      <c r="B23" s="1" t="n">
        <v>45867.68763888889</v>
      </c>
      <c r="C23" s="1" t="n">
        <v>46033</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46033</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24185-2025</t>
        </is>
      </c>
      <c r="B25" s="1" t="n">
        <v>45796</v>
      </c>
      <c r="C25" s="1" t="n">
        <v>46033</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46033</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46033</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46033</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46033</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46033</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46033</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46033</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46033</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46033</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46033</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39968-2025</t>
        </is>
      </c>
      <c r="B36" s="1" t="n">
        <v>45892.6153125</v>
      </c>
      <c r="C36" s="1" t="n">
        <v>46033</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46033</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27115-2025</t>
        </is>
      </c>
      <c r="B38" s="1" t="n">
        <v>45811.74119212963</v>
      </c>
      <c r="C38" s="1" t="n">
        <v>46033</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46856-2023</t>
        </is>
      </c>
      <c r="B39" s="1" t="n">
        <v>45199</v>
      </c>
      <c r="C39" s="1" t="n">
        <v>46033</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45828-2025</t>
        </is>
      </c>
      <c r="B40" s="1" t="n">
        <v>45923.6009375</v>
      </c>
      <c r="C40" s="1" t="n">
        <v>46033</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52205-2025</t>
        </is>
      </c>
      <c r="B41" s="1" t="n">
        <v>45953.40945601852</v>
      </c>
      <c r="C41" s="1" t="n">
        <v>46033</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5793-2025</t>
        </is>
      </c>
      <c r="B42" s="1" t="n">
        <v>45694</v>
      </c>
      <c r="C42" s="1" t="n">
        <v>46033</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36248-2023</t>
        </is>
      </c>
      <c r="B43" s="1" t="n">
        <v>45150</v>
      </c>
      <c r="C43" s="1" t="n">
        <v>46033</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36908-2025</t>
        </is>
      </c>
      <c r="B44" s="1" t="n">
        <v>45874.49350694445</v>
      </c>
      <c r="C44" s="1" t="n">
        <v>46033</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36252-2023</t>
        </is>
      </c>
      <c r="B45" s="1" t="n">
        <v>45150</v>
      </c>
      <c r="C45" s="1" t="n">
        <v>46033</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5728-2025</t>
        </is>
      </c>
      <c r="B46" s="1" t="n">
        <v>45694</v>
      </c>
      <c r="C46" s="1" t="n">
        <v>46033</v>
      </c>
      <c r="D46" t="inlineStr">
        <is>
          <t>NORRBOTTENS LÄN</t>
        </is>
      </c>
      <c r="E46" t="inlineStr">
        <is>
          <t>GÄLLIVARE</t>
        </is>
      </c>
      <c r="F46" t="inlineStr">
        <is>
          <t>SCA</t>
        </is>
      </c>
      <c r="G46" t="n">
        <v>13.1</v>
      </c>
      <c r="H46" t="n">
        <v>0</v>
      </c>
      <c r="I46" t="n">
        <v>0</v>
      </c>
      <c r="J46" t="n">
        <v>2</v>
      </c>
      <c r="K46" t="n">
        <v>0</v>
      </c>
      <c r="L46" t="n">
        <v>0</v>
      </c>
      <c r="M46" t="n">
        <v>0</v>
      </c>
      <c r="N46" t="n">
        <v>0</v>
      </c>
      <c r="O46" t="n">
        <v>2</v>
      </c>
      <c r="P46" t="n">
        <v>0</v>
      </c>
      <c r="Q46" t="n">
        <v>2</v>
      </c>
      <c r="R46" s="2" t="inlineStr">
        <is>
          <t>Garnlav
Rosenticka</t>
        </is>
      </c>
      <c r="S46">
        <f>HYPERLINK("https://klasma.github.io/Logging_2523/artfynd/A 5728-2025 artfynd.xlsx", "A 5728-2025")</f>
        <v/>
      </c>
      <c r="T46">
        <f>HYPERLINK("https://klasma.github.io/Logging_2523/kartor/A 5728-2025 karta.png", "A 5728-2025")</f>
        <v/>
      </c>
      <c r="V46">
        <f>HYPERLINK("https://klasma.github.io/Logging_2523/klagomål/A 5728-2025 FSC-klagomål.docx", "A 5728-2025")</f>
        <v/>
      </c>
      <c r="W46">
        <f>HYPERLINK("https://klasma.github.io/Logging_2523/klagomålsmail/A 5728-2025 FSC-klagomål mail.docx", "A 5728-2025")</f>
        <v/>
      </c>
      <c r="X46">
        <f>HYPERLINK("https://klasma.github.io/Logging_2523/tillsyn/A 5728-2025 tillsynsbegäran.docx", "A 5728-2025")</f>
        <v/>
      </c>
      <c r="Y46">
        <f>HYPERLINK("https://klasma.github.io/Logging_2523/tillsynsmail/A 5728-2025 tillsynsbegäran mail.docx", "A 5728-2025")</f>
        <v/>
      </c>
    </row>
    <row r="47" ht="15" customHeight="1">
      <c r="A47" t="inlineStr">
        <is>
          <t>A 36981-2023</t>
        </is>
      </c>
      <c r="B47" s="1" t="n">
        <v>45154</v>
      </c>
      <c r="C47" s="1" t="n">
        <v>46033</v>
      </c>
      <c r="D47" t="inlineStr">
        <is>
          <t>NORRBOTTENS LÄN</t>
        </is>
      </c>
      <c r="E47" t="inlineStr">
        <is>
          <t>GÄLLIVARE</t>
        </is>
      </c>
      <c r="F47" t="inlineStr">
        <is>
          <t>SCA</t>
        </is>
      </c>
      <c r="G47" t="n">
        <v>18.9</v>
      </c>
      <c r="H47" t="n">
        <v>2</v>
      </c>
      <c r="I47" t="n">
        <v>1</v>
      </c>
      <c r="J47" t="n">
        <v>0</v>
      </c>
      <c r="K47" t="n">
        <v>0</v>
      </c>
      <c r="L47" t="n">
        <v>0</v>
      </c>
      <c r="M47" t="n">
        <v>0</v>
      </c>
      <c r="N47" t="n">
        <v>0</v>
      </c>
      <c r="O47" t="n">
        <v>0</v>
      </c>
      <c r="P47" t="n">
        <v>0</v>
      </c>
      <c r="Q47" t="n">
        <v>2</v>
      </c>
      <c r="R47" s="2" t="inlineStr">
        <is>
          <t>Spindelblomster
Revlummer</t>
        </is>
      </c>
      <c r="S47">
        <f>HYPERLINK("https://klasma.github.io/Logging_2523/artfynd/A 36981-2023 artfynd.xlsx", "A 36981-2023")</f>
        <v/>
      </c>
      <c r="T47">
        <f>HYPERLINK("https://klasma.github.io/Logging_2523/kartor/A 36981-2023 karta.png", "A 36981-2023")</f>
        <v/>
      </c>
      <c r="V47">
        <f>HYPERLINK("https://klasma.github.io/Logging_2523/klagomål/A 36981-2023 FSC-klagomål.docx", "A 36981-2023")</f>
        <v/>
      </c>
      <c r="W47">
        <f>HYPERLINK("https://klasma.github.io/Logging_2523/klagomålsmail/A 36981-2023 FSC-klagomål mail.docx", "A 36981-2023")</f>
        <v/>
      </c>
      <c r="X47">
        <f>HYPERLINK("https://klasma.github.io/Logging_2523/tillsyn/A 36981-2023 tillsynsbegäran.docx", "A 36981-2023")</f>
        <v/>
      </c>
      <c r="Y47">
        <f>HYPERLINK("https://klasma.github.io/Logging_2523/tillsynsmail/A 36981-2023 tillsynsbegäran mail.docx", "A 36981-2023")</f>
        <v/>
      </c>
    </row>
    <row r="48" ht="15" customHeight="1">
      <c r="A48" t="inlineStr">
        <is>
          <t>A 41650-2023</t>
        </is>
      </c>
      <c r="B48" s="1" t="n">
        <v>45175</v>
      </c>
      <c r="C48" s="1" t="n">
        <v>46033</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46033</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46033</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46033</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23578-2025</t>
        </is>
      </c>
      <c r="B52" s="1" t="n">
        <v>45792</v>
      </c>
      <c r="C52" s="1" t="n">
        <v>46033</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27114-2025</t>
        </is>
      </c>
      <c r="B53" s="1" t="n">
        <v>45811.74068287037</v>
      </c>
      <c r="C53" s="1" t="n">
        <v>46033</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46587-2025</t>
        </is>
      </c>
      <c r="B54" s="1" t="n">
        <v>45926.3881712963</v>
      </c>
      <c r="C54" s="1" t="n">
        <v>46033</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47206-2025</t>
        </is>
      </c>
      <c r="B55" s="1" t="n">
        <v>45930.37155092593</v>
      </c>
      <c r="C55" s="1" t="n">
        <v>46033</v>
      </c>
      <c r="D55" t="inlineStr">
        <is>
          <t>NORRBOTTENS LÄN</t>
        </is>
      </c>
      <c r="E55" t="inlineStr">
        <is>
          <t>GÄLLIVARE</t>
        </is>
      </c>
      <c r="F55" t="inlineStr">
        <is>
          <t>Sveaskog</t>
        </is>
      </c>
      <c r="G55" t="n">
        <v>9.800000000000001</v>
      </c>
      <c r="H55" t="n">
        <v>0</v>
      </c>
      <c r="I55" t="n">
        <v>1</v>
      </c>
      <c r="J55" t="n">
        <v>0</v>
      </c>
      <c r="K55" t="n">
        <v>0</v>
      </c>
      <c r="L55" t="n">
        <v>0</v>
      </c>
      <c r="M55" t="n">
        <v>0</v>
      </c>
      <c r="N55" t="n">
        <v>0</v>
      </c>
      <c r="O55" t="n">
        <v>0</v>
      </c>
      <c r="P55" t="n">
        <v>0</v>
      </c>
      <c r="Q55" t="n">
        <v>1</v>
      </c>
      <c r="R55" s="2" t="inlineStr">
        <is>
          <t>Dropptaggsvamp</t>
        </is>
      </c>
      <c r="S55">
        <f>HYPERLINK("https://klasma.github.io/Logging_2523/artfynd/A 47206-2025 artfynd.xlsx", "A 47206-2025")</f>
        <v/>
      </c>
      <c r="T55">
        <f>HYPERLINK("https://klasma.github.io/Logging_2523/kartor/A 47206-2025 karta.png", "A 47206-2025")</f>
        <v/>
      </c>
      <c r="V55">
        <f>HYPERLINK("https://klasma.github.io/Logging_2523/klagomål/A 47206-2025 FSC-klagomål.docx", "A 47206-2025")</f>
        <v/>
      </c>
      <c r="W55">
        <f>HYPERLINK("https://klasma.github.io/Logging_2523/klagomålsmail/A 47206-2025 FSC-klagomål mail.docx", "A 47206-2025")</f>
        <v/>
      </c>
      <c r="X55">
        <f>HYPERLINK("https://klasma.github.io/Logging_2523/tillsyn/A 47206-2025 tillsynsbegäran.docx", "A 47206-2025")</f>
        <v/>
      </c>
      <c r="Y55">
        <f>HYPERLINK("https://klasma.github.io/Logging_2523/tillsynsmail/A 47206-2025 tillsynsbegäran mail.docx", "A 47206-2025")</f>
        <v/>
      </c>
    </row>
    <row r="56" ht="15" customHeight="1">
      <c r="A56" t="inlineStr">
        <is>
          <t>A 31651-2025</t>
        </is>
      </c>
      <c r="B56" s="1" t="n">
        <v>45834.34667824074</v>
      </c>
      <c r="C56" s="1" t="n">
        <v>46033</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51389-2023</t>
        </is>
      </c>
      <c r="B57" s="1" t="n">
        <v>45213</v>
      </c>
      <c r="C57" s="1" t="n">
        <v>46033</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40151-2025</t>
        </is>
      </c>
      <c r="B58" s="1" t="n">
        <v>45894</v>
      </c>
      <c r="C58" s="1" t="n">
        <v>46033</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34848-2025</t>
        </is>
      </c>
      <c r="B59" s="1" t="n">
        <v>45849.4200462963</v>
      </c>
      <c r="C59" s="1" t="n">
        <v>46033</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36479-2025</t>
        </is>
      </c>
      <c r="B60" s="1" t="n">
        <v>45869.49376157407</v>
      </c>
      <c r="C60" s="1" t="n">
        <v>46033</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4908-2025</t>
        </is>
      </c>
      <c r="B61" s="1" t="n">
        <v>45688</v>
      </c>
      <c r="C61" s="1" t="n">
        <v>46033</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18043-2024</t>
        </is>
      </c>
      <c r="B62" s="1" t="n">
        <v>45420</v>
      </c>
      <c r="C62" s="1" t="n">
        <v>46033</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4891-2025</t>
        </is>
      </c>
      <c r="B63" s="1" t="n">
        <v>45688</v>
      </c>
      <c r="C63" s="1" t="n">
        <v>46033</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40956-2025</t>
        </is>
      </c>
      <c r="B64" s="1" t="n">
        <v>45897</v>
      </c>
      <c r="C64" s="1" t="n">
        <v>46033</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53801-2024</t>
        </is>
      </c>
      <c r="B65" s="1" t="n">
        <v>45615</v>
      </c>
      <c r="C65" s="1" t="n">
        <v>46033</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46033</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46033</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46033</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46033</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46033</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46033</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46033</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46033</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46033</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46033</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46033</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49190-2022</t>
        </is>
      </c>
      <c r="B77" s="1" t="n">
        <v>44860.95458333333</v>
      </c>
      <c r="C77" s="1" t="n">
        <v>46033</v>
      </c>
      <c r="D77" t="inlineStr">
        <is>
          <t>NORRBOTTENS LÄN</t>
        </is>
      </c>
      <c r="E77" t="inlineStr">
        <is>
          <t>GÄLLIVARE</t>
        </is>
      </c>
      <c r="F77" t="inlineStr">
        <is>
          <t>SCA</t>
        </is>
      </c>
      <c r="G77" t="n">
        <v>4.1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46033</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46033</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46033</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46033</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46033</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46033</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46033</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46033</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46033</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46033</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46033</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46033</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46033</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46033</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46033</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46033</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46033</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46033</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46033</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46033</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46033</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46033</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46033</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46033</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46033</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46033</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46033</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46033</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46033</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46033</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46033</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46033</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46033</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46033</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46033</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46033</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46033</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46033</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55588-2023</t>
        </is>
      </c>
      <c r="B116" s="1" t="n">
        <v>45238.67594907407</v>
      </c>
      <c r="C116" s="1" t="n">
        <v>46033</v>
      </c>
      <c r="D116" t="inlineStr">
        <is>
          <t>NORRBOTTENS LÄN</t>
        </is>
      </c>
      <c r="E116" t="inlineStr">
        <is>
          <t>GÄLLIVARE</t>
        </is>
      </c>
      <c r="G116" t="n">
        <v>4.1</v>
      </c>
      <c r="H116" t="n">
        <v>0</v>
      </c>
      <c r="I116" t="n">
        <v>0</v>
      </c>
      <c r="J116" t="n">
        <v>0</v>
      </c>
      <c r="K116" t="n">
        <v>0</v>
      </c>
      <c r="L116" t="n">
        <v>0</v>
      </c>
      <c r="M116" t="n">
        <v>0</v>
      </c>
      <c r="N116" t="n">
        <v>0</v>
      </c>
      <c r="O116" t="n">
        <v>0</v>
      </c>
      <c r="P116" t="n">
        <v>0</v>
      </c>
      <c r="Q116" t="n">
        <v>0</v>
      </c>
      <c r="R116" s="2" t="inlineStr"/>
    </row>
    <row r="117" ht="15" customHeight="1">
      <c r="A117" t="inlineStr">
        <is>
          <t>A 53785-2022</t>
        </is>
      </c>
      <c r="B117" s="1" t="n">
        <v>44875</v>
      </c>
      <c r="C117" s="1" t="n">
        <v>46033</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46033</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46033</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46033</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46033</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46033</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46033</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44326-2024</t>
        </is>
      </c>
      <c r="B124" s="1" t="n">
        <v>45573.59427083333</v>
      </c>
      <c r="C124" s="1" t="n">
        <v>46033</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2135-2024</t>
        </is>
      </c>
      <c r="B125" s="1" t="n">
        <v>45309</v>
      </c>
      <c r="C125" s="1" t="n">
        <v>46033</v>
      </c>
      <c r="D125" t="inlineStr">
        <is>
          <t>NORRBOTTENS LÄN</t>
        </is>
      </c>
      <c r="E125" t="inlineStr">
        <is>
          <t>GÄLLIVARE</t>
        </is>
      </c>
      <c r="G125" t="n">
        <v>2.7</v>
      </c>
      <c r="H125" t="n">
        <v>0</v>
      </c>
      <c r="I125" t="n">
        <v>0</v>
      </c>
      <c r="J125" t="n">
        <v>0</v>
      </c>
      <c r="K125" t="n">
        <v>0</v>
      </c>
      <c r="L125" t="n">
        <v>0</v>
      </c>
      <c r="M125" t="n">
        <v>0</v>
      </c>
      <c r="N125" t="n">
        <v>0</v>
      </c>
      <c r="O125" t="n">
        <v>0</v>
      </c>
      <c r="P125" t="n">
        <v>0</v>
      </c>
      <c r="Q125" t="n">
        <v>0</v>
      </c>
      <c r="R125" s="2" t="inlineStr"/>
    </row>
    <row r="126" ht="15" customHeight="1">
      <c r="A126" t="inlineStr">
        <is>
          <t>A 21246-2025</t>
        </is>
      </c>
      <c r="B126" s="1" t="n">
        <v>45779</v>
      </c>
      <c r="C126" s="1" t="n">
        <v>46033</v>
      </c>
      <c r="D126" t="inlineStr">
        <is>
          <t>NORRBOTTENS LÄN</t>
        </is>
      </c>
      <c r="E126" t="inlineStr">
        <is>
          <t>GÄLLIVARE</t>
        </is>
      </c>
      <c r="F126" t="inlineStr">
        <is>
          <t>SCA</t>
        </is>
      </c>
      <c r="G126" t="n">
        <v>16.6</v>
      </c>
      <c r="H126" t="n">
        <v>0</v>
      </c>
      <c r="I126" t="n">
        <v>0</v>
      </c>
      <c r="J126" t="n">
        <v>0</v>
      </c>
      <c r="K126" t="n">
        <v>0</v>
      </c>
      <c r="L126" t="n">
        <v>0</v>
      </c>
      <c r="M126" t="n">
        <v>0</v>
      </c>
      <c r="N126" t="n">
        <v>0</v>
      </c>
      <c r="O126" t="n">
        <v>0</v>
      </c>
      <c r="P126" t="n">
        <v>0</v>
      </c>
      <c r="Q126" t="n">
        <v>0</v>
      </c>
      <c r="R126" s="2" t="inlineStr"/>
    </row>
    <row r="127" ht="15" customHeight="1">
      <c r="A127" t="inlineStr">
        <is>
          <t>A 56259-2023</t>
        </is>
      </c>
      <c r="B127" s="1" t="n">
        <v>45240.94666666666</v>
      </c>
      <c r="C127" s="1" t="n">
        <v>46033</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50763-2025</t>
        </is>
      </c>
      <c r="B128" s="1" t="n">
        <v>45946</v>
      </c>
      <c r="C128" s="1" t="n">
        <v>46033</v>
      </c>
      <c r="D128" t="inlineStr">
        <is>
          <t>NORRBOTTENS LÄN</t>
        </is>
      </c>
      <c r="E128" t="inlineStr">
        <is>
          <t>GÄLLIVARE</t>
        </is>
      </c>
      <c r="G128" t="n">
        <v>7.9</v>
      </c>
      <c r="H128" t="n">
        <v>0</v>
      </c>
      <c r="I128" t="n">
        <v>0</v>
      </c>
      <c r="J128" t="n">
        <v>0</v>
      </c>
      <c r="K128" t="n">
        <v>0</v>
      </c>
      <c r="L128" t="n">
        <v>0</v>
      </c>
      <c r="M128" t="n">
        <v>0</v>
      </c>
      <c r="N128" t="n">
        <v>0</v>
      </c>
      <c r="O128" t="n">
        <v>0</v>
      </c>
      <c r="P128" t="n">
        <v>0</v>
      </c>
      <c r="Q128" t="n">
        <v>0</v>
      </c>
      <c r="R128" s="2" t="inlineStr"/>
    </row>
    <row r="129" ht="15" customHeight="1">
      <c r="A129" t="inlineStr">
        <is>
          <t>A 50772-2025</t>
        </is>
      </c>
      <c r="B129" s="1" t="n">
        <v>45946.44892361111</v>
      </c>
      <c r="C129" s="1" t="n">
        <v>46033</v>
      </c>
      <c r="D129" t="inlineStr">
        <is>
          <t>NORRBOTTENS LÄN</t>
        </is>
      </c>
      <c r="E129" t="inlineStr">
        <is>
          <t>GÄLLIVARE</t>
        </is>
      </c>
      <c r="G129" t="n">
        <v>0.7</v>
      </c>
      <c r="H129" t="n">
        <v>0</v>
      </c>
      <c r="I129" t="n">
        <v>0</v>
      </c>
      <c r="J129" t="n">
        <v>0</v>
      </c>
      <c r="K129" t="n">
        <v>0</v>
      </c>
      <c r="L129" t="n">
        <v>0</v>
      </c>
      <c r="M129" t="n">
        <v>0</v>
      </c>
      <c r="N129" t="n">
        <v>0</v>
      </c>
      <c r="O129" t="n">
        <v>0</v>
      </c>
      <c r="P129" t="n">
        <v>0</v>
      </c>
      <c r="Q129" t="n">
        <v>0</v>
      </c>
      <c r="R129" s="2" t="inlineStr"/>
    </row>
    <row r="130" ht="15" customHeight="1">
      <c r="A130" t="inlineStr">
        <is>
          <t>A 50773-2025</t>
        </is>
      </c>
      <c r="B130" s="1" t="n">
        <v>45946.44894675926</v>
      </c>
      <c r="C130" s="1" t="n">
        <v>46033</v>
      </c>
      <c r="D130" t="inlineStr">
        <is>
          <t>NORRBOTTENS LÄN</t>
        </is>
      </c>
      <c r="E130" t="inlineStr">
        <is>
          <t>GÄLLIVARE</t>
        </is>
      </c>
      <c r="G130" t="n">
        <v>21.8</v>
      </c>
      <c r="H130" t="n">
        <v>0</v>
      </c>
      <c r="I130" t="n">
        <v>0</v>
      </c>
      <c r="J130" t="n">
        <v>0</v>
      </c>
      <c r="K130" t="n">
        <v>0</v>
      </c>
      <c r="L130" t="n">
        <v>0</v>
      </c>
      <c r="M130" t="n">
        <v>0</v>
      </c>
      <c r="N130" t="n">
        <v>0</v>
      </c>
      <c r="O130" t="n">
        <v>0</v>
      </c>
      <c r="P130" t="n">
        <v>0</v>
      </c>
      <c r="Q130" t="n">
        <v>0</v>
      </c>
      <c r="R130" s="2" t="inlineStr"/>
    </row>
    <row r="131" ht="15" customHeight="1">
      <c r="A131" t="inlineStr">
        <is>
          <t>A 59680-2024</t>
        </is>
      </c>
      <c r="B131" s="1" t="n">
        <v>45639</v>
      </c>
      <c r="C131" s="1" t="n">
        <v>46033</v>
      </c>
      <c r="D131" t="inlineStr">
        <is>
          <t>NORRBOTTENS LÄN</t>
        </is>
      </c>
      <c r="E131" t="inlineStr">
        <is>
          <t>GÄLLIVARE</t>
        </is>
      </c>
      <c r="F131" t="inlineStr">
        <is>
          <t>Sveaskog</t>
        </is>
      </c>
      <c r="G131" t="n">
        <v>14.4</v>
      </c>
      <c r="H131" t="n">
        <v>0</v>
      </c>
      <c r="I131" t="n">
        <v>0</v>
      </c>
      <c r="J131" t="n">
        <v>0</v>
      </c>
      <c r="K131" t="n">
        <v>0</v>
      </c>
      <c r="L131" t="n">
        <v>0</v>
      </c>
      <c r="M131" t="n">
        <v>0</v>
      </c>
      <c r="N131" t="n">
        <v>0</v>
      </c>
      <c r="O131" t="n">
        <v>0</v>
      </c>
      <c r="P131" t="n">
        <v>0</v>
      </c>
      <c r="Q131" t="n">
        <v>0</v>
      </c>
      <c r="R131" s="2" t="inlineStr"/>
    </row>
    <row r="132" ht="15" customHeight="1">
      <c r="A132" t="inlineStr">
        <is>
          <t>A 33742-2025</t>
        </is>
      </c>
      <c r="B132" s="1" t="n">
        <v>45842.34484953704</v>
      </c>
      <c r="C132" s="1" t="n">
        <v>46033</v>
      </c>
      <c r="D132" t="inlineStr">
        <is>
          <t>NORRBOTTENS LÄN</t>
        </is>
      </c>
      <c r="E132" t="inlineStr">
        <is>
          <t>GÄLLIVARE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62949-2023</t>
        </is>
      </c>
      <c r="B133" s="1" t="n">
        <v>45272.54651620371</v>
      </c>
      <c r="C133" s="1" t="n">
        <v>46033</v>
      </c>
      <c r="D133" t="inlineStr">
        <is>
          <t>NORRBOTTENS LÄN</t>
        </is>
      </c>
      <c r="E133" t="inlineStr">
        <is>
          <t>GÄLLIVARE</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50771-2025</t>
        </is>
      </c>
      <c r="B134" s="1" t="n">
        <v>45946</v>
      </c>
      <c r="C134" s="1" t="n">
        <v>46033</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61783-2023</t>
        </is>
      </c>
      <c r="B135" s="1" t="n">
        <v>45265.95695601852</v>
      </c>
      <c r="C135" s="1" t="n">
        <v>46033</v>
      </c>
      <c r="D135" t="inlineStr">
        <is>
          <t>NORRBOTTENS LÄN</t>
        </is>
      </c>
      <c r="E135" t="inlineStr">
        <is>
          <t>GÄLLIVARE</t>
        </is>
      </c>
      <c r="F135" t="inlineStr">
        <is>
          <t>SCA</t>
        </is>
      </c>
      <c r="G135" t="n">
        <v>5.7</v>
      </c>
      <c r="H135" t="n">
        <v>0</v>
      </c>
      <c r="I135" t="n">
        <v>0</v>
      </c>
      <c r="J135" t="n">
        <v>0</v>
      </c>
      <c r="K135" t="n">
        <v>0</v>
      </c>
      <c r="L135" t="n">
        <v>0</v>
      </c>
      <c r="M135" t="n">
        <v>0</v>
      </c>
      <c r="N135" t="n">
        <v>0</v>
      </c>
      <c r="O135" t="n">
        <v>0</v>
      </c>
      <c r="P135" t="n">
        <v>0</v>
      </c>
      <c r="Q135" t="n">
        <v>0</v>
      </c>
      <c r="R135" s="2" t="inlineStr"/>
    </row>
    <row r="136" ht="15" customHeight="1">
      <c r="A136" t="inlineStr">
        <is>
          <t>A 30026-2023</t>
        </is>
      </c>
      <c r="B136" s="1" t="n">
        <v>45110.31878472222</v>
      </c>
      <c r="C136" s="1" t="n">
        <v>46033</v>
      </c>
      <c r="D136" t="inlineStr">
        <is>
          <t>NORRBOTTENS LÄN</t>
        </is>
      </c>
      <c r="E136" t="inlineStr">
        <is>
          <t>GÄLLIVARE</t>
        </is>
      </c>
      <c r="F136" t="inlineStr">
        <is>
          <t>Sveaskog</t>
        </is>
      </c>
      <c r="G136" t="n">
        <v>13.1</v>
      </c>
      <c r="H136" t="n">
        <v>0</v>
      </c>
      <c r="I136" t="n">
        <v>0</v>
      </c>
      <c r="J136" t="n">
        <v>0</v>
      </c>
      <c r="K136" t="n">
        <v>0</v>
      </c>
      <c r="L136" t="n">
        <v>0</v>
      </c>
      <c r="M136" t="n">
        <v>0</v>
      </c>
      <c r="N136" t="n">
        <v>0</v>
      </c>
      <c r="O136" t="n">
        <v>0</v>
      </c>
      <c r="P136" t="n">
        <v>0</v>
      </c>
      <c r="Q136" t="n">
        <v>0</v>
      </c>
      <c r="R136" s="2" t="inlineStr"/>
    </row>
    <row r="137" ht="15" customHeight="1">
      <c r="A137" t="inlineStr">
        <is>
          <t>A 55394-2023</t>
        </is>
      </c>
      <c r="B137" s="1" t="n">
        <v>45231</v>
      </c>
      <c r="C137" s="1" t="n">
        <v>46033</v>
      </c>
      <c r="D137" t="inlineStr">
        <is>
          <t>NORRBOTTENS LÄN</t>
        </is>
      </c>
      <c r="E137" t="inlineStr">
        <is>
          <t>GÄLLIVARE</t>
        </is>
      </c>
      <c r="G137" t="n">
        <v>1.4</v>
      </c>
      <c r="H137" t="n">
        <v>0</v>
      </c>
      <c r="I137" t="n">
        <v>0</v>
      </c>
      <c r="J137" t="n">
        <v>0</v>
      </c>
      <c r="K137" t="n">
        <v>0</v>
      </c>
      <c r="L137" t="n">
        <v>0</v>
      </c>
      <c r="M137" t="n">
        <v>0</v>
      </c>
      <c r="N137" t="n">
        <v>0</v>
      </c>
      <c r="O137" t="n">
        <v>0</v>
      </c>
      <c r="P137" t="n">
        <v>0</v>
      </c>
      <c r="Q137" t="n">
        <v>0</v>
      </c>
      <c r="R137" s="2" t="inlineStr"/>
    </row>
    <row r="138" ht="15" customHeight="1">
      <c r="A138" t="inlineStr">
        <is>
          <t>A 61473-2024</t>
        </is>
      </c>
      <c r="B138" s="1" t="n">
        <v>45646</v>
      </c>
      <c r="C138" s="1" t="n">
        <v>46033</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38895-2025</t>
        </is>
      </c>
      <c r="B139" s="1" t="n">
        <v>45887</v>
      </c>
      <c r="C139" s="1" t="n">
        <v>46033</v>
      </c>
      <c r="D139" t="inlineStr">
        <is>
          <t>NORRBOTTENS LÄN</t>
        </is>
      </c>
      <c r="E139" t="inlineStr">
        <is>
          <t>GÄLLIVARE</t>
        </is>
      </c>
      <c r="G139" t="n">
        <v>1.7</v>
      </c>
      <c r="H139" t="n">
        <v>0</v>
      </c>
      <c r="I139" t="n">
        <v>0</v>
      </c>
      <c r="J139" t="n">
        <v>0</v>
      </c>
      <c r="K139" t="n">
        <v>0</v>
      </c>
      <c r="L139" t="n">
        <v>0</v>
      </c>
      <c r="M139" t="n">
        <v>0</v>
      </c>
      <c r="N139" t="n">
        <v>0</v>
      </c>
      <c r="O139" t="n">
        <v>0</v>
      </c>
      <c r="P139" t="n">
        <v>0</v>
      </c>
      <c r="Q139" t="n">
        <v>0</v>
      </c>
      <c r="R139" s="2" t="inlineStr"/>
    </row>
    <row r="140" ht="15" customHeight="1">
      <c r="A140" t="inlineStr">
        <is>
          <t>A 44690-2023</t>
        </is>
      </c>
      <c r="B140" s="1" t="n">
        <v>45189</v>
      </c>
      <c r="C140" s="1" t="n">
        <v>46033</v>
      </c>
      <c r="D140" t="inlineStr">
        <is>
          <t>NORRBOTTENS LÄN</t>
        </is>
      </c>
      <c r="E140" t="inlineStr">
        <is>
          <t>GÄLLIVARE</t>
        </is>
      </c>
      <c r="G140" t="n">
        <v>8.6</v>
      </c>
      <c r="H140" t="n">
        <v>0</v>
      </c>
      <c r="I140" t="n">
        <v>0</v>
      </c>
      <c r="J140" t="n">
        <v>0</v>
      </c>
      <c r="K140" t="n">
        <v>0</v>
      </c>
      <c r="L140" t="n">
        <v>0</v>
      </c>
      <c r="M140" t="n">
        <v>0</v>
      </c>
      <c r="N140" t="n">
        <v>0</v>
      </c>
      <c r="O140" t="n">
        <v>0</v>
      </c>
      <c r="P140" t="n">
        <v>0</v>
      </c>
      <c r="Q140" t="n">
        <v>0</v>
      </c>
      <c r="R140" s="2" t="inlineStr"/>
    </row>
    <row r="141" ht="15" customHeight="1">
      <c r="A141" t="inlineStr">
        <is>
          <t>A 39168-2025</t>
        </is>
      </c>
      <c r="B141" s="1" t="n">
        <v>45888.63964120371</v>
      </c>
      <c r="C141" s="1" t="n">
        <v>46033</v>
      </c>
      <c r="D141" t="inlineStr">
        <is>
          <t>NORRBOTTENS LÄN</t>
        </is>
      </c>
      <c r="E141" t="inlineStr">
        <is>
          <t>GÄLLIVARE</t>
        </is>
      </c>
      <c r="G141" t="n">
        <v>7.5</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46033</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51454-2025</t>
        </is>
      </c>
      <c r="B143" s="1" t="n">
        <v>45950.59493055556</v>
      </c>
      <c r="C143" s="1" t="n">
        <v>46033</v>
      </c>
      <c r="D143" t="inlineStr">
        <is>
          <t>NORRBOTTENS LÄN</t>
        </is>
      </c>
      <c r="E143" t="inlineStr">
        <is>
          <t>GÄLLIVARE</t>
        </is>
      </c>
      <c r="F143" t="inlineStr">
        <is>
          <t>Naturvårdsverket</t>
        </is>
      </c>
      <c r="G143" t="n">
        <v>2.8</v>
      </c>
      <c r="H143" t="n">
        <v>0</v>
      </c>
      <c r="I143" t="n">
        <v>0</v>
      </c>
      <c r="J143" t="n">
        <v>0</v>
      </c>
      <c r="K143" t="n">
        <v>0</v>
      </c>
      <c r="L143" t="n">
        <v>0</v>
      </c>
      <c r="M143" t="n">
        <v>0</v>
      </c>
      <c r="N143" t="n">
        <v>0</v>
      </c>
      <c r="O143" t="n">
        <v>0</v>
      </c>
      <c r="P143" t="n">
        <v>0</v>
      </c>
      <c r="Q143" t="n">
        <v>0</v>
      </c>
      <c r="R143" s="2" t="inlineStr"/>
    </row>
    <row r="144" ht="15" customHeight="1">
      <c r="A144" t="inlineStr">
        <is>
          <t>A 51480-2025</t>
        </is>
      </c>
      <c r="B144" s="1" t="n">
        <v>45950.61998842593</v>
      </c>
      <c r="C144" s="1" t="n">
        <v>46033</v>
      </c>
      <c r="D144" t="inlineStr">
        <is>
          <t>NORRBOTTENS LÄN</t>
        </is>
      </c>
      <c r="E144" t="inlineStr">
        <is>
          <t>GÄLLIVARE</t>
        </is>
      </c>
      <c r="F144" t="inlineStr">
        <is>
          <t>Naturvårdsverket</t>
        </is>
      </c>
      <c r="G144" t="n">
        <v>8.5</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46033</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39440-2025</t>
        </is>
      </c>
      <c r="B146" s="1" t="n">
        <v>45889.68805555555</v>
      </c>
      <c r="C146" s="1" t="n">
        <v>46033</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51524-2025</t>
        </is>
      </c>
      <c r="B147" s="1" t="n">
        <v>45950.66767361111</v>
      </c>
      <c r="C147" s="1" t="n">
        <v>46033</v>
      </c>
      <c r="D147" t="inlineStr">
        <is>
          <t>NORRBOTTENS LÄN</t>
        </is>
      </c>
      <c r="E147" t="inlineStr">
        <is>
          <t>GÄLLIVARE</t>
        </is>
      </c>
      <c r="G147" t="n">
        <v>5.4</v>
      </c>
      <c r="H147" t="n">
        <v>0</v>
      </c>
      <c r="I147" t="n">
        <v>0</v>
      </c>
      <c r="J147" t="n">
        <v>0</v>
      </c>
      <c r="K147" t="n">
        <v>0</v>
      </c>
      <c r="L147" t="n">
        <v>0</v>
      </c>
      <c r="M147" t="n">
        <v>0</v>
      </c>
      <c r="N147" t="n">
        <v>0</v>
      </c>
      <c r="O147" t="n">
        <v>0</v>
      </c>
      <c r="P147" t="n">
        <v>0</v>
      </c>
      <c r="Q147" t="n">
        <v>0</v>
      </c>
      <c r="R147" s="2" t="inlineStr"/>
    </row>
    <row r="148" ht="15" customHeight="1">
      <c r="A148" t="inlineStr">
        <is>
          <t>A 39261-2025</t>
        </is>
      </c>
      <c r="B148" s="1" t="n">
        <v>45889.37136574074</v>
      </c>
      <c r="C148" s="1" t="n">
        <v>46033</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39413-2025</t>
        </is>
      </c>
      <c r="B149" s="1" t="n">
        <v>45889.65671296296</v>
      </c>
      <c r="C149" s="1" t="n">
        <v>46033</v>
      </c>
      <c r="D149" t="inlineStr">
        <is>
          <t>NORRBOTTENS LÄN</t>
        </is>
      </c>
      <c r="E149" t="inlineStr">
        <is>
          <t>GÄLLIVARE</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5166-2025</t>
        </is>
      </c>
      <c r="B150" s="1" t="n">
        <v>45691</v>
      </c>
      <c r="C150" s="1" t="n">
        <v>46033</v>
      </c>
      <c r="D150" t="inlineStr">
        <is>
          <t>NORRBOTTENS LÄN</t>
        </is>
      </c>
      <c r="E150" t="inlineStr">
        <is>
          <t>GÄLLIVARE</t>
        </is>
      </c>
      <c r="F150" t="inlineStr">
        <is>
          <t>SCA</t>
        </is>
      </c>
      <c r="G150" t="n">
        <v>2.9</v>
      </c>
      <c r="H150" t="n">
        <v>0</v>
      </c>
      <c r="I150" t="n">
        <v>0</v>
      </c>
      <c r="J150" t="n">
        <v>0</v>
      </c>
      <c r="K150" t="n">
        <v>0</v>
      </c>
      <c r="L150" t="n">
        <v>0</v>
      </c>
      <c r="M150" t="n">
        <v>0</v>
      </c>
      <c r="N150" t="n">
        <v>0</v>
      </c>
      <c r="O150" t="n">
        <v>0</v>
      </c>
      <c r="P150" t="n">
        <v>0</v>
      </c>
      <c r="Q150" t="n">
        <v>0</v>
      </c>
      <c r="R150" s="2" t="inlineStr"/>
    </row>
    <row r="151" ht="15" customHeight="1">
      <c r="A151" t="inlineStr">
        <is>
          <t>A 23495-2024</t>
        </is>
      </c>
      <c r="B151" s="1" t="n">
        <v>45453</v>
      </c>
      <c r="C151" s="1" t="n">
        <v>46033</v>
      </c>
      <c r="D151" t="inlineStr">
        <is>
          <t>NORRBOTTENS LÄN</t>
        </is>
      </c>
      <c r="E151" t="inlineStr">
        <is>
          <t>GÄLLIVARE</t>
        </is>
      </c>
      <c r="F151" t="inlineStr">
        <is>
          <t>Allmännings- och besparingsskogar</t>
        </is>
      </c>
      <c r="G151" t="n">
        <v>15.4</v>
      </c>
      <c r="H151" t="n">
        <v>0</v>
      </c>
      <c r="I151" t="n">
        <v>0</v>
      </c>
      <c r="J151" t="n">
        <v>0</v>
      </c>
      <c r="K151" t="n">
        <v>0</v>
      </c>
      <c r="L151" t="n">
        <v>0</v>
      </c>
      <c r="M151" t="n">
        <v>0</v>
      </c>
      <c r="N151" t="n">
        <v>0</v>
      </c>
      <c r="O151" t="n">
        <v>0</v>
      </c>
      <c r="P151" t="n">
        <v>0</v>
      </c>
      <c r="Q151" t="n">
        <v>0</v>
      </c>
      <c r="R151" s="2" t="inlineStr"/>
    </row>
    <row r="152" ht="15" customHeight="1">
      <c r="A152" t="inlineStr">
        <is>
          <t>A 5086-2025</t>
        </is>
      </c>
      <c r="B152" s="1" t="n">
        <v>45691</v>
      </c>
      <c r="C152" s="1" t="n">
        <v>46033</v>
      </c>
      <c r="D152" t="inlineStr">
        <is>
          <t>NORRBOTTENS LÄN</t>
        </is>
      </c>
      <c r="E152" t="inlineStr">
        <is>
          <t>GÄLLIVARE</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39337-2025</t>
        </is>
      </c>
      <c r="B153" s="1" t="n">
        <v>45889</v>
      </c>
      <c r="C153" s="1" t="n">
        <v>46033</v>
      </c>
      <c r="D153" t="inlineStr">
        <is>
          <t>NORRBOTTENS LÄN</t>
        </is>
      </c>
      <c r="E153" t="inlineStr">
        <is>
          <t>GÄLLIVARE</t>
        </is>
      </c>
      <c r="F153" t="inlineStr">
        <is>
          <t>Sveaskog</t>
        </is>
      </c>
      <c r="G153" t="n">
        <v>36.8</v>
      </c>
      <c r="H153" t="n">
        <v>0</v>
      </c>
      <c r="I153" t="n">
        <v>0</v>
      </c>
      <c r="J153" t="n">
        <v>0</v>
      </c>
      <c r="K153" t="n">
        <v>0</v>
      </c>
      <c r="L153" t="n">
        <v>0</v>
      </c>
      <c r="M153" t="n">
        <v>0</v>
      </c>
      <c r="N153" t="n">
        <v>0</v>
      </c>
      <c r="O153" t="n">
        <v>0</v>
      </c>
      <c r="P153" t="n">
        <v>0</v>
      </c>
      <c r="Q153" t="n">
        <v>0</v>
      </c>
      <c r="R153" s="2" t="inlineStr"/>
    </row>
    <row r="154" ht="15" customHeight="1">
      <c r="A154" t="inlineStr">
        <is>
          <t>A 55259-2024</t>
        </is>
      </c>
      <c r="B154" s="1" t="n">
        <v>45621</v>
      </c>
      <c r="C154" s="1" t="n">
        <v>46033</v>
      </c>
      <c r="D154" t="inlineStr">
        <is>
          <t>NORRBOTTENS LÄN</t>
        </is>
      </c>
      <c r="E154" t="inlineStr">
        <is>
          <t>GÄLLIVARE</t>
        </is>
      </c>
      <c r="G154" t="n">
        <v>17.9</v>
      </c>
      <c r="H154" t="n">
        <v>0</v>
      </c>
      <c r="I154" t="n">
        <v>0</v>
      </c>
      <c r="J154" t="n">
        <v>0</v>
      </c>
      <c r="K154" t="n">
        <v>0</v>
      </c>
      <c r="L154" t="n">
        <v>0</v>
      </c>
      <c r="M154" t="n">
        <v>0</v>
      </c>
      <c r="N154" t="n">
        <v>0</v>
      </c>
      <c r="O154" t="n">
        <v>0</v>
      </c>
      <c r="P154" t="n">
        <v>0</v>
      </c>
      <c r="Q154" t="n">
        <v>0</v>
      </c>
      <c r="R154" s="2" t="inlineStr"/>
    </row>
    <row r="155" ht="15" customHeight="1">
      <c r="A155" t="inlineStr">
        <is>
          <t>A 39414-2025</t>
        </is>
      </c>
      <c r="B155" s="1" t="n">
        <v>45889.65699074074</v>
      </c>
      <c r="C155" s="1" t="n">
        <v>46033</v>
      </c>
      <c r="D155" t="inlineStr">
        <is>
          <t>NORRBOTTENS LÄN</t>
        </is>
      </c>
      <c r="E155" t="inlineStr">
        <is>
          <t>GÄLLIVARE</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4185-2023</t>
        </is>
      </c>
      <c r="B156" s="1" t="n">
        <v>44953</v>
      </c>
      <c r="C156" s="1" t="n">
        <v>46033</v>
      </c>
      <c r="D156" t="inlineStr">
        <is>
          <t>NORRBOTTENS LÄN</t>
        </is>
      </c>
      <c r="E156" t="inlineStr">
        <is>
          <t>GÄLLIVARE</t>
        </is>
      </c>
      <c r="G156" t="n">
        <v>2.7</v>
      </c>
      <c r="H156" t="n">
        <v>0</v>
      </c>
      <c r="I156" t="n">
        <v>0</v>
      </c>
      <c r="J156" t="n">
        <v>0</v>
      </c>
      <c r="K156" t="n">
        <v>0</v>
      </c>
      <c r="L156" t="n">
        <v>0</v>
      </c>
      <c r="M156" t="n">
        <v>0</v>
      </c>
      <c r="N156" t="n">
        <v>0</v>
      </c>
      <c r="O156" t="n">
        <v>0</v>
      </c>
      <c r="P156" t="n">
        <v>0</v>
      </c>
      <c r="Q156" t="n">
        <v>0</v>
      </c>
      <c r="R156" s="2" t="inlineStr"/>
    </row>
    <row r="157" ht="15" customHeight="1">
      <c r="A157" t="inlineStr">
        <is>
          <t>A 5481-2025</t>
        </is>
      </c>
      <c r="B157" s="1" t="n">
        <v>45693</v>
      </c>
      <c r="C157" s="1" t="n">
        <v>46033</v>
      </c>
      <c r="D157" t="inlineStr">
        <is>
          <t>NORRBOTTENS LÄN</t>
        </is>
      </c>
      <c r="E157" t="inlineStr">
        <is>
          <t>GÄLLIVARE</t>
        </is>
      </c>
      <c r="F157" t="inlineStr">
        <is>
          <t>SCA</t>
        </is>
      </c>
      <c r="G157" t="n">
        <v>13.1</v>
      </c>
      <c r="H157" t="n">
        <v>0</v>
      </c>
      <c r="I157" t="n">
        <v>0</v>
      </c>
      <c r="J157" t="n">
        <v>0</v>
      </c>
      <c r="K157" t="n">
        <v>0</v>
      </c>
      <c r="L157" t="n">
        <v>0</v>
      </c>
      <c r="M157" t="n">
        <v>0</v>
      </c>
      <c r="N157" t="n">
        <v>0</v>
      </c>
      <c r="O157" t="n">
        <v>0</v>
      </c>
      <c r="P157" t="n">
        <v>0</v>
      </c>
      <c r="Q157" t="n">
        <v>0</v>
      </c>
      <c r="R157" s="2" t="inlineStr"/>
    </row>
    <row r="158" ht="15" customHeight="1">
      <c r="A158" t="inlineStr">
        <is>
          <t>A 23607-2025</t>
        </is>
      </c>
      <c r="B158" s="1" t="n">
        <v>45792.65668981482</v>
      </c>
      <c r="C158" s="1" t="n">
        <v>46033</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46033</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39638-2025</t>
        </is>
      </c>
      <c r="B160" s="1" t="n">
        <v>45890.60027777778</v>
      </c>
      <c r="C160" s="1" t="n">
        <v>46033</v>
      </c>
      <c r="D160" t="inlineStr">
        <is>
          <t>NORRBOTTENS LÄN</t>
        </is>
      </c>
      <c r="E160" t="inlineStr">
        <is>
          <t>GÄLLIVARE</t>
        </is>
      </c>
      <c r="F160" t="inlineStr">
        <is>
          <t>Sveaskog</t>
        </is>
      </c>
      <c r="G160" t="n">
        <v>8.5</v>
      </c>
      <c r="H160" t="n">
        <v>0</v>
      </c>
      <c r="I160" t="n">
        <v>0</v>
      </c>
      <c r="J160" t="n">
        <v>0</v>
      </c>
      <c r="K160" t="n">
        <v>0</v>
      </c>
      <c r="L160" t="n">
        <v>0</v>
      </c>
      <c r="M160" t="n">
        <v>0</v>
      </c>
      <c r="N160" t="n">
        <v>0</v>
      </c>
      <c r="O160" t="n">
        <v>0</v>
      </c>
      <c r="P160" t="n">
        <v>0</v>
      </c>
      <c r="Q160" t="n">
        <v>0</v>
      </c>
      <c r="R160" s="2" t="inlineStr"/>
    </row>
    <row r="161" ht="15" customHeight="1">
      <c r="A161" t="inlineStr">
        <is>
          <t>A 24125-2025</t>
        </is>
      </c>
      <c r="B161" s="1" t="n">
        <v>45796</v>
      </c>
      <c r="C161" s="1" t="n">
        <v>46033</v>
      </c>
      <c r="D161" t="inlineStr">
        <is>
          <t>NORRBOTTENS LÄN</t>
        </is>
      </c>
      <c r="E161" t="inlineStr">
        <is>
          <t>GÄLLIVARE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24221-2025</t>
        </is>
      </c>
      <c r="B162" s="1" t="n">
        <v>45797.36483796296</v>
      </c>
      <c r="C162" s="1" t="n">
        <v>46033</v>
      </c>
      <c r="D162" t="inlineStr">
        <is>
          <t>NORRBOTTENS LÄN</t>
        </is>
      </c>
      <c r="E162" t="inlineStr">
        <is>
          <t>GÄLLIVARE</t>
        </is>
      </c>
      <c r="G162" t="n">
        <v>5.6</v>
      </c>
      <c r="H162" t="n">
        <v>0</v>
      </c>
      <c r="I162" t="n">
        <v>0</v>
      </c>
      <c r="J162" t="n">
        <v>0</v>
      </c>
      <c r="K162" t="n">
        <v>0</v>
      </c>
      <c r="L162" t="n">
        <v>0</v>
      </c>
      <c r="M162" t="n">
        <v>0</v>
      </c>
      <c r="N162" t="n">
        <v>0</v>
      </c>
      <c r="O162" t="n">
        <v>0</v>
      </c>
      <c r="P162" t="n">
        <v>0</v>
      </c>
      <c r="Q162" t="n">
        <v>0</v>
      </c>
      <c r="R162" s="2" t="inlineStr"/>
    </row>
    <row r="163" ht="15" customHeight="1">
      <c r="A163" t="inlineStr">
        <is>
          <t>A 39793-2025</t>
        </is>
      </c>
      <c r="B163" s="1" t="n">
        <v>45891.48686342593</v>
      </c>
      <c r="C163" s="1" t="n">
        <v>46033</v>
      </c>
      <c r="D163" t="inlineStr">
        <is>
          <t>NORRBOTTENS LÄN</t>
        </is>
      </c>
      <c r="E163" t="inlineStr">
        <is>
          <t>GÄLLIVARE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24276-2025</t>
        </is>
      </c>
      <c r="B164" s="1" t="n">
        <v>45797.44836805556</v>
      </c>
      <c r="C164" s="1" t="n">
        <v>46033</v>
      </c>
      <c r="D164" t="inlineStr">
        <is>
          <t>NORRBOTTENS LÄN</t>
        </is>
      </c>
      <c r="E164" t="inlineStr">
        <is>
          <t>GÄLLIVARE</t>
        </is>
      </c>
      <c r="F164" t="inlineStr">
        <is>
          <t>SCA</t>
        </is>
      </c>
      <c r="G164" t="n">
        <v>9.6</v>
      </c>
      <c r="H164" t="n">
        <v>0</v>
      </c>
      <c r="I164" t="n">
        <v>0</v>
      </c>
      <c r="J164" t="n">
        <v>0</v>
      </c>
      <c r="K164" t="n">
        <v>0</v>
      </c>
      <c r="L164" t="n">
        <v>0</v>
      </c>
      <c r="M164" t="n">
        <v>0</v>
      </c>
      <c r="N164" t="n">
        <v>0</v>
      </c>
      <c r="O164" t="n">
        <v>0</v>
      </c>
      <c r="P164" t="n">
        <v>0</v>
      </c>
      <c r="Q164" t="n">
        <v>0</v>
      </c>
      <c r="R164" s="2" t="inlineStr"/>
    </row>
    <row r="165" ht="15" customHeight="1">
      <c r="A165" t="inlineStr">
        <is>
          <t>A 44327-2024</t>
        </is>
      </c>
      <c r="B165" s="1" t="n">
        <v>45573</v>
      </c>
      <c r="C165" s="1" t="n">
        <v>46033</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6271-2024</t>
        </is>
      </c>
      <c r="B166" s="1" t="n">
        <v>45337</v>
      </c>
      <c r="C166" s="1" t="n">
        <v>46033</v>
      </c>
      <c r="D166" t="inlineStr">
        <is>
          <t>NORRBOTTENS LÄN</t>
        </is>
      </c>
      <c r="E166" t="inlineStr">
        <is>
          <t>GÄLLIVARE</t>
        </is>
      </c>
      <c r="G166" t="n">
        <v>14.7</v>
      </c>
      <c r="H166" t="n">
        <v>0</v>
      </c>
      <c r="I166" t="n">
        <v>0</v>
      </c>
      <c r="J166" t="n">
        <v>0</v>
      </c>
      <c r="K166" t="n">
        <v>0</v>
      </c>
      <c r="L166" t="n">
        <v>0</v>
      </c>
      <c r="M166" t="n">
        <v>0</v>
      </c>
      <c r="N166" t="n">
        <v>0</v>
      </c>
      <c r="O166" t="n">
        <v>0</v>
      </c>
      <c r="P166" t="n">
        <v>0</v>
      </c>
      <c r="Q166" t="n">
        <v>0</v>
      </c>
      <c r="R166" s="2" t="inlineStr"/>
    </row>
    <row r="167" ht="15" customHeight="1">
      <c r="A167" t="inlineStr">
        <is>
          <t>A 24237-2025</t>
        </is>
      </c>
      <c r="B167" s="1" t="n">
        <v>45797</v>
      </c>
      <c r="C167" s="1" t="n">
        <v>46033</v>
      </c>
      <c r="D167" t="inlineStr">
        <is>
          <t>NORRBOTTENS LÄN</t>
        </is>
      </c>
      <c r="E167" t="inlineStr">
        <is>
          <t>GÄLLIVARE</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24148-2025</t>
        </is>
      </c>
      <c r="B168" s="1" t="n">
        <v>45796</v>
      </c>
      <c r="C168" s="1" t="n">
        <v>46033</v>
      </c>
      <c r="D168" t="inlineStr">
        <is>
          <t>NORRBOTTENS LÄN</t>
        </is>
      </c>
      <c r="E168" t="inlineStr">
        <is>
          <t>GÄLLIVARE</t>
        </is>
      </c>
      <c r="G168" t="n">
        <v>3.6</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46033</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39962-2025</t>
        </is>
      </c>
      <c r="B170" s="1" t="n">
        <v>45892.4903587963</v>
      </c>
      <c r="C170" s="1" t="n">
        <v>46033</v>
      </c>
      <c r="D170" t="inlineStr">
        <is>
          <t>NORRBOTTENS LÄN</t>
        </is>
      </c>
      <c r="E170" t="inlineStr">
        <is>
          <t>GÄLLIVARE</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24139-2025</t>
        </is>
      </c>
      <c r="B171" s="1" t="n">
        <v>45796</v>
      </c>
      <c r="C171" s="1" t="n">
        <v>46033</v>
      </c>
      <c r="D171" t="inlineStr">
        <is>
          <t>NORRBOTTENS LÄN</t>
        </is>
      </c>
      <c r="E171" t="inlineStr">
        <is>
          <t>GÄLLIVARE</t>
        </is>
      </c>
      <c r="G171" t="n">
        <v>1.6</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46033</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55381-2024</t>
        </is>
      </c>
      <c r="B173" s="1" t="n">
        <v>45622</v>
      </c>
      <c r="C173" s="1" t="n">
        <v>46033</v>
      </c>
      <c r="D173" t="inlineStr">
        <is>
          <t>NORRBOTTENS LÄN</t>
        </is>
      </c>
      <c r="E173" t="inlineStr">
        <is>
          <t>GÄLLIVARE</t>
        </is>
      </c>
      <c r="F173" t="inlineStr">
        <is>
          <t>Sveaskog</t>
        </is>
      </c>
      <c r="G173" t="n">
        <v>11.7</v>
      </c>
      <c r="H173" t="n">
        <v>0</v>
      </c>
      <c r="I173" t="n">
        <v>0</v>
      </c>
      <c r="J173" t="n">
        <v>0</v>
      </c>
      <c r="K173" t="n">
        <v>0</v>
      </c>
      <c r="L173" t="n">
        <v>0</v>
      </c>
      <c r="M173" t="n">
        <v>0</v>
      </c>
      <c r="N173" t="n">
        <v>0</v>
      </c>
      <c r="O173" t="n">
        <v>0</v>
      </c>
      <c r="P173" t="n">
        <v>0</v>
      </c>
      <c r="Q173" t="n">
        <v>0</v>
      </c>
      <c r="R173" s="2" t="inlineStr"/>
    </row>
    <row r="174" ht="15" customHeight="1">
      <c r="A174" t="inlineStr">
        <is>
          <t>A 39960-2025</t>
        </is>
      </c>
      <c r="B174" s="1" t="n">
        <v>45892.48996527777</v>
      </c>
      <c r="C174" s="1" t="n">
        <v>46033</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24739-2025</t>
        </is>
      </c>
      <c r="B175" s="1" t="n">
        <v>45799</v>
      </c>
      <c r="C175" s="1" t="n">
        <v>46033</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24741-2025</t>
        </is>
      </c>
      <c r="B176" s="1" t="n">
        <v>45799.34563657407</v>
      </c>
      <c r="C176" s="1" t="n">
        <v>46033</v>
      </c>
      <c r="D176" t="inlineStr">
        <is>
          <t>NORRBOTTENS LÄN</t>
        </is>
      </c>
      <c r="E176" t="inlineStr">
        <is>
          <t>GÄLLIVARE</t>
        </is>
      </c>
      <c r="F176" t="inlineStr">
        <is>
          <t>SCA</t>
        </is>
      </c>
      <c r="G176" t="n">
        <v>16.2</v>
      </c>
      <c r="H176" t="n">
        <v>0</v>
      </c>
      <c r="I176" t="n">
        <v>0</v>
      </c>
      <c r="J176" t="n">
        <v>0</v>
      </c>
      <c r="K176" t="n">
        <v>0</v>
      </c>
      <c r="L176" t="n">
        <v>0</v>
      </c>
      <c r="M176" t="n">
        <v>0</v>
      </c>
      <c r="N176" t="n">
        <v>0</v>
      </c>
      <c r="O176" t="n">
        <v>0</v>
      </c>
      <c r="P176" t="n">
        <v>0</v>
      </c>
      <c r="Q176" t="n">
        <v>0</v>
      </c>
      <c r="R176" s="2" t="inlineStr"/>
    </row>
    <row r="177" ht="15" customHeight="1">
      <c r="A177" t="inlineStr">
        <is>
          <t>A 25038-2025</t>
        </is>
      </c>
      <c r="B177" s="1" t="n">
        <v>45799.65711805555</v>
      </c>
      <c r="C177" s="1" t="n">
        <v>46033</v>
      </c>
      <c r="D177" t="inlineStr">
        <is>
          <t>NORRBOTTENS LÄN</t>
        </is>
      </c>
      <c r="E177" t="inlineStr">
        <is>
          <t>GÄLLIVARE</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51453-2025</t>
        </is>
      </c>
      <c r="B178" s="1" t="n">
        <v>45950.59462962963</v>
      </c>
      <c r="C178" s="1" t="n">
        <v>46033</v>
      </c>
      <c r="D178" t="inlineStr">
        <is>
          <t>NORRBOTTENS LÄN</t>
        </is>
      </c>
      <c r="E178" t="inlineStr">
        <is>
          <t>GÄLLIVARE</t>
        </is>
      </c>
      <c r="F178" t="inlineStr">
        <is>
          <t>Naturvårdsverket</t>
        </is>
      </c>
      <c r="G178" t="n">
        <v>4.9</v>
      </c>
      <c r="H178" t="n">
        <v>0</v>
      </c>
      <c r="I178" t="n">
        <v>0</v>
      </c>
      <c r="J178" t="n">
        <v>0</v>
      </c>
      <c r="K178" t="n">
        <v>0</v>
      </c>
      <c r="L178" t="n">
        <v>0</v>
      </c>
      <c r="M178" t="n">
        <v>0</v>
      </c>
      <c r="N178" t="n">
        <v>0</v>
      </c>
      <c r="O178" t="n">
        <v>0</v>
      </c>
      <c r="P178" t="n">
        <v>0</v>
      </c>
      <c r="Q178" t="n">
        <v>0</v>
      </c>
      <c r="R178" s="2" t="inlineStr"/>
    </row>
    <row r="179" ht="15" customHeight="1">
      <c r="A179" t="inlineStr">
        <is>
          <t>A 24734-2025</t>
        </is>
      </c>
      <c r="B179" s="1" t="n">
        <v>45799</v>
      </c>
      <c r="C179" s="1" t="n">
        <v>46033</v>
      </c>
      <c r="D179" t="inlineStr">
        <is>
          <t>NORRBOTTENS LÄN</t>
        </is>
      </c>
      <c r="E179" t="inlineStr">
        <is>
          <t>GÄLLIVARE</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25035-2025</t>
        </is>
      </c>
      <c r="B180" s="1" t="n">
        <v>45799.65689814815</v>
      </c>
      <c r="C180" s="1" t="n">
        <v>46033</v>
      </c>
      <c r="D180" t="inlineStr">
        <is>
          <t>NORRBOTTENS LÄN</t>
        </is>
      </c>
      <c r="E180" t="inlineStr">
        <is>
          <t>GÄLLIVARE</t>
        </is>
      </c>
      <c r="F180" t="inlineStr">
        <is>
          <t>SCA</t>
        </is>
      </c>
      <c r="G180" t="n">
        <v>4.2</v>
      </c>
      <c r="H180" t="n">
        <v>0</v>
      </c>
      <c r="I180" t="n">
        <v>0</v>
      </c>
      <c r="J180" t="n">
        <v>0</v>
      </c>
      <c r="K180" t="n">
        <v>0</v>
      </c>
      <c r="L180" t="n">
        <v>0</v>
      </c>
      <c r="M180" t="n">
        <v>0</v>
      </c>
      <c r="N180" t="n">
        <v>0</v>
      </c>
      <c r="O180" t="n">
        <v>0</v>
      </c>
      <c r="P180" t="n">
        <v>0</v>
      </c>
      <c r="Q180" t="n">
        <v>0</v>
      </c>
      <c r="R180" s="2" t="inlineStr"/>
    </row>
    <row r="181" ht="15" customHeight="1">
      <c r="A181" t="inlineStr">
        <is>
          <t>A 41165-2025</t>
        </is>
      </c>
      <c r="B181" s="1" t="n">
        <v>45898.53658564815</v>
      </c>
      <c r="C181" s="1" t="n">
        <v>46033</v>
      </c>
      <c r="D181" t="inlineStr">
        <is>
          <t>NORRBOTTENS LÄN</t>
        </is>
      </c>
      <c r="E181" t="inlineStr">
        <is>
          <t>GÄLLIVARE</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51494-2025</t>
        </is>
      </c>
      <c r="B182" s="1" t="n">
        <v>45950.63609953703</v>
      </c>
      <c r="C182" s="1" t="n">
        <v>46033</v>
      </c>
      <c r="D182" t="inlineStr">
        <is>
          <t>NORRBOTTENS LÄN</t>
        </is>
      </c>
      <c r="E182" t="inlineStr">
        <is>
          <t>GÄLLIVARE</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24624-2025</t>
        </is>
      </c>
      <c r="B183" s="1" t="n">
        <v>45798.59435185185</v>
      </c>
      <c r="C183" s="1" t="n">
        <v>46033</v>
      </c>
      <c r="D183" t="inlineStr">
        <is>
          <t>NORRBOTTENS LÄN</t>
        </is>
      </c>
      <c r="E183" t="inlineStr">
        <is>
          <t>GÄLLIVARE</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838-2025</t>
        </is>
      </c>
      <c r="B184" s="1" t="n">
        <v>45665</v>
      </c>
      <c r="C184" s="1" t="n">
        <v>46033</v>
      </c>
      <c r="D184" t="inlineStr">
        <is>
          <t>NORRBOTTENS LÄN</t>
        </is>
      </c>
      <c r="E184" t="inlineStr">
        <is>
          <t>GÄLLIVARE</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5708-2023</t>
        </is>
      </c>
      <c r="B185" s="1" t="n">
        <v>44960</v>
      </c>
      <c r="C185" s="1" t="n">
        <v>46033</v>
      </c>
      <c r="D185" t="inlineStr">
        <is>
          <t>NORRBOTTENS LÄN</t>
        </is>
      </c>
      <c r="E185" t="inlineStr">
        <is>
          <t>GÄLLIVARE</t>
        </is>
      </c>
      <c r="F185" t="inlineStr">
        <is>
          <t>SCA</t>
        </is>
      </c>
      <c r="G185" t="n">
        <v>15.3</v>
      </c>
      <c r="H185" t="n">
        <v>0</v>
      </c>
      <c r="I185" t="n">
        <v>0</v>
      </c>
      <c r="J185" t="n">
        <v>0</v>
      </c>
      <c r="K185" t="n">
        <v>0</v>
      </c>
      <c r="L185" t="n">
        <v>0</v>
      </c>
      <c r="M185" t="n">
        <v>0</v>
      </c>
      <c r="N185" t="n">
        <v>0</v>
      </c>
      <c r="O185" t="n">
        <v>0</v>
      </c>
      <c r="P185" t="n">
        <v>0</v>
      </c>
      <c r="Q185" t="n">
        <v>0</v>
      </c>
      <c r="R185" s="2" t="inlineStr"/>
    </row>
    <row r="186" ht="15" customHeight="1">
      <c r="A186" t="inlineStr">
        <is>
          <t>A 5709-2023</t>
        </is>
      </c>
      <c r="B186" s="1" t="n">
        <v>44960</v>
      </c>
      <c r="C186" s="1" t="n">
        <v>46033</v>
      </c>
      <c r="D186" t="inlineStr">
        <is>
          <t>NORRBOTTENS LÄN</t>
        </is>
      </c>
      <c r="E186" t="inlineStr">
        <is>
          <t>GÄLLIVARE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46033</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41450-2025</t>
        </is>
      </c>
      <c r="B188" s="1" t="n">
        <v>45901.42961805555</v>
      </c>
      <c r="C188" s="1" t="n">
        <v>46033</v>
      </c>
      <c r="D188" t="inlineStr">
        <is>
          <t>NORRBOTTENS LÄN</t>
        </is>
      </c>
      <c r="E188" t="inlineStr">
        <is>
          <t>GÄLLIVARE</t>
        </is>
      </c>
      <c r="F188" t="inlineStr">
        <is>
          <t>Sveaskog</t>
        </is>
      </c>
      <c r="G188" t="n">
        <v>14.4</v>
      </c>
      <c r="H188" t="n">
        <v>0</v>
      </c>
      <c r="I188" t="n">
        <v>0</v>
      </c>
      <c r="J188" t="n">
        <v>0</v>
      </c>
      <c r="K188" t="n">
        <v>0</v>
      </c>
      <c r="L188" t="n">
        <v>0</v>
      </c>
      <c r="M188" t="n">
        <v>0</v>
      </c>
      <c r="N188" t="n">
        <v>0</v>
      </c>
      <c r="O188" t="n">
        <v>0</v>
      </c>
      <c r="P188" t="n">
        <v>0</v>
      </c>
      <c r="Q188" t="n">
        <v>0</v>
      </c>
      <c r="R188" s="2" t="inlineStr"/>
    </row>
    <row r="189" ht="15" customHeight="1">
      <c r="A189" t="inlineStr">
        <is>
          <t>A 41789-2025</t>
        </is>
      </c>
      <c r="B189" s="1" t="n">
        <v>45902.59466435185</v>
      </c>
      <c r="C189" s="1" t="n">
        <v>46033</v>
      </c>
      <c r="D189" t="inlineStr">
        <is>
          <t>NORRBOTTENS LÄN</t>
        </is>
      </c>
      <c r="E189" t="inlineStr">
        <is>
          <t>GÄLLIVARE</t>
        </is>
      </c>
      <c r="F189" t="inlineStr">
        <is>
          <t>SCA</t>
        </is>
      </c>
      <c r="G189" t="n">
        <v>1.3</v>
      </c>
      <c r="H189" t="n">
        <v>0</v>
      </c>
      <c r="I189" t="n">
        <v>0</v>
      </c>
      <c r="J189" t="n">
        <v>0</v>
      </c>
      <c r="K189" t="n">
        <v>0</v>
      </c>
      <c r="L189" t="n">
        <v>0</v>
      </c>
      <c r="M189" t="n">
        <v>0</v>
      </c>
      <c r="N189" t="n">
        <v>0</v>
      </c>
      <c r="O189" t="n">
        <v>0</v>
      </c>
      <c r="P189" t="n">
        <v>0</v>
      </c>
      <c r="Q189" t="n">
        <v>0</v>
      </c>
      <c r="R189" s="2" t="inlineStr"/>
    </row>
    <row r="190" ht="15" customHeight="1">
      <c r="A190" t="inlineStr">
        <is>
          <t>A 41791-2025</t>
        </is>
      </c>
      <c r="B190" s="1" t="n">
        <v>45902.59523148148</v>
      </c>
      <c r="C190" s="1" t="n">
        <v>46033</v>
      </c>
      <c r="D190" t="inlineStr">
        <is>
          <t>NORRBOTTENS LÄN</t>
        </is>
      </c>
      <c r="E190" t="inlineStr">
        <is>
          <t>GÄLLIVARE</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41790-2025</t>
        </is>
      </c>
      <c r="B191" s="1" t="n">
        <v>45902.59489583333</v>
      </c>
      <c r="C191" s="1" t="n">
        <v>46033</v>
      </c>
      <c r="D191" t="inlineStr">
        <is>
          <t>NORRBOTTENS LÄN</t>
        </is>
      </c>
      <c r="E191" t="inlineStr">
        <is>
          <t>GÄLLIVARE</t>
        </is>
      </c>
      <c r="F191" t="inlineStr">
        <is>
          <t>SCA</t>
        </is>
      </c>
      <c r="G191" t="n">
        <v>10.3</v>
      </c>
      <c r="H191" t="n">
        <v>0</v>
      </c>
      <c r="I191" t="n">
        <v>0</v>
      </c>
      <c r="J191" t="n">
        <v>0</v>
      </c>
      <c r="K191" t="n">
        <v>0</v>
      </c>
      <c r="L191" t="n">
        <v>0</v>
      </c>
      <c r="M191" t="n">
        <v>0</v>
      </c>
      <c r="N191" t="n">
        <v>0</v>
      </c>
      <c r="O191" t="n">
        <v>0</v>
      </c>
      <c r="P191" t="n">
        <v>0</v>
      </c>
      <c r="Q191" t="n">
        <v>0</v>
      </c>
      <c r="R191" s="2" t="inlineStr"/>
    </row>
    <row r="192" ht="15" customHeight="1">
      <c r="A192" t="inlineStr">
        <is>
          <t>A 5111-2025</t>
        </is>
      </c>
      <c r="B192" s="1" t="n">
        <v>45691</v>
      </c>
      <c r="C192" s="1" t="n">
        <v>46033</v>
      </c>
      <c r="D192" t="inlineStr">
        <is>
          <t>NORRBOTTENS LÄN</t>
        </is>
      </c>
      <c r="E192" t="inlineStr">
        <is>
          <t>GÄLLIVARE</t>
        </is>
      </c>
      <c r="G192" t="n">
        <v>11</v>
      </c>
      <c r="H192" t="n">
        <v>0</v>
      </c>
      <c r="I192" t="n">
        <v>0</v>
      </c>
      <c r="J192" t="n">
        <v>0</v>
      </c>
      <c r="K192" t="n">
        <v>0</v>
      </c>
      <c r="L192" t="n">
        <v>0</v>
      </c>
      <c r="M192" t="n">
        <v>0</v>
      </c>
      <c r="N192" t="n">
        <v>0</v>
      </c>
      <c r="O192" t="n">
        <v>0</v>
      </c>
      <c r="P192" t="n">
        <v>0</v>
      </c>
      <c r="Q192" t="n">
        <v>0</v>
      </c>
      <c r="R192" s="2" t="inlineStr"/>
    </row>
    <row r="193" ht="15" customHeight="1">
      <c r="A193" t="inlineStr">
        <is>
          <t>A 26284-2025</t>
        </is>
      </c>
      <c r="B193" s="1" t="n">
        <v>45805</v>
      </c>
      <c r="C193" s="1" t="n">
        <v>46033</v>
      </c>
      <c r="D193" t="inlineStr">
        <is>
          <t>NORRBOTTENS LÄN</t>
        </is>
      </c>
      <c r="E193" t="inlineStr">
        <is>
          <t>GÄLLIVARE</t>
        </is>
      </c>
      <c r="F193" t="inlineStr">
        <is>
          <t>Sveaskog</t>
        </is>
      </c>
      <c r="G193" t="n">
        <v>4.2</v>
      </c>
      <c r="H193" t="n">
        <v>0</v>
      </c>
      <c r="I193" t="n">
        <v>0</v>
      </c>
      <c r="J193" t="n">
        <v>0</v>
      </c>
      <c r="K193" t="n">
        <v>0</v>
      </c>
      <c r="L193" t="n">
        <v>0</v>
      </c>
      <c r="M193" t="n">
        <v>0</v>
      </c>
      <c r="N193" t="n">
        <v>0</v>
      </c>
      <c r="O193" t="n">
        <v>0</v>
      </c>
      <c r="P193" t="n">
        <v>0</v>
      </c>
      <c r="Q193" t="n">
        <v>0</v>
      </c>
      <c r="R193" s="2" t="inlineStr"/>
    </row>
    <row r="194" ht="15" customHeight="1">
      <c r="A194" t="inlineStr">
        <is>
          <t>A 26243-2025</t>
        </is>
      </c>
      <c r="B194" s="1" t="n">
        <v>45805.57359953703</v>
      </c>
      <c r="C194" s="1" t="n">
        <v>46033</v>
      </c>
      <c r="D194" t="inlineStr">
        <is>
          <t>NORRBOTTENS LÄN</t>
        </is>
      </c>
      <c r="E194" t="inlineStr">
        <is>
          <t>GÄLLIVARE</t>
        </is>
      </c>
      <c r="F194" t="inlineStr">
        <is>
          <t>SCA</t>
        </is>
      </c>
      <c r="G194" t="n">
        <v>3.3</v>
      </c>
      <c r="H194" t="n">
        <v>0</v>
      </c>
      <c r="I194" t="n">
        <v>0</v>
      </c>
      <c r="J194" t="n">
        <v>0</v>
      </c>
      <c r="K194" t="n">
        <v>0</v>
      </c>
      <c r="L194" t="n">
        <v>0</v>
      </c>
      <c r="M194" t="n">
        <v>0</v>
      </c>
      <c r="N194" t="n">
        <v>0</v>
      </c>
      <c r="O194" t="n">
        <v>0</v>
      </c>
      <c r="P194" t="n">
        <v>0</v>
      </c>
      <c r="Q194" t="n">
        <v>0</v>
      </c>
      <c r="R194" s="2" t="inlineStr"/>
    </row>
    <row r="195" ht="15" customHeight="1">
      <c r="A195" t="inlineStr">
        <is>
          <t>A 41792-2025</t>
        </is>
      </c>
      <c r="B195" s="1" t="n">
        <v>45902.59528935186</v>
      </c>
      <c r="C195" s="1" t="n">
        <v>46033</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26291-2025</t>
        </is>
      </c>
      <c r="B196" s="1" t="n">
        <v>45805</v>
      </c>
      <c r="C196" s="1" t="n">
        <v>46033</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6459-2023</t>
        </is>
      </c>
      <c r="B197" s="1" t="n">
        <v>44965</v>
      </c>
      <c r="C197" s="1" t="n">
        <v>46033</v>
      </c>
      <c r="D197" t="inlineStr">
        <is>
          <t>NORRBOTTENS LÄN</t>
        </is>
      </c>
      <c r="E197" t="inlineStr">
        <is>
          <t>GÄLLIVARE</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26208-2025</t>
        </is>
      </c>
      <c r="B198" s="1" t="n">
        <v>45805.53162037037</v>
      </c>
      <c r="C198" s="1" t="n">
        <v>46033</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46033</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26242-2025</t>
        </is>
      </c>
      <c r="B200" s="1" t="n">
        <v>45805</v>
      </c>
      <c r="C200" s="1" t="n">
        <v>46033</v>
      </c>
      <c r="D200" t="inlineStr">
        <is>
          <t>NORRBOTTENS LÄN</t>
        </is>
      </c>
      <c r="E200" t="inlineStr">
        <is>
          <t>GÄLLIVARE</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42458-2025</t>
        </is>
      </c>
      <c r="B201" s="1" t="n">
        <v>45905.45395833333</v>
      </c>
      <c r="C201" s="1" t="n">
        <v>46033</v>
      </c>
      <c r="D201" t="inlineStr">
        <is>
          <t>NORRBOTTENS LÄN</t>
        </is>
      </c>
      <c r="E201" t="inlineStr">
        <is>
          <t>GÄLLIVARE</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36511-2024</t>
        </is>
      </c>
      <c r="B202" s="1" t="n">
        <v>45537</v>
      </c>
      <c r="C202" s="1" t="n">
        <v>46033</v>
      </c>
      <c r="D202" t="inlineStr">
        <is>
          <t>NORRBOTTENS LÄN</t>
        </is>
      </c>
      <c r="E202" t="inlineStr">
        <is>
          <t>GÄLLIVARE</t>
        </is>
      </c>
      <c r="F202" t="inlineStr">
        <is>
          <t>Sveaskog</t>
        </is>
      </c>
      <c r="G202" t="n">
        <v>9.4</v>
      </c>
      <c r="H202" t="n">
        <v>0</v>
      </c>
      <c r="I202" t="n">
        <v>0</v>
      </c>
      <c r="J202" t="n">
        <v>0</v>
      </c>
      <c r="K202" t="n">
        <v>0</v>
      </c>
      <c r="L202" t="n">
        <v>0</v>
      </c>
      <c r="M202" t="n">
        <v>0</v>
      </c>
      <c r="N202" t="n">
        <v>0</v>
      </c>
      <c r="O202" t="n">
        <v>0</v>
      </c>
      <c r="P202" t="n">
        <v>0</v>
      </c>
      <c r="Q202" t="n">
        <v>0</v>
      </c>
      <c r="R202" s="2" t="inlineStr"/>
    </row>
    <row r="203" ht="15" customHeight="1">
      <c r="A203" t="inlineStr">
        <is>
          <t>A 42896-2025</t>
        </is>
      </c>
      <c r="B203" s="1" t="n">
        <v>45908.67270833333</v>
      </c>
      <c r="C203" s="1" t="n">
        <v>46033</v>
      </c>
      <c r="D203" t="inlineStr">
        <is>
          <t>NORRBOTTENS LÄN</t>
        </is>
      </c>
      <c r="E203" t="inlineStr">
        <is>
          <t>GÄLLIVARE</t>
        </is>
      </c>
      <c r="F203" t="inlineStr">
        <is>
          <t>Sveaskog</t>
        </is>
      </c>
      <c r="G203" t="n">
        <v>0.8</v>
      </c>
      <c r="H203" t="n">
        <v>0</v>
      </c>
      <c r="I203" t="n">
        <v>0</v>
      </c>
      <c r="J203" t="n">
        <v>0</v>
      </c>
      <c r="K203" t="n">
        <v>0</v>
      </c>
      <c r="L203" t="n">
        <v>0</v>
      </c>
      <c r="M203" t="n">
        <v>0</v>
      </c>
      <c r="N203" t="n">
        <v>0</v>
      </c>
      <c r="O203" t="n">
        <v>0</v>
      </c>
      <c r="P203" t="n">
        <v>0</v>
      </c>
      <c r="Q203" t="n">
        <v>0</v>
      </c>
      <c r="R203" s="2" t="inlineStr"/>
    </row>
    <row r="204" ht="15" customHeight="1">
      <c r="A204" t="inlineStr">
        <is>
          <t>A 26772-2025</t>
        </is>
      </c>
      <c r="B204" s="1" t="n">
        <v>45810</v>
      </c>
      <c r="C204" s="1" t="n">
        <v>46033</v>
      </c>
      <c r="D204" t="inlineStr">
        <is>
          <t>NORRBOTTENS LÄN</t>
        </is>
      </c>
      <c r="E204" t="inlineStr">
        <is>
          <t>GÄLLIVARE</t>
        </is>
      </c>
      <c r="F204" t="inlineStr">
        <is>
          <t>SCA</t>
        </is>
      </c>
      <c r="G204" t="n">
        <v>6.8</v>
      </c>
      <c r="H204" t="n">
        <v>0</v>
      </c>
      <c r="I204" t="n">
        <v>0</v>
      </c>
      <c r="J204" t="n">
        <v>0</v>
      </c>
      <c r="K204" t="n">
        <v>0</v>
      </c>
      <c r="L204" t="n">
        <v>0</v>
      </c>
      <c r="M204" t="n">
        <v>0</v>
      </c>
      <c r="N204" t="n">
        <v>0</v>
      </c>
      <c r="O204" t="n">
        <v>0</v>
      </c>
      <c r="P204" t="n">
        <v>0</v>
      </c>
      <c r="Q204" t="n">
        <v>0</v>
      </c>
      <c r="R204" s="2" t="inlineStr"/>
    </row>
    <row r="205" ht="15" customHeight="1">
      <c r="A205" t="inlineStr">
        <is>
          <t>A 8152-2025</t>
        </is>
      </c>
      <c r="B205" s="1" t="n">
        <v>45708</v>
      </c>
      <c r="C205" s="1" t="n">
        <v>46033</v>
      </c>
      <c r="D205" t="inlineStr">
        <is>
          <t>NORRBOTTENS LÄN</t>
        </is>
      </c>
      <c r="E205" t="inlineStr">
        <is>
          <t>GÄLLIVARE</t>
        </is>
      </c>
      <c r="F205" t="inlineStr">
        <is>
          <t>Sveaskog</t>
        </is>
      </c>
      <c r="G205" t="n">
        <v>42.1</v>
      </c>
      <c r="H205" t="n">
        <v>0</v>
      </c>
      <c r="I205" t="n">
        <v>0</v>
      </c>
      <c r="J205" t="n">
        <v>0</v>
      </c>
      <c r="K205" t="n">
        <v>0</v>
      </c>
      <c r="L205" t="n">
        <v>0</v>
      </c>
      <c r="M205" t="n">
        <v>0</v>
      </c>
      <c r="N205" t="n">
        <v>0</v>
      </c>
      <c r="O205" t="n">
        <v>0</v>
      </c>
      <c r="P205" t="n">
        <v>0</v>
      </c>
      <c r="Q205" t="n">
        <v>0</v>
      </c>
      <c r="R205" s="2" t="inlineStr"/>
    </row>
    <row r="206" ht="15" customHeight="1">
      <c r="A206" t="inlineStr">
        <is>
          <t>A 42895-2025</t>
        </is>
      </c>
      <c r="B206" s="1" t="n">
        <v>45908.67048611111</v>
      </c>
      <c r="C206" s="1" t="n">
        <v>46033</v>
      </c>
      <c r="D206" t="inlineStr">
        <is>
          <t>NORRBOTTENS LÄN</t>
        </is>
      </c>
      <c r="E206" t="inlineStr">
        <is>
          <t>GÄLLIVARE</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42906-2025</t>
        </is>
      </c>
      <c r="B207" s="1" t="n">
        <v>45908.68728009259</v>
      </c>
      <c r="C207" s="1" t="n">
        <v>46033</v>
      </c>
      <c r="D207" t="inlineStr">
        <is>
          <t>NORRBOTTENS LÄN</t>
        </is>
      </c>
      <c r="E207" t="inlineStr">
        <is>
          <t>GÄLLIVARE</t>
        </is>
      </c>
      <c r="F207" t="inlineStr">
        <is>
          <t>Sveaskog</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27182-2025</t>
        </is>
      </c>
      <c r="B208" s="1" t="n">
        <v>45812</v>
      </c>
      <c r="C208" s="1" t="n">
        <v>46033</v>
      </c>
      <c r="D208" t="inlineStr">
        <is>
          <t>NORRBOTTENS LÄN</t>
        </is>
      </c>
      <c r="E208" t="inlineStr">
        <is>
          <t>GÄLLIVARE</t>
        </is>
      </c>
      <c r="F208" t="inlineStr">
        <is>
          <t>Sveaskog</t>
        </is>
      </c>
      <c r="G208" t="n">
        <v>11.2</v>
      </c>
      <c r="H208" t="n">
        <v>0</v>
      </c>
      <c r="I208" t="n">
        <v>0</v>
      </c>
      <c r="J208" t="n">
        <v>0</v>
      </c>
      <c r="K208" t="n">
        <v>0</v>
      </c>
      <c r="L208" t="n">
        <v>0</v>
      </c>
      <c r="M208" t="n">
        <v>0</v>
      </c>
      <c r="N208" t="n">
        <v>0</v>
      </c>
      <c r="O208" t="n">
        <v>0</v>
      </c>
      <c r="P208" t="n">
        <v>0</v>
      </c>
      <c r="Q208" t="n">
        <v>0</v>
      </c>
      <c r="R208" s="2" t="inlineStr"/>
    </row>
    <row r="209" ht="15" customHeight="1">
      <c r="A209" t="inlineStr">
        <is>
          <t>A 43070-2025</t>
        </is>
      </c>
      <c r="B209" s="1" t="n">
        <v>45909.59554398148</v>
      </c>
      <c r="C209" s="1" t="n">
        <v>46033</v>
      </c>
      <c r="D209" t="inlineStr">
        <is>
          <t>NORRBOTTENS LÄN</t>
        </is>
      </c>
      <c r="E209" t="inlineStr">
        <is>
          <t>GÄLLIVARE</t>
        </is>
      </c>
      <c r="G209" t="n">
        <v>24.5</v>
      </c>
      <c r="H209" t="n">
        <v>0</v>
      </c>
      <c r="I209" t="n">
        <v>0</v>
      </c>
      <c r="J209" t="n">
        <v>0</v>
      </c>
      <c r="K209" t="n">
        <v>0</v>
      </c>
      <c r="L209" t="n">
        <v>0</v>
      </c>
      <c r="M209" t="n">
        <v>0</v>
      </c>
      <c r="N209" t="n">
        <v>0</v>
      </c>
      <c r="O209" t="n">
        <v>0</v>
      </c>
      <c r="P209" t="n">
        <v>0</v>
      </c>
      <c r="Q209" t="n">
        <v>0</v>
      </c>
      <c r="R209" s="2" t="inlineStr"/>
    </row>
    <row r="210" ht="15" customHeight="1">
      <c r="A210" t="inlineStr">
        <is>
          <t>A 17201-2024</t>
        </is>
      </c>
      <c r="B210" s="1" t="n">
        <v>45413.59373842592</v>
      </c>
      <c r="C210" s="1" t="n">
        <v>46033</v>
      </c>
      <c r="D210" t="inlineStr">
        <is>
          <t>NORRBOTTENS LÄN</t>
        </is>
      </c>
      <c r="E210" t="inlineStr">
        <is>
          <t>GÄLLIVARE</t>
        </is>
      </c>
      <c r="G210" t="n">
        <v>3.1</v>
      </c>
      <c r="H210" t="n">
        <v>0</v>
      </c>
      <c r="I210" t="n">
        <v>0</v>
      </c>
      <c r="J210" t="n">
        <v>0</v>
      </c>
      <c r="K210" t="n">
        <v>0</v>
      </c>
      <c r="L210" t="n">
        <v>0</v>
      </c>
      <c r="M210" t="n">
        <v>0</v>
      </c>
      <c r="N210" t="n">
        <v>0</v>
      </c>
      <c r="O210" t="n">
        <v>0</v>
      </c>
      <c r="P210" t="n">
        <v>0</v>
      </c>
      <c r="Q210" t="n">
        <v>0</v>
      </c>
      <c r="R210" s="2" t="inlineStr"/>
    </row>
    <row r="211" ht="15" customHeight="1">
      <c r="A211" t="inlineStr">
        <is>
          <t>A 43815-2025</t>
        </is>
      </c>
      <c r="B211" s="1" t="n">
        <v>45912.59493055556</v>
      </c>
      <c r="C211" s="1" t="n">
        <v>46033</v>
      </c>
      <c r="D211" t="inlineStr">
        <is>
          <t>NORRBOTTENS LÄN</t>
        </is>
      </c>
      <c r="E211" t="inlineStr">
        <is>
          <t>GÄLLIVARE</t>
        </is>
      </c>
      <c r="F211" t="inlineStr">
        <is>
          <t>SCA</t>
        </is>
      </c>
      <c r="G211" t="n">
        <v>5.5</v>
      </c>
      <c r="H211" t="n">
        <v>0</v>
      </c>
      <c r="I211" t="n">
        <v>0</v>
      </c>
      <c r="J211" t="n">
        <v>0</v>
      </c>
      <c r="K211" t="n">
        <v>0</v>
      </c>
      <c r="L211" t="n">
        <v>0</v>
      </c>
      <c r="M211" t="n">
        <v>0</v>
      </c>
      <c r="N211" t="n">
        <v>0</v>
      </c>
      <c r="O211" t="n">
        <v>0</v>
      </c>
      <c r="P211" t="n">
        <v>0</v>
      </c>
      <c r="Q211" t="n">
        <v>0</v>
      </c>
      <c r="R211" s="2" t="inlineStr"/>
    </row>
    <row r="212" ht="15" customHeight="1">
      <c r="A212" t="inlineStr">
        <is>
          <t>A 27567-2025</t>
        </is>
      </c>
      <c r="B212" s="1" t="n">
        <v>45813.48991898148</v>
      </c>
      <c r="C212" s="1" t="n">
        <v>46033</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51881-2025</t>
        </is>
      </c>
      <c r="B213" s="1" t="n">
        <v>45952</v>
      </c>
      <c r="C213" s="1" t="n">
        <v>46033</v>
      </c>
      <c r="D213" t="inlineStr">
        <is>
          <t>NORRBOTTENS LÄN</t>
        </is>
      </c>
      <c r="E213" t="inlineStr">
        <is>
          <t>GÄLLIVARE</t>
        </is>
      </c>
      <c r="F213" t="inlineStr">
        <is>
          <t>SCA</t>
        </is>
      </c>
      <c r="G213" t="n">
        <v>7.4</v>
      </c>
      <c r="H213" t="n">
        <v>0</v>
      </c>
      <c r="I213" t="n">
        <v>0</v>
      </c>
      <c r="J213" t="n">
        <v>0</v>
      </c>
      <c r="K213" t="n">
        <v>0</v>
      </c>
      <c r="L213" t="n">
        <v>0</v>
      </c>
      <c r="M213" t="n">
        <v>0</v>
      </c>
      <c r="N213" t="n">
        <v>0</v>
      </c>
      <c r="O213" t="n">
        <v>0</v>
      </c>
      <c r="P213" t="n">
        <v>0</v>
      </c>
      <c r="Q213" t="n">
        <v>0</v>
      </c>
      <c r="R213" s="2" t="inlineStr"/>
    </row>
    <row r="214" ht="15" customHeight="1">
      <c r="A214" t="inlineStr">
        <is>
          <t>A 43786-2025</t>
        </is>
      </c>
      <c r="B214" s="1" t="n">
        <v>45912.53837962963</v>
      </c>
      <c r="C214" s="1" t="n">
        <v>46033</v>
      </c>
      <c r="D214" t="inlineStr">
        <is>
          <t>NORRBOTTENS LÄN</t>
        </is>
      </c>
      <c r="E214" t="inlineStr">
        <is>
          <t>GÄLLIVARE</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43813-2025</t>
        </is>
      </c>
      <c r="B215" s="1" t="n">
        <v>45912.59456018519</v>
      </c>
      <c r="C215" s="1" t="n">
        <v>46033</v>
      </c>
      <c r="D215" t="inlineStr">
        <is>
          <t>NORRBOTTENS LÄN</t>
        </is>
      </c>
      <c r="E215" t="inlineStr">
        <is>
          <t>GÄLLIVARE</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43816-2025</t>
        </is>
      </c>
      <c r="B216" s="1" t="n">
        <v>45912.59518518519</v>
      </c>
      <c r="C216" s="1" t="n">
        <v>46033</v>
      </c>
      <c r="D216" t="inlineStr">
        <is>
          <t>NORRBOTTENS LÄN</t>
        </is>
      </c>
      <c r="E216" t="inlineStr">
        <is>
          <t>GÄLLIVARE</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21556-2023</t>
        </is>
      </c>
      <c r="B217" s="1" t="n">
        <v>45063</v>
      </c>
      <c r="C217" s="1" t="n">
        <v>46033</v>
      </c>
      <c r="D217" t="inlineStr">
        <is>
          <t>NORRBOTTENS LÄN</t>
        </is>
      </c>
      <c r="E217" t="inlineStr">
        <is>
          <t>GÄLLIVARE</t>
        </is>
      </c>
      <c r="G217" t="n">
        <v>6.8</v>
      </c>
      <c r="H217" t="n">
        <v>0</v>
      </c>
      <c r="I217" t="n">
        <v>0</v>
      </c>
      <c r="J217" t="n">
        <v>0</v>
      </c>
      <c r="K217" t="n">
        <v>0</v>
      </c>
      <c r="L217" t="n">
        <v>0</v>
      </c>
      <c r="M217" t="n">
        <v>0</v>
      </c>
      <c r="N217" t="n">
        <v>0</v>
      </c>
      <c r="O217" t="n">
        <v>0</v>
      </c>
      <c r="P217" t="n">
        <v>0</v>
      </c>
      <c r="Q217" t="n">
        <v>0</v>
      </c>
      <c r="R217" s="2" t="inlineStr"/>
    </row>
    <row r="218" ht="15" customHeight="1">
      <c r="A218" t="inlineStr">
        <is>
          <t>A 51904-2025</t>
        </is>
      </c>
      <c r="B218" s="1" t="n">
        <v>45952</v>
      </c>
      <c r="C218" s="1" t="n">
        <v>46033</v>
      </c>
      <c r="D218" t="inlineStr">
        <is>
          <t>NORRBOTTENS LÄN</t>
        </is>
      </c>
      <c r="E218" t="inlineStr">
        <is>
          <t>GÄLLIVARE</t>
        </is>
      </c>
      <c r="F218" t="inlineStr">
        <is>
          <t>SCA</t>
        </is>
      </c>
      <c r="G218" t="n">
        <v>4.4</v>
      </c>
      <c r="H218" t="n">
        <v>0</v>
      </c>
      <c r="I218" t="n">
        <v>0</v>
      </c>
      <c r="J218" t="n">
        <v>0</v>
      </c>
      <c r="K218" t="n">
        <v>0</v>
      </c>
      <c r="L218" t="n">
        <v>0</v>
      </c>
      <c r="M218" t="n">
        <v>0</v>
      </c>
      <c r="N218" t="n">
        <v>0</v>
      </c>
      <c r="O218" t="n">
        <v>0</v>
      </c>
      <c r="P218" t="n">
        <v>0</v>
      </c>
      <c r="Q218" t="n">
        <v>0</v>
      </c>
      <c r="R218" s="2" t="inlineStr"/>
    </row>
    <row r="219" ht="15" customHeight="1">
      <c r="A219" t="inlineStr">
        <is>
          <t>A 15373-2024</t>
        </is>
      </c>
      <c r="B219" s="1" t="n">
        <v>45400</v>
      </c>
      <c r="C219" s="1" t="n">
        <v>46033</v>
      </c>
      <c r="D219" t="inlineStr">
        <is>
          <t>NORRBOTTENS LÄN</t>
        </is>
      </c>
      <c r="E219" t="inlineStr">
        <is>
          <t>GÄLLIVARE</t>
        </is>
      </c>
      <c r="G219" t="n">
        <v>4.1</v>
      </c>
      <c r="H219" t="n">
        <v>0</v>
      </c>
      <c r="I219" t="n">
        <v>0</v>
      </c>
      <c r="J219" t="n">
        <v>0</v>
      </c>
      <c r="K219" t="n">
        <v>0</v>
      </c>
      <c r="L219" t="n">
        <v>0</v>
      </c>
      <c r="M219" t="n">
        <v>0</v>
      </c>
      <c r="N219" t="n">
        <v>0</v>
      </c>
      <c r="O219" t="n">
        <v>0</v>
      </c>
      <c r="P219" t="n">
        <v>0</v>
      </c>
      <c r="Q219" t="n">
        <v>0</v>
      </c>
      <c r="R219" s="2" t="inlineStr"/>
    </row>
    <row r="220" ht="15" customHeight="1">
      <c r="A220" t="inlineStr">
        <is>
          <t>A 51871-2025</t>
        </is>
      </c>
      <c r="B220" s="1" t="n">
        <v>45952</v>
      </c>
      <c r="C220" s="1" t="n">
        <v>46033</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4918-2025</t>
        </is>
      </c>
      <c r="B221" s="1" t="n">
        <v>45688.68222222223</v>
      </c>
      <c r="C221" s="1" t="n">
        <v>46033</v>
      </c>
      <c r="D221" t="inlineStr">
        <is>
          <t>NORRBOTTENS LÄN</t>
        </is>
      </c>
      <c r="E221" t="inlineStr">
        <is>
          <t>GÄLLIVARE</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28124-2025</t>
        </is>
      </c>
      <c r="B222" s="1" t="n">
        <v>45818.31184027778</v>
      </c>
      <c r="C222" s="1" t="n">
        <v>46033</v>
      </c>
      <c r="D222" t="inlineStr">
        <is>
          <t>NORRBOTTENS LÄN</t>
        </is>
      </c>
      <c r="E222" t="inlineStr">
        <is>
          <t>GÄLLIVARE</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28125-2025</t>
        </is>
      </c>
      <c r="B223" s="1" t="n">
        <v>45818.31322916667</v>
      </c>
      <c r="C223" s="1" t="n">
        <v>46033</v>
      </c>
      <c r="D223" t="inlineStr">
        <is>
          <t>NORRBOTTENS LÄN</t>
        </is>
      </c>
      <c r="E223" t="inlineStr">
        <is>
          <t>GÄLLIVARE</t>
        </is>
      </c>
      <c r="F223" t="inlineStr">
        <is>
          <t>Sveaskog</t>
        </is>
      </c>
      <c r="G223" t="n">
        <v>11.3</v>
      </c>
      <c r="H223" t="n">
        <v>0</v>
      </c>
      <c r="I223" t="n">
        <v>0</v>
      </c>
      <c r="J223" t="n">
        <v>0</v>
      </c>
      <c r="K223" t="n">
        <v>0</v>
      </c>
      <c r="L223" t="n">
        <v>0</v>
      </c>
      <c r="M223" t="n">
        <v>0</v>
      </c>
      <c r="N223" t="n">
        <v>0</v>
      </c>
      <c r="O223" t="n">
        <v>0</v>
      </c>
      <c r="P223" t="n">
        <v>0</v>
      </c>
      <c r="Q223" t="n">
        <v>0</v>
      </c>
      <c r="R223" s="2" t="inlineStr"/>
    </row>
    <row r="224" ht="15" customHeight="1">
      <c r="A224" t="inlineStr">
        <is>
          <t>A 44449-2025</t>
        </is>
      </c>
      <c r="B224" s="1" t="n">
        <v>45916</v>
      </c>
      <c r="C224" s="1" t="n">
        <v>46033</v>
      </c>
      <c r="D224" t="inlineStr">
        <is>
          <t>NORRBOTTENS LÄN</t>
        </is>
      </c>
      <c r="E224" t="inlineStr">
        <is>
          <t>GÄLLIVARE</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43672-2025</t>
        </is>
      </c>
      <c r="B225" s="1" t="n">
        <v>45912</v>
      </c>
      <c r="C225" s="1" t="n">
        <v>46033</v>
      </c>
      <c r="D225" t="inlineStr">
        <is>
          <t>NORRBOTTENS LÄN</t>
        </is>
      </c>
      <c r="E225" t="inlineStr">
        <is>
          <t>GÄLLIVARE</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20126-2023</t>
        </is>
      </c>
      <c r="B226" s="1" t="n">
        <v>45051</v>
      </c>
      <c r="C226" s="1" t="n">
        <v>46033</v>
      </c>
      <c r="D226" t="inlineStr">
        <is>
          <t>NORRBOTTENS LÄN</t>
        </is>
      </c>
      <c r="E226" t="inlineStr">
        <is>
          <t>GÄLLIVARE</t>
        </is>
      </c>
      <c r="G226" t="n">
        <v>2.8</v>
      </c>
      <c r="H226" t="n">
        <v>0</v>
      </c>
      <c r="I226" t="n">
        <v>0</v>
      </c>
      <c r="J226" t="n">
        <v>0</v>
      </c>
      <c r="K226" t="n">
        <v>0</v>
      </c>
      <c r="L226" t="n">
        <v>0</v>
      </c>
      <c r="M226" t="n">
        <v>0</v>
      </c>
      <c r="N226" t="n">
        <v>0</v>
      </c>
      <c r="O226" t="n">
        <v>0</v>
      </c>
      <c r="P226" t="n">
        <v>0</v>
      </c>
      <c r="Q226" t="n">
        <v>0</v>
      </c>
      <c r="R226" s="2" t="inlineStr"/>
    </row>
    <row r="227" ht="15" customHeight="1">
      <c r="A227" t="inlineStr">
        <is>
          <t>A 28126-2025</t>
        </is>
      </c>
      <c r="B227" s="1" t="n">
        <v>45818.31854166667</v>
      </c>
      <c r="C227" s="1" t="n">
        <v>46033</v>
      </c>
      <c r="D227" t="inlineStr">
        <is>
          <t>NORRBOTTENS LÄN</t>
        </is>
      </c>
      <c r="E227" t="inlineStr">
        <is>
          <t>GÄLLIVARE</t>
        </is>
      </c>
      <c r="F227" t="inlineStr">
        <is>
          <t>Sveaskog</t>
        </is>
      </c>
      <c r="G227" t="n">
        <v>29.9</v>
      </c>
      <c r="H227" t="n">
        <v>0</v>
      </c>
      <c r="I227" t="n">
        <v>0</v>
      </c>
      <c r="J227" t="n">
        <v>0</v>
      </c>
      <c r="K227" t="n">
        <v>0</v>
      </c>
      <c r="L227" t="n">
        <v>0</v>
      </c>
      <c r="M227" t="n">
        <v>0</v>
      </c>
      <c r="N227" t="n">
        <v>0</v>
      </c>
      <c r="O227" t="n">
        <v>0</v>
      </c>
      <c r="P227" t="n">
        <v>0</v>
      </c>
      <c r="Q227" t="n">
        <v>0</v>
      </c>
      <c r="R227" s="2" t="inlineStr"/>
    </row>
    <row r="228" ht="15" customHeight="1">
      <c r="A228" t="inlineStr">
        <is>
          <t>A 28580-2025</t>
        </is>
      </c>
      <c r="B228" s="1" t="n">
        <v>45819.57340277778</v>
      </c>
      <c r="C228" s="1" t="n">
        <v>46033</v>
      </c>
      <c r="D228" t="inlineStr">
        <is>
          <t>NORRBOTTENS LÄN</t>
        </is>
      </c>
      <c r="E228" t="inlineStr">
        <is>
          <t>GÄLLIVARE</t>
        </is>
      </c>
      <c r="G228" t="n">
        <v>11.9</v>
      </c>
      <c r="H228" t="n">
        <v>0</v>
      </c>
      <c r="I228" t="n">
        <v>0</v>
      </c>
      <c r="J228" t="n">
        <v>0</v>
      </c>
      <c r="K228" t="n">
        <v>0</v>
      </c>
      <c r="L228" t="n">
        <v>0</v>
      </c>
      <c r="M228" t="n">
        <v>0</v>
      </c>
      <c r="N228" t="n">
        <v>0</v>
      </c>
      <c r="O228" t="n">
        <v>0</v>
      </c>
      <c r="P228" t="n">
        <v>0</v>
      </c>
      <c r="Q228" t="n">
        <v>0</v>
      </c>
      <c r="R228" s="2" t="inlineStr"/>
    </row>
    <row r="229" ht="15" customHeight="1">
      <c r="A229" t="inlineStr">
        <is>
          <t>A 44440-2025</t>
        </is>
      </c>
      <c r="B229" s="1" t="n">
        <v>45916.58972222222</v>
      </c>
      <c r="C229" s="1" t="n">
        <v>46033</v>
      </c>
      <c r="D229" t="inlineStr">
        <is>
          <t>NORRBOTTENS LÄN</t>
        </is>
      </c>
      <c r="E229" t="inlineStr">
        <is>
          <t>GÄLLIVARE</t>
        </is>
      </c>
      <c r="F229" t="inlineStr">
        <is>
          <t>Sveaskog</t>
        </is>
      </c>
      <c r="G229" t="n">
        <v>6.3</v>
      </c>
      <c r="H229" t="n">
        <v>0</v>
      </c>
      <c r="I229" t="n">
        <v>0</v>
      </c>
      <c r="J229" t="n">
        <v>0</v>
      </c>
      <c r="K229" t="n">
        <v>0</v>
      </c>
      <c r="L229" t="n">
        <v>0</v>
      </c>
      <c r="M229" t="n">
        <v>0</v>
      </c>
      <c r="N229" t="n">
        <v>0</v>
      </c>
      <c r="O229" t="n">
        <v>0</v>
      </c>
      <c r="P229" t="n">
        <v>0</v>
      </c>
      <c r="Q229" t="n">
        <v>0</v>
      </c>
      <c r="R229" s="2" t="inlineStr"/>
    </row>
    <row r="230" ht="15" customHeight="1">
      <c r="A230" t="inlineStr">
        <is>
          <t>A 17418-2024</t>
        </is>
      </c>
      <c r="B230" s="1" t="n">
        <v>45414</v>
      </c>
      <c r="C230" s="1" t="n">
        <v>46033</v>
      </c>
      <c r="D230" t="inlineStr">
        <is>
          <t>NORRBOTTENS LÄN</t>
        </is>
      </c>
      <c r="E230" t="inlineStr">
        <is>
          <t>GÄLLIVARE</t>
        </is>
      </c>
      <c r="F230" t="inlineStr">
        <is>
          <t>SCA</t>
        </is>
      </c>
      <c r="G230" t="n">
        <v>48.6</v>
      </c>
      <c r="H230" t="n">
        <v>0</v>
      </c>
      <c r="I230" t="n">
        <v>0</v>
      </c>
      <c r="J230" t="n">
        <v>0</v>
      </c>
      <c r="K230" t="n">
        <v>0</v>
      </c>
      <c r="L230" t="n">
        <v>0</v>
      </c>
      <c r="M230" t="n">
        <v>0</v>
      </c>
      <c r="N230" t="n">
        <v>0</v>
      </c>
      <c r="O230" t="n">
        <v>0</v>
      </c>
      <c r="P230" t="n">
        <v>0</v>
      </c>
      <c r="Q230" t="n">
        <v>0</v>
      </c>
      <c r="R230" s="2" t="inlineStr"/>
    </row>
    <row r="231" ht="15" customHeight="1">
      <c r="A231" t="inlineStr">
        <is>
          <t>A 44373-2025</t>
        </is>
      </c>
      <c r="B231" s="1" t="n">
        <v>45916.46555555556</v>
      </c>
      <c r="C231" s="1" t="n">
        <v>46033</v>
      </c>
      <c r="D231" t="inlineStr">
        <is>
          <t>NORRBOTTENS LÄN</t>
        </is>
      </c>
      <c r="E231" t="inlineStr">
        <is>
          <t>GÄLLIVARE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44444-2025</t>
        </is>
      </c>
      <c r="B232" s="1" t="n">
        <v>45916.59509259259</v>
      </c>
      <c r="C232" s="1" t="n">
        <v>46033</v>
      </c>
      <c r="D232" t="inlineStr">
        <is>
          <t>NORRBOTTENS LÄN</t>
        </is>
      </c>
      <c r="E232" t="inlineStr">
        <is>
          <t>GÄLLIVARE</t>
        </is>
      </c>
      <c r="F232" t="inlineStr">
        <is>
          <t>Sveaskog</t>
        </is>
      </c>
      <c r="G232" t="n">
        <v>10.5</v>
      </c>
      <c r="H232" t="n">
        <v>0</v>
      </c>
      <c r="I232" t="n">
        <v>0</v>
      </c>
      <c r="J232" t="n">
        <v>0</v>
      </c>
      <c r="K232" t="n">
        <v>0</v>
      </c>
      <c r="L232" t="n">
        <v>0</v>
      </c>
      <c r="M232" t="n">
        <v>0</v>
      </c>
      <c r="N232" t="n">
        <v>0</v>
      </c>
      <c r="O232" t="n">
        <v>0</v>
      </c>
      <c r="P232" t="n">
        <v>0</v>
      </c>
      <c r="Q232" t="n">
        <v>0</v>
      </c>
      <c r="R232" s="2" t="inlineStr"/>
    </row>
    <row r="233" ht="15" customHeight="1">
      <c r="A233" t="inlineStr">
        <is>
          <t>A 55034-2023</t>
        </is>
      </c>
      <c r="B233" s="1" t="n">
        <v>45237</v>
      </c>
      <c r="C233" s="1" t="n">
        <v>46033</v>
      </c>
      <c r="D233" t="inlineStr">
        <is>
          <t>NORRBOTTENS LÄN</t>
        </is>
      </c>
      <c r="E233" t="inlineStr">
        <is>
          <t>GÄLLIVARE</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58776-2022</t>
        </is>
      </c>
      <c r="B234" s="1" t="n">
        <v>44895</v>
      </c>
      <c r="C234" s="1" t="n">
        <v>46033</v>
      </c>
      <c r="D234" t="inlineStr">
        <is>
          <t>NORRBOTTENS LÄN</t>
        </is>
      </c>
      <c r="E234" t="inlineStr">
        <is>
          <t>GÄLLIVARE</t>
        </is>
      </c>
      <c r="G234" t="n">
        <v>12.1</v>
      </c>
      <c r="H234" t="n">
        <v>0</v>
      </c>
      <c r="I234" t="n">
        <v>0</v>
      </c>
      <c r="J234" t="n">
        <v>0</v>
      </c>
      <c r="K234" t="n">
        <v>0</v>
      </c>
      <c r="L234" t="n">
        <v>0</v>
      </c>
      <c r="M234" t="n">
        <v>0</v>
      </c>
      <c r="N234" t="n">
        <v>0</v>
      </c>
      <c r="O234" t="n">
        <v>0</v>
      </c>
      <c r="P234" t="n">
        <v>0</v>
      </c>
      <c r="Q234" t="n">
        <v>0</v>
      </c>
      <c r="R234" s="2" t="inlineStr"/>
    </row>
    <row r="235" ht="15" customHeight="1">
      <c r="A235" t="inlineStr">
        <is>
          <t>A 29481-2025</t>
        </is>
      </c>
      <c r="B235" s="1" t="n">
        <v>45824</v>
      </c>
      <c r="C235" s="1" t="n">
        <v>46033</v>
      </c>
      <c r="D235" t="inlineStr">
        <is>
          <t>NORRBOTTENS LÄN</t>
        </is>
      </c>
      <c r="E235" t="inlineStr">
        <is>
          <t>GÄLLIVARE</t>
        </is>
      </c>
      <c r="F235" t="inlineStr">
        <is>
          <t>Allmännings- och besparingsskogar</t>
        </is>
      </c>
      <c r="G235" t="n">
        <v>4.5</v>
      </c>
      <c r="H235" t="n">
        <v>0</v>
      </c>
      <c r="I235" t="n">
        <v>0</v>
      </c>
      <c r="J235" t="n">
        <v>0</v>
      </c>
      <c r="K235" t="n">
        <v>0</v>
      </c>
      <c r="L235" t="n">
        <v>0</v>
      </c>
      <c r="M235" t="n">
        <v>0</v>
      </c>
      <c r="N235" t="n">
        <v>0</v>
      </c>
      <c r="O235" t="n">
        <v>0</v>
      </c>
      <c r="P235" t="n">
        <v>0</v>
      </c>
      <c r="Q235" t="n">
        <v>0</v>
      </c>
      <c r="R235" s="2" t="inlineStr"/>
    </row>
    <row r="236" ht="15" customHeight="1">
      <c r="A236" t="inlineStr">
        <is>
          <t>A 29383-2025</t>
        </is>
      </c>
      <c r="B236" s="1" t="n">
        <v>45824</v>
      </c>
      <c r="C236" s="1" t="n">
        <v>46033</v>
      </c>
      <c r="D236" t="inlineStr">
        <is>
          <t>NORRBOTTENS LÄN</t>
        </is>
      </c>
      <c r="E236" t="inlineStr">
        <is>
          <t>GÄLLIVARE</t>
        </is>
      </c>
      <c r="F236" t="inlineStr">
        <is>
          <t>Allmännings- och besparingsskogar</t>
        </is>
      </c>
      <c r="G236" t="n">
        <v>3.7</v>
      </c>
      <c r="H236" t="n">
        <v>0</v>
      </c>
      <c r="I236" t="n">
        <v>0</v>
      </c>
      <c r="J236" t="n">
        <v>0</v>
      </c>
      <c r="K236" t="n">
        <v>0</v>
      </c>
      <c r="L236" t="n">
        <v>0</v>
      </c>
      <c r="M236" t="n">
        <v>0</v>
      </c>
      <c r="N236" t="n">
        <v>0</v>
      </c>
      <c r="O236" t="n">
        <v>0</v>
      </c>
      <c r="P236" t="n">
        <v>0</v>
      </c>
      <c r="Q236" t="n">
        <v>0</v>
      </c>
      <c r="R236" s="2" t="inlineStr"/>
    </row>
    <row r="237" ht="15" customHeight="1">
      <c r="A237" t="inlineStr">
        <is>
          <t>A 29478-2025</t>
        </is>
      </c>
      <c r="B237" s="1" t="n">
        <v>45824</v>
      </c>
      <c r="C237" s="1" t="n">
        <v>46033</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4639-2025</t>
        </is>
      </c>
      <c r="B238" s="1" t="n">
        <v>45687.65006944445</v>
      </c>
      <c r="C238" s="1" t="n">
        <v>46033</v>
      </c>
      <c r="D238" t="inlineStr">
        <is>
          <t>NORRBOTTENS LÄN</t>
        </is>
      </c>
      <c r="E238" t="inlineStr">
        <is>
          <t>GÄLLIVARE</t>
        </is>
      </c>
      <c r="G238" t="n">
        <v>1.2</v>
      </c>
      <c r="H238" t="n">
        <v>0</v>
      </c>
      <c r="I238" t="n">
        <v>0</v>
      </c>
      <c r="J238" t="n">
        <v>0</v>
      </c>
      <c r="K238" t="n">
        <v>0</v>
      </c>
      <c r="L238" t="n">
        <v>0</v>
      </c>
      <c r="M238" t="n">
        <v>0</v>
      </c>
      <c r="N238" t="n">
        <v>0</v>
      </c>
      <c r="O238" t="n">
        <v>0</v>
      </c>
      <c r="P238" t="n">
        <v>0</v>
      </c>
      <c r="Q238" t="n">
        <v>0</v>
      </c>
      <c r="R238" s="2" t="inlineStr"/>
    </row>
    <row r="239" ht="15" customHeight="1">
      <c r="A239" t="inlineStr">
        <is>
          <t>A 45387-2025</t>
        </is>
      </c>
      <c r="B239" s="1" t="n">
        <v>45922</v>
      </c>
      <c r="C239" s="1" t="n">
        <v>46033</v>
      </c>
      <c r="D239" t="inlineStr">
        <is>
          <t>NORRBOTTENS LÄN</t>
        </is>
      </c>
      <c r="E239" t="inlineStr">
        <is>
          <t>GÄLLIVARE</t>
        </is>
      </c>
      <c r="F239" t="inlineStr">
        <is>
          <t>SCA</t>
        </is>
      </c>
      <c r="G239" t="n">
        <v>28.4</v>
      </c>
      <c r="H239" t="n">
        <v>0</v>
      </c>
      <c r="I239" t="n">
        <v>0</v>
      </c>
      <c r="J239" t="n">
        <v>0</v>
      </c>
      <c r="K239" t="n">
        <v>0</v>
      </c>
      <c r="L239" t="n">
        <v>0</v>
      </c>
      <c r="M239" t="n">
        <v>0</v>
      </c>
      <c r="N239" t="n">
        <v>0</v>
      </c>
      <c r="O239" t="n">
        <v>0</v>
      </c>
      <c r="P239" t="n">
        <v>0</v>
      </c>
      <c r="Q239" t="n">
        <v>0</v>
      </c>
      <c r="R239" s="2" t="inlineStr"/>
    </row>
    <row r="240" ht="15" customHeight="1">
      <c r="A240" t="inlineStr">
        <is>
          <t>A 29476-2025</t>
        </is>
      </c>
      <c r="B240" s="1" t="n">
        <v>45824</v>
      </c>
      <c r="C240" s="1" t="n">
        <v>46033</v>
      </c>
      <c r="D240" t="inlineStr">
        <is>
          <t>NORRBOTTENS LÄN</t>
        </is>
      </c>
      <c r="E240" t="inlineStr">
        <is>
          <t>GÄLLIVARE</t>
        </is>
      </c>
      <c r="F240" t="inlineStr">
        <is>
          <t>Allmännings- och besparingsskogar</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29841-2025</t>
        </is>
      </c>
      <c r="B241" s="1" t="n">
        <v>45826.30746527778</v>
      </c>
      <c r="C241" s="1" t="n">
        <v>46033</v>
      </c>
      <c r="D241" t="inlineStr">
        <is>
          <t>NORRBOTTENS LÄN</t>
        </is>
      </c>
      <c r="E241" t="inlineStr">
        <is>
          <t>GÄLLIVARE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30305-2025</t>
        </is>
      </c>
      <c r="B242" s="1" t="n">
        <v>45827.48145833334</v>
      </c>
      <c r="C242" s="1" t="n">
        <v>46033</v>
      </c>
      <c r="D242" t="inlineStr">
        <is>
          <t>NORRBOTTENS LÄN</t>
        </is>
      </c>
      <c r="E242" t="inlineStr">
        <is>
          <t>GÄLLIVARE</t>
        </is>
      </c>
      <c r="F242" t="inlineStr">
        <is>
          <t>Sveaskog</t>
        </is>
      </c>
      <c r="G242" t="n">
        <v>33.6</v>
      </c>
      <c r="H242" t="n">
        <v>0</v>
      </c>
      <c r="I242" t="n">
        <v>0</v>
      </c>
      <c r="J242" t="n">
        <v>0</v>
      </c>
      <c r="K242" t="n">
        <v>0</v>
      </c>
      <c r="L242" t="n">
        <v>0</v>
      </c>
      <c r="M242" t="n">
        <v>0</v>
      </c>
      <c r="N242" t="n">
        <v>0</v>
      </c>
      <c r="O242" t="n">
        <v>0</v>
      </c>
      <c r="P242" t="n">
        <v>0</v>
      </c>
      <c r="Q242" t="n">
        <v>0</v>
      </c>
      <c r="R242" s="2" t="inlineStr"/>
    </row>
    <row r="243" ht="15" customHeight="1">
      <c r="A243" t="inlineStr">
        <is>
          <t>A 30030-2025</t>
        </is>
      </c>
      <c r="B243" s="1" t="n">
        <v>45826.56829861111</v>
      </c>
      <c r="C243" s="1" t="n">
        <v>46033</v>
      </c>
      <c r="D243" t="inlineStr">
        <is>
          <t>NORRBOTTENS LÄN</t>
        </is>
      </c>
      <c r="E243" t="inlineStr">
        <is>
          <t>GÄLLIVARE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30253-2025</t>
        </is>
      </c>
      <c r="B244" s="1" t="n">
        <v>45827.4234375</v>
      </c>
      <c r="C244" s="1" t="n">
        <v>46033</v>
      </c>
      <c r="D244" t="inlineStr">
        <is>
          <t>NORRBOTTENS LÄN</t>
        </is>
      </c>
      <c r="E244" t="inlineStr">
        <is>
          <t>GÄLLIVARE</t>
        </is>
      </c>
      <c r="F244" t="inlineStr">
        <is>
          <t>Sveaskog</t>
        </is>
      </c>
      <c r="G244" t="n">
        <v>25.6</v>
      </c>
      <c r="H244" t="n">
        <v>0</v>
      </c>
      <c r="I244" t="n">
        <v>0</v>
      </c>
      <c r="J244" t="n">
        <v>0</v>
      </c>
      <c r="K244" t="n">
        <v>0</v>
      </c>
      <c r="L244" t="n">
        <v>0</v>
      </c>
      <c r="M244" t="n">
        <v>0</v>
      </c>
      <c r="N244" t="n">
        <v>0</v>
      </c>
      <c r="O244" t="n">
        <v>0</v>
      </c>
      <c r="P244" t="n">
        <v>0</v>
      </c>
      <c r="Q244" t="n">
        <v>0</v>
      </c>
      <c r="R244" s="2" t="inlineStr"/>
    </row>
    <row r="245" ht="15" customHeight="1">
      <c r="A245" t="inlineStr">
        <is>
          <t>A 46386-2025</t>
        </is>
      </c>
      <c r="B245" s="1" t="n">
        <v>45925.53197916667</v>
      </c>
      <c r="C245" s="1" t="n">
        <v>46033</v>
      </c>
      <c r="D245" t="inlineStr">
        <is>
          <t>NORRBOTTENS LÄN</t>
        </is>
      </c>
      <c r="E245" t="inlineStr">
        <is>
          <t>GÄLLIVARE</t>
        </is>
      </c>
      <c r="F245" t="inlineStr">
        <is>
          <t>SCA</t>
        </is>
      </c>
      <c r="G245" t="n">
        <v>7.3</v>
      </c>
      <c r="H245" t="n">
        <v>0</v>
      </c>
      <c r="I245" t="n">
        <v>0</v>
      </c>
      <c r="J245" t="n">
        <v>0</v>
      </c>
      <c r="K245" t="n">
        <v>0</v>
      </c>
      <c r="L245" t="n">
        <v>0</v>
      </c>
      <c r="M245" t="n">
        <v>0</v>
      </c>
      <c r="N245" t="n">
        <v>0</v>
      </c>
      <c r="O245" t="n">
        <v>0</v>
      </c>
      <c r="P245" t="n">
        <v>0</v>
      </c>
      <c r="Q245" t="n">
        <v>0</v>
      </c>
      <c r="R245" s="2" t="inlineStr"/>
    </row>
    <row r="246" ht="15" customHeight="1">
      <c r="A246" t="inlineStr">
        <is>
          <t>A 46318-2025</t>
        </is>
      </c>
      <c r="B246" s="1" t="n">
        <v>45925</v>
      </c>
      <c r="C246" s="1" t="n">
        <v>46033</v>
      </c>
      <c r="D246" t="inlineStr">
        <is>
          <t>NORRBOTTENS LÄN</t>
        </is>
      </c>
      <c r="E246" t="inlineStr">
        <is>
          <t>GÄLLIVARE</t>
        </is>
      </c>
      <c r="G246" t="n">
        <v>10.2</v>
      </c>
      <c r="H246" t="n">
        <v>0</v>
      </c>
      <c r="I246" t="n">
        <v>0</v>
      </c>
      <c r="J246" t="n">
        <v>0</v>
      </c>
      <c r="K246" t="n">
        <v>0</v>
      </c>
      <c r="L246" t="n">
        <v>0</v>
      </c>
      <c r="M246" t="n">
        <v>0</v>
      </c>
      <c r="N246" t="n">
        <v>0</v>
      </c>
      <c r="O246" t="n">
        <v>0</v>
      </c>
      <c r="P246" t="n">
        <v>0</v>
      </c>
      <c r="Q246" t="n">
        <v>0</v>
      </c>
      <c r="R246" s="2" t="inlineStr"/>
    </row>
    <row r="247" ht="15" customHeight="1">
      <c r="A247" t="inlineStr">
        <is>
          <t>A 46418-2025</t>
        </is>
      </c>
      <c r="B247" s="1" t="n">
        <v>45925.59481481482</v>
      </c>
      <c r="C247" s="1" t="n">
        <v>46033</v>
      </c>
      <c r="D247" t="inlineStr">
        <is>
          <t>NORRBOTTENS LÄN</t>
        </is>
      </c>
      <c r="E247" t="inlineStr">
        <is>
          <t>GÄLLIVARE</t>
        </is>
      </c>
      <c r="F247" t="inlineStr">
        <is>
          <t>SCA</t>
        </is>
      </c>
      <c r="G247" t="n">
        <v>8.4</v>
      </c>
      <c r="H247" t="n">
        <v>0</v>
      </c>
      <c r="I247" t="n">
        <v>0</v>
      </c>
      <c r="J247" t="n">
        <v>0</v>
      </c>
      <c r="K247" t="n">
        <v>0</v>
      </c>
      <c r="L247" t="n">
        <v>0</v>
      </c>
      <c r="M247" t="n">
        <v>0</v>
      </c>
      <c r="N247" t="n">
        <v>0</v>
      </c>
      <c r="O247" t="n">
        <v>0</v>
      </c>
      <c r="P247" t="n">
        <v>0</v>
      </c>
      <c r="Q247" t="n">
        <v>0</v>
      </c>
      <c r="R247" s="2" t="inlineStr"/>
    </row>
    <row r="248" ht="15" customHeight="1">
      <c r="A248" t="inlineStr">
        <is>
          <t>A 30476-2025</t>
        </is>
      </c>
      <c r="B248" s="1" t="n">
        <v>45828</v>
      </c>
      <c r="C248" s="1" t="n">
        <v>46033</v>
      </c>
      <c r="D248" t="inlineStr">
        <is>
          <t>NORRBOTTENS LÄN</t>
        </is>
      </c>
      <c r="E248" t="inlineStr">
        <is>
          <t>GÄLLIVARE</t>
        </is>
      </c>
      <c r="G248" t="n">
        <v>8.1</v>
      </c>
      <c r="H248" t="n">
        <v>0</v>
      </c>
      <c r="I248" t="n">
        <v>0</v>
      </c>
      <c r="J248" t="n">
        <v>0</v>
      </c>
      <c r="K248" t="n">
        <v>0</v>
      </c>
      <c r="L248" t="n">
        <v>0</v>
      </c>
      <c r="M248" t="n">
        <v>0</v>
      </c>
      <c r="N248" t="n">
        <v>0</v>
      </c>
      <c r="O248" t="n">
        <v>0</v>
      </c>
      <c r="P248" t="n">
        <v>0</v>
      </c>
      <c r="Q248" t="n">
        <v>0</v>
      </c>
      <c r="R248" s="2" t="inlineStr"/>
    </row>
    <row r="249" ht="15" customHeight="1">
      <c r="A249" t="inlineStr">
        <is>
          <t>A 31097-2025</t>
        </is>
      </c>
      <c r="B249" s="1" t="n">
        <v>45832.59638888889</v>
      </c>
      <c r="C249" s="1" t="n">
        <v>46033</v>
      </c>
      <c r="D249" t="inlineStr">
        <is>
          <t>NORRBOTTENS LÄN</t>
        </is>
      </c>
      <c r="E249" t="inlineStr">
        <is>
          <t>GÄLLIVARE</t>
        </is>
      </c>
      <c r="G249" t="n">
        <v>6.6</v>
      </c>
      <c r="H249" t="n">
        <v>0</v>
      </c>
      <c r="I249" t="n">
        <v>0</v>
      </c>
      <c r="J249" t="n">
        <v>0</v>
      </c>
      <c r="K249" t="n">
        <v>0</v>
      </c>
      <c r="L249" t="n">
        <v>0</v>
      </c>
      <c r="M249" t="n">
        <v>0</v>
      </c>
      <c r="N249" t="n">
        <v>0</v>
      </c>
      <c r="O249" t="n">
        <v>0</v>
      </c>
      <c r="P249" t="n">
        <v>0</v>
      </c>
      <c r="Q249" t="n">
        <v>0</v>
      </c>
      <c r="R249" s="2" t="inlineStr"/>
    </row>
    <row r="250" ht="15" customHeight="1">
      <c r="A250" t="inlineStr">
        <is>
          <t>A 14666-2025</t>
        </is>
      </c>
      <c r="B250" s="1" t="n">
        <v>45742</v>
      </c>
      <c r="C250" s="1" t="n">
        <v>46033</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42612-2023</t>
        </is>
      </c>
      <c r="B251" s="1" t="n">
        <v>45176</v>
      </c>
      <c r="C251" s="1" t="n">
        <v>46033</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31430-2025</t>
        </is>
      </c>
      <c r="B252" s="1" t="n">
        <v>45833.49342592592</v>
      </c>
      <c r="C252" s="1" t="n">
        <v>46033</v>
      </c>
      <c r="D252" t="inlineStr">
        <is>
          <t>NORRBOTTENS LÄN</t>
        </is>
      </c>
      <c r="E252" t="inlineStr">
        <is>
          <t>GÄLLIVARE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31436-2025</t>
        </is>
      </c>
      <c r="B253" s="1" t="n">
        <v>45833.49737268518</v>
      </c>
      <c r="C253" s="1" t="n">
        <v>46033</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31553-2025</t>
        </is>
      </c>
      <c r="B254" s="1" t="n">
        <v>45833</v>
      </c>
      <c r="C254" s="1" t="n">
        <v>46033</v>
      </c>
      <c r="D254" t="inlineStr">
        <is>
          <t>NORRBOTTENS LÄN</t>
        </is>
      </c>
      <c r="E254" t="inlineStr">
        <is>
          <t>GÄLLIVARE</t>
        </is>
      </c>
      <c r="F254" t="inlineStr">
        <is>
          <t>Allmännings- och besparingsskogar</t>
        </is>
      </c>
      <c r="G254" t="n">
        <v>40.8</v>
      </c>
      <c r="H254" t="n">
        <v>0</v>
      </c>
      <c r="I254" t="n">
        <v>0</v>
      </c>
      <c r="J254" t="n">
        <v>0</v>
      </c>
      <c r="K254" t="n">
        <v>0</v>
      </c>
      <c r="L254" t="n">
        <v>0</v>
      </c>
      <c r="M254" t="n">
        <v>0</v>
      </c>
      <c r="N254" t="n">
        <v>0</v>
      </c>
      <c r="O254" t="n">
        <v>0</v>
      </c>
      <c r="P254" t="n">
        <v>0</v>
      </c>
      <c r="Q254" t="n">
        <v>0</v>
      </c>
      <c r="R254" s="2" t="inlineStr"/>
    </row>
    <row r="255" ht="15" customHeight="1">
      <c r="A255" t="inlineStr">
        <is>
          <t>A 31541-2025</t>
        </is>
      </c>
      <c r="B255" s="1" t="n">
        <v>45833</v>
      </c>
      <c r="C255" s="1" t="n">
        <v>46033</v>
      </c>
      <c r="D255" t="inlineStr">
        <is>
          <t>NORRBOTTENS LÄN</t>
        </is>
      </c>
      <c r="E255" t="inlineStr">
        <is>
          <t>GÄLLIVARE</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47208-2025</t>
        </is>
      </c>
      <c r="B256" s="1" t="n">
        <v>45930.37351851852</v>
      </c>
      <c r="C256" s="1" t="n">
        <v>46033</v>
      </c>
      <c r="D256" t="inlineStr">
        <is>
          <t>NORRBOTTENS LÄN</t>
        </is>
      </c>
      <c r="E256" t="inlineStr">
        <is>
          <t>GÄLLIVARE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47190-2025</t>
        </is>
      </c>
      <c r="B257" s="1" t="n">
        <v>45930</v>
      </c>
      <c r="C257" s="1" t="n">
        <v>46033</v>
      </c>
      <c r="D257" t="inlineStr">
        <is>
          <t>NORRBOTTENS LÄN</t>
        </is>
      </c>
      <c r="E257" t="inlineStr">
        <is>
          <t>GÄLLIVARE</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47205-2025</t>
        </is>
      </c>
      <c r="B258" s="1" t="n">
        <v>45930.36988425926</v>
      </c>
      <c r="C258" s="1" t="n">
        <v>46033</v>
      </c>
      <c r="D258" t="inlineStr">
        <is>
          <t>NORRBOTTENS LÄN</t>
        </is>
      </c>
      <c r="E258" t="inlineStr">
        <is>
          <t>GÄLLIVARE</t>
        </is>
      </c>
      <c r="F258" t="inlineStr">
        <is>
          <t>Sveaskog</t>
        </is>
      </c>
      <c r="G258" t="n">
        <v>6.8</v>
      </c>
      <c r="H258" t="n">
        <v>0</v>
      </c>
      <c r="I258" t="n">
        <v>0</v>
      </c>
      <c r="J258" t="n">
        <v>0</v>
      </c>
      <c r="K258" t="n">
        <v>0</v>
      </c>
      <c r="L258" t="n">
        <v>0</v>
      </c>
      <c r="M258" t="n">
        <v>0</v>
      </c>
      <c r="N258" t="n">
        <v>0</v>
      </c>
      <c r="O258" t="n">
        <v>0</v>
      </c>
      <c r="P258" t="n">
        <v>0</v>
      </c>
      <c r="Q258" t="n">
        <v>0</v>
      </c>
      <c r="R258" s="2" t="inlineStr"/>
    </row>
    <row r="259" ht="15" customHeight="1">
      <c r="A259" t="inlineStr">
        <is>
          <t>A 60982-2025</t>
        </is>
      </c>
      <c r="B259" s="1" t="n">
        <v>45999.70535879629</v>
      </c>
      <c r="C259" s="1" t="n">
        <v>46033</v>
      </c>
      <c r="D259" t="inlineStr">
        <is>
          <t>NORRBOTTENS LÄN</t>
        </is>
      </c>
      <c r="E259" t="inlineStr">
        <is>
          <t>GÄLLIVARE</t>
        </is>
      </c>
      <c r="G259" t="n">
        <v>2.5</v>
      </c>
      <c r="H259" t="n">
        <v>0</v>
      </c>
      <c r="I259" t="n">
        <v>0</v>
      </c>
      <c r="J259" t="n">
        <v>0</v>
      </c>
      <c r="K259" t="n">
        <v>0</v>
      </c>
      <c r="L259" t="n">
        <v>0</v>
      </c>
      <c r="M259" t="n">
        <v>0</v>
      </c>
      <c r="N259" t="n">
        <v>0</v>
      </c>
      <c r="O259" t="n">
        <v>0</v>
      </c>
      <c r="P259" t="n">
        <v>0</v>
      </c>
      <c r="Q259" t="n">
        <v>0</v>
      </c>
      <c r="R259" s="2" t="inlineStr"/>
    </row>
    <row r="260" ht="15" customHeight="1">
      <c r="A260" t="inlineStr">
        <is>
          <t>A 17203-2024</t>
        </is>
      </c>
      <c r="B260" s="1" t="n">
        <v>45413</v>
      </c>
      <c r="C260" s="1" t="n">
        <v>46033</v>
      </c>
      <c r="D260" t="inlineStr">
        <is>
          <t>NORRBOTTENS LÄN</t>
        </is>
      </c>
      <c r="E260" t="inlineStr">
        <is>
          <t>GÄLLIVARE</t>
        </is>
      </c>
      <c r="G260" t="n">
        <v>1.6</v>
      </c>
      <c r="H260" t="n">
        <v>0</v>
      </c>
      <c r="I260" t="n">
        <v>0</v>
      </c>
      <c r="J260" t="n">
        <v>0</v>
      </c>
      <c r="K260" t="n">
        <v>0</v>
      </c>
      <c r="L260" t="n">
        <v>0</v>
      </c>
      <c r="M260" t="n">
        <v>0</v>
      </c>
      <c r="N260" t="n">
        <v>0</v>
      </c>
      <c r="O260" t="n">
        <v>0</v>
      </c>
      <c r="P260" t="n">
        <v>0</v>
      </c>
      <c r="Q260" t="n">
        <v>0</v>
      </c>
      <c r="R260" s="2" t="inlineStr"/>
    </row>
    <row r="261" ht="15" customHeight="1">
      <c r="A261" t="inlineStr">
        <is>
          <t>A 47444-2025</t>
        </is>
      </c>
      <c r="B261" s="1" t="n">
        <v>45930.64141203704</v>
      </c>
      <c r="C261" s="1" t="n">
        <v>46033</v>
      </c>
      <c r="D261" t="inlineStr">
        <is>
          <t>NORRBOTTENS LÄN</t>
        </is>
      </c>
      <c r="E261" t="inlineStr">
        <is>
          <t>GÄLLIVARE</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31647-2025</t>
        </is>
      </c>
      <c r="B262" s="1" t="n">
        <v>45834.34582175926</v>
      </c>
      <c r="C262" s="1" t="n">
        <v>46033</v>
      </c>
      <c r="D262" t="inlineStr">
        <is>
          <t>NORRBOTTENS LÄN</t>
        </is>
      </c>
      <c r="E262" t="inlineStr">
        <is>
          <t>GÄLLIVARE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30364-2024</t>
        </is>
      </c>
      <c r="B263" s="1" t="n">
        <v>45491</v>
      </c>
      <c r="C263" s="1" t="n">
        <v>46033</v>
      </c>
      <c r="D263" t="inlineStr">
        <is>
          <t>NORRBOTTENS LÄN</t>
        </is>
      </c>
      <c r="E263" t="inlineStr">
        <is>
          <t>GÄLLIVARE</t>
        </is>
      </c>
      <c r="G263" t="n">
        <v>3.3</v>
      </c>
      <c r="H263" t="n">
        <v>0</v>
      </c>
      <c r="I263" t="n">
        <v>0</v>
      </c>
      <c r="J263" t="n">
        <v>0</v>
      </c>
      <c r="K263" t="n">
        <v>0</v>
      </c>
      <c r="L263" t="n">
        <v>0</v>
      </c>
      <c r="M263" t="n">
        <v>0</v>
      </c>
      <c r="N263" t="n">
        <v>0</v>
      </c>
      <c r="O263" t="n">
        <v>0</v>
      </c>
      <c r="P263" t="n">
        <v>0</v>
      </c>
      <c r="Q263" t="n">
        <v>0</v>
      </c>
      <c r="R263" s="2" t="inlineStr"/>
    </row>
    <row r="264" ht="15" customHeight="1">
      <c r="A264" t="inlineStr">
        <is>
          <t>A 31648-2025</t>
        </is>
      </c>
      <c r="B264" s="1" t="n">
        <v>45834</v>
      </c>
      <c r="C264" s="1" t="n">
        <v>46033</v>
      </c>
      <c r="D264" t="inlineStr">
        <is>
          <t>NORRBOTTENS LÄN</t>
        </is>
      </c>
      <c r="E264" t="inlineStr">
        <is>
          <t>GÄLLIVARE</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55644-2023</t>
        </is>
      </c>
      <c r="B265" s="1" t="n">
        <v>45238</v>
      </c>
      <c r="C265" s="1" t="n">
        <v>46033</v>
      </c>
      <c r="D265" t="inlineStr">
        <is>
          <t>NORRBOTTENS LÄN</t>
        </is>
      </c>
      <c r="E265" t="inlineStr">
        <is>
          <t>GÄLLIVARE</t>
        </is>
      </c>
      <c r="F265" t="inlineStr">
        <is>
          <t>SCA</t>
        </is>
      </c>
      <c r="G265" t="n">
        <v>2.6</v>
      </c>
      <c r="H265" t="n">
        <v>0</v>
      </c>
      <c r="I265" t="n">
        <v>0</v>
      </c>
      <c r="J265" t="n">
        <v>0</v>
      </c>
      <c r="K265" t="n">
        <v>0</v>
      </c>
      <c r="L265" t="n">
        <v>0</v>
      </c>
      <c r="M265" t="n">
        <v>0</v>
      </c>
      <c r="N265" t="n">
        <v>0</v>
      </c>
      <c r="O265" t="n">
        <v>0</v>
      </c>
      <c r="P265" t="n">
        <v>0</v>
      </c>
      <c r="Q265" t="n">
        <v>0</v>
      </c>
      <c r="R265" s="2" t="inlineStr"/>
    </row>
    <row r="266" ht="15" customHeight="1">
      <c r="A266" t="inlineStr">
        <is>
          <t>A 31652-2025</t>
        </is>
      </c>
      <c r="B266" s="1" t="n">
        <v>45834</v>
      </c>
      <c r="C266" s="1" t="n">
        <v>46033</v>
      </c>
      <c r="D266" t="inlineStr">
        <is>
          <t>NORRBOTTENS LÄN</t>
        </is>
      </c>
      <c r="E266" t="inlineStr">
        <is>
          <t>GÄLLIVARE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31643-2025</t>
        </is>
      </c>
      <c r="B267" s="1" t="n">
        <v>45834.34496527778</v>
      </c>
      <c r="C267" s="1" t="n">
        <v>46033</v>
      </c>
      <c r="D267" t="inlineStr">
        <is>
          <t>NORRBOTTENS LÄN</t>
        </is>
      </c>
      <c r="E267" t="inlineStr">
        <is>
          <t>GÄLLIVARE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31644-2025</t>
        </is>
      </c>
      <c r="B268" s="1" t="n">
        <v>45834.34519675926</v>
      </c>
      <c r="C268" s="1" t="n">
        <v>46033</v>
      </c>
      <c r="D268" t="inlineStr">
        <is>
          <t>NORRBOTTENS LÄN</t>
        </is>
      </c>
      <c r="E268" t="inlineStr">
        <is>
          <t>GÄLLIVARE</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31650-2025</t>
        </is>
      </c>
      <c r="B269" s="1" t="n">
        <v>45834.3466087963</v>
      </c>
      <c r="C269" s="1" t="n">
        <v>46033</v>
      </c>
      <c r="D269" t="inlineStr">
        <is>
          <t>NORRBOTTENS LÄN</t>
        </is>
      </c>
      <c r="E269" t="inlineStr">
        <is>
          <t>GÄLLIVARE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31653-2025</t>
        </is>
      </c>
      <c r="B270" s="1" t="n">
        <v>45834.34711805556</v>
      </c>
      <c r="C270" s="1" t="n">
        <v>46033</v>
      </c>
      <c r="D270" t="inlineStr">
        <is>
          <t>NORRBOTTENS LÄN</t>
        </is>
      </c>
      <c r="E270" t="inlineStr">
        <is>
          <t>GÄLLIVARE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32936-2025</t>
        </is>
      </c>
      <c r="B271" s="1" t="n">
        <v>45839</v>
      </c>
      <c r="C271" s="1" t="n">
        <v>46033</v>
      </c>
      <c r="D271" t="inlineStr">
        <is>
          <t>NORRBOTTENS LÄN</t>
        </is>
      </c>
      <c r="E271" t="inlineStr">
        <is>
          <t>GÄLLIVARE</t>
        </is>
      </c>
      <c r="G271" t="n">
        <v>3</v>
      </c>
      <c r="H271" t="n">
        <v>0</v>
      </c>
      <c r="I271" t="n">
        <v>0</v>
      </c>
      <c r="J271" t="n">
        <v>0</v>
      </c>
      <c r="K271" t="n">
        <v>0</v>
      </c>
      <c r="L271" t="n">
        <v>0</v>
      </c>
      <c r="M271" t="n">
        <v>0</v>
      </c>
      <c r="N271" t="n">
        <v>0</v>
      </c>
      <c r="O271" t="n">
        <v>0</v>
      </c>
      <c r="P271" t="n">
        <v>0</v>
      </c>
      <c r="Q271" t="n">
        <v>0</v>
      </c>
      <c r="R271" s="2" t="inlineStr"/>
    </row>
    <row r="272" ht="15" customHeight="1">
      <c r="A272" t="inlineStr">
        <is>
          <t>A 32943-2025</t>
        </is>
      </c>
      <c r="B272" s="1" t="n">
        <v>45839</v>
      </c>
      <c r="C272" s="1" t="n">
        <v>46033</v>
      </c>
      <c r="D272" t="inlineStr">
        <is>
          <t>NORRBOTTENS LÄN</t>
        </is>
      </c>
      <c r="E272" t="inlineStr">
        <is>
          <t>GÄLLIVARE</t>
        </is>
      </c>
      <c r="G272" t="n">
        <v>16.8</v>
      </c>
      <c r="H272" t="n">
        <v>0</v>
      </c>
      <c r="I272" t="n">
        <v>0</v>
      </c>
      <c r="J272" t="n">
        <v>0</v>
      </c>
      <c r="K272" t="n">
        <v>0</v>
      </c>
      <c r="L272" t="n">
        <v>0</v>
      </c>
      <c r="M272" t="n">
        <v>0</v>
      </c>
      <c r="N272" t="n">
        <v>0</v>
      </c>
      <c r="O272" t="n">
        <v>0</v>
      </c>
      <c r="P272" t="n">
        <v>0</v>
      </c>
      <c r="Q272" t="n">
        <v>0</v>
      </c>
      <c r="R272" s="2" t="inlineStr"/>
    </row>
    <row r="273" ht="15" customHeight="1">
      <c r="A273" t="inlineStr">
        <is>
          <t>A 8516-2025</t>
        </is>
      </c>
      <c r="B273" s="1" t="n">
        <v>45709</v>
      </c>
      <c r="C273" s="1" t="n">
        <v>46033</v>
      </c>
      <c r="D273" t="inlineStr">
        <is>
          <t>NORRBOTTENS LÄN</t>
        </is>
      </c>
      <c r="E273" t="inlineStr">
        <is>
          <t>GÄLLIVARE</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55755-2024</t>
        </is>
      </c>
      <c r="B274" s="1" t="n">
        <v>45623</v>
      </c>
      <c r="C274" s="1" t="n">
        <v>46033</v>
      </c>
      <c r="D274" t="inlineStr">
        <is>
          <t>NORRBOTTENS LÄN</t>
        </is>
      </c>
      <c r="E274" t="inlineStr">
        <is>
          <t>GÄLLIVARE</t>
        </is>
      </c>
      <c r="G274" t="n">
        <v>7.6</v>
      </c>
      <c r="H274" t="n">
        <v>0</v>
      </c>
      <c r="I274" t="n">
        <v>0</v>
      </c>
      <c r="J274" t="n">
        <v>0</v>
      </c>
      <c r="K274" t="n">
        <v>0</v>
      </c>
      <c r="L274" t="n">
        <v>0</v>
      </c>
      <c r="M274" t="n">
        <v>0</v>
      </c>
      <c r="N274" t="n">
        <v>0</v>
      </c>
      <c r="O274" t="n">
        <v>0</v>
      </c>
      <c r="P274" t="n">
        <v>0</v>
      </c>
      <c r="Q274" t="n">
        <v>0</v>
      </c>
      <c r="R274" s="2" t="inlineStr"/>
    </row>
    <row r="275" ht="15" customHeight="1">
      <c r="A275" t="inlineStr">
        <is>
          <t>A 53893-2024</t>
        </is>
      </c>
      <c r="B275" s="1" t="n">
        <v>45615</v>
      </c>
      <c r="C275" s="1" t="n">
        <v>46033</v>
      </c>
      <c r="D275" t="inlineStr">
        <is>
          <t>NORRBOTTENS LÄN</t>
        </is>
      </c>
      <c r="E275" t="inlineStr">
        <is>
          <t>GÄLLIVARE</t>
        </is>
      </c>
      <c r="G275" t="n">
        <v>3.4</v>
      </c>
      <c r="H275" t="n">
        <v>0</v>
      </c>
      <c r="I275" t="n">
        <v>0</v>
      </c>
      <c r="J275" t="n">
        <v>0</v>
      </c>
      <c r="K275" t="n">
        <v>0</v>
      </c>
      <c r="L275" t="n">
        <v>0</v>
      </c>
      <c r="M275" t="n">
        <v>0</v>
      </c>
      <c r="N275" t="n">
        <v>0</v>
      </c>
      <c r="O275" t="n">
        <v>0</v>
      </c>
      <c r="P275" t="n">
        <v>0</v>
      </c>
      <c r="Q275" t="n">
        <v>0</v>
      </c>
      <c r="R275" s="2" t="inlineStr"/>
    </row>
    <row r="276" ht="15" customHeight="1">
      <c r="A276" t="inlineStr">
        <is>
          <t>A 48664-2025</t>
        </is>
      </c>
      <c r="B276" s="1" t="n">
        <v>45936.57346064815</v>
      </c>
      <c r="C276" s="1" t="n">
        <v>46033</v>
      </c>
      <c r="D276" t="inlineStr">
        <is>
          <t>NORRBOTTENS LÄN</t>
        </is>
      </c>
      <c r="E276" t="inlineStr">
        <is>
          <t>GÄLLIVARE</t>
        </is>
      </c>
      <c r="F276" t="inlineStr">
        <is>
          <t>SCA</t>
        </is>
      </c>
      <c r="G276" t="n">
        <v>16.5</v>
      </c>
      <c r="H276" t="n">
        <v>0</v>
      </c>
      <c r="I276" t="n">
        <v>0</v>
      </c>
      <c r="J276" t="n">
        <v>0</v>
      </c>
      <c r="K276" t="n">
        <v>0</v>
      </c>
      <c r="L276" t="n">
        <v>0</v>
      </c>
      <c r="M276" t="n">
        <v>0</v>
      </c>
      <c r="N276" t="n">
        <v>0</v>
      </c>
      <c r="O276" t="n">
        <v>0</v>
      </c>
      <c r="P276" t="n">
        <v>0</v>
      </c>
      <c r="Q276" t="n">
        <v>0</v>
      </c>
      <c r="R276" s="2" t="inlineStr"/>
    </row>
    <row r="277" ht="15" customHeight="1">
      <c r="A277" t="inlineStr">
        <is>
          <t>A 52581-2025</t>
        </is>
      </c>
      <c r="B277" s="1" t="n">
        <v>45954</v>
      </c>
      <c r="C277" s="1" t="n">
        <v>46033</v>
      </c>
      <c r="D277" t="inlineStr">
        <is>
          <t>NORRBOTTENS LÄN</t>
        </is>
      </c>
      <c r="E277" t="inlineStr">
        <is>
          <t>GÄLLIVARE</t>
        </is>
      </c>
      <c r="G277" t="n">
        <v>2.7</v>
      </c>
      <c r="H277" t="n">
        <v>0</v>
      </c>
      <c r="I277" t="n">
        <v>0</v>
      </c>
      <c r="J277" t="n">
        <v>0</v>
      </c>
      <c r="K277" t="n">
        <v>0</v>
      </c>
      <c r="L277" t="n">
        <v>0</v>
      </c>
      <c r="M277" t="n">
        <v>0</v>
      </c>
      <c r="N277" t="n">
        <v>0</v>
      </c>
      <c r="O277" t="n">
        <v>0</v>
      </c>
      <c r="P277" t="n">
        <v>0</v>
      </c>
      <c r="Q277" t="n">
        <v>0</v>
      </c>
      <c r="R277" s="2" t="inlineStr"/>
    </row>
    <row r="278" ht="15" customHeight="1">
      <c r="A278" t="inlineStr">
        <is>
          <t>A 48627-2025</t>
        </is>
      </c>
      <c r="B278" s="1" t="n">
        <v>45936.51128472222</v>
      </c>
      <c r="C278" s="1" t="n">
        <v>46033</v>
      </c>
      <c r="D278" t="inlineStr">
        <is>
          <t>NORRBOTTENS LÄN</t>
        </is>
      </c>
      <c r="E278" t="inlineStr">
        <is>
          <t>GÄLLIVARE</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57208-2021</t>
        </is>
      </c>
      <c r="B279" s="1" t="n">
        <v>44482.94003472223</v>
      </c>
      <c r="C279" s="1" t="n">
        <v>46033</v>
      </c>
      <c r="D279" t="inlineStr">
        <is>
          <t>NORRBOTTENS LÄN</t>
        </is>
      </c>
      <c r="E279" t="inlineStr">
        <is>
          <t>GÄLLIVARE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4135-2022</t>
        </is>
      </c>
      <c r="B280" s="1" t="n">
        <v>44588</v>
      </c>
      <c r="C280" s="1" t="n">
        <v>46033</v>
      </c>
      <c r="D280" t="inlineStr">
        <is>
          <t>NORRBOTTENS LÄN</t>
        </is>
      </c>
      <c r="E280" t="inlineStr">
        <is>
          <t>GÄLLIVARE</t>
        </is>
      </c>
      <c r="G280" t="n">
        <v>2.8</v>
      </c>
      <c r="H280" t="n">
        <v>0</v>
      </c>
      <c r="I280" t="n">
        <v>0</v>
      </c>
      <c r="J280" t="n">
        <v>0</v>
      </c>
      <c r="K280" t="n">
        <v>0</v>
      </c>
      <c r="L280" t="n">
        <v>0</v>
      </c>
      <c r="M280" t="n">
        <v>0</v>
      </c>
      <c r="N280" t="n">
        <v>0</v>
      </c>
      <c r="O280" t="n">
        <v>0</v>
      </c>
      <c r="P280" t="n">
        <v>0</v>
      </c>
      <c r="Q280" t="n">
        <v>0</v>
      </c>
      <c r="R280" s="2" t="inlineStr"/>
    </row>
    <row r="281" ht="15" customHeight="1">
      <c r="A281" t="inlineStr">
        <is>
          <t>A 60158-2025</t>
        </is>
      </c>
      <c r="B281" s="1" t="n">
        <v>45994.42756944444</v>
      </c>
      <c r="C281" s="1" t="n">
        <v>46033</v>
      </c>
      <c r="D281" t="inlineStr">
        <is>
          <t>NORRBOTTENS LÄN</t>
        </is>
      </c>
      <c r="E281" t="inlineStr">
        <is>
          <t>GÄLLIVARE</t>
        </is>
      </c>
      <c r="F281" t="inlineStr">
        <is>
          <t>SCA</t>
        </is>
      </c>
      <c r="G281" t="n">
        <v>9.4</v>
      </c>
      <c r="H281" t="n">
        <v>0</v>
      </c>
      <c r="I281" t="n">
        <v>0</v>
      </c>
      <c r="J281" t="n">
        <v>0</v>
      </c>
      <c r="K281" t="n">
        <v>0</v>
      </c>
      <c r="L281" t="n">
        <v>0</v>
      </c>
      <c r="M281" t="n">
        <v>0</v>
      </c>
      <c r="N281" t="n">
        <v>0</v>
      </c>
      <c r="O281" t="n">
        <v>0</v>
      </c>
      <c r="P281" t="n">
        <v>0</v>
      </c>
      <c r="Q281" t="n">
        <v>0</v>
      </c>
      <c r="R281" s="2" t="inlineStr"/>
    </row>
    <row r="282" ht="15" customHeight="1">
      <c r="A282" t="inlineStr">
        <is>
          <t>A 52716-2025</t>
        </is>
      </c>
      <c r="B282" s="1" t="n">
        <v>45957.3212037037</v>
      </c>
      <c r="C282" s="1" t="n">
        <v>46033</v>
      </c>
      <c r="D282" t="inlineStr">
        <is>
          <t>NORRBOTTENS LÄN</t>
        </is>
      </c>
      <c r="E282" t="inlineStr">
        <is>
          <t>GÄLLIVARE</t>
        </is>
      </c>
      <c r="G282" t="n">
        <v>0.3</v>
      </c>
      <c r="H282" t="n">
        <v>0</v>
      </c>
      <c r="I282" t="n">
        <v>0</v>
      </c>
      <c r="J282" t="n">
        <v>0</v>
      </c>
      <c r="K282" t="n">
        <v>0</v>
      </c>
      <c r="L282" t="n">
        <v>0</v>
      </c>
      <c r="M282" t="n">
        <v>0</v>
      </c>
      <c r="N282" t="n">
        <v>0</v>
      </c>
      <c r="O282" t="n">
        <v>0</v>
      </c>
      <c r="P282" t="n">
        <v>0</v>
      </c>
      <c r="Q282" t="n">
        <v>0</v>
      </c>
      <c r="R282" s="2" t="inlineStr"/>
    </row>
    <row r="283" ht="15" customHeight="1">
      <c r="A283" t="inlineStr">
        <is>
          <t>A 48626-2025</t>
        </is>
      </c>
      <c r="B283" s="1" t="n">
        <v>45936</v>
      </c>
      <c r="C283" s="1" t="n">
        <v>46033</v>
      </c>
      <c r="D283" t="inlineStr">
        <is>
          <t>NORRBOTTENS LÄN</t>
        </is>
      </c>
      <c r="E283" t="inlineStr">
        <is>
          <t>GÄLLIVARE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52715-2025</t>
        </is>
      </c>
      <c r="B284" s="1" t="n">
        <v>45957.31655092593</v>
      </c>
      <c r="C284" s="1" t="n">
        <v>46033</v>
      </c>
      <c r="D284" t="inlineStr">
        <is>
          <t>NORRBOTTENS LÄN</t>
        </is>
      </c>
      <c r="E284" t="inlineStr">
        <is>
          <t>GÄLLIVARE</t>
        </is>
      </c>
      <c r="G284" t="n">
        <v>0.9</v>
      </c>
      <c r="H284" t="n">
        <v>0</v>
      </c>
      <c r="I284" t="n">
        <v>0</v>
      </c>
      <c r="J284" t="n">
        <v>0</v>
      </c>
      <c r="K284" t="n">
        <v>0</v>
      </c>
      <c r="L284" t="n">
        <v>0</v>
      </c>
      <c r="M284" t="n">
        <v>0</v>
      </c>
      <c r="N284" t="n">
        <v>0</v>
      </c>
      <c r="O284" t="n">
        <v>0</v>
      </c>
      <c r="P284" t="n">
        <v>0</v>
      </c>
      <c r="Q284" t="n">
        <v>0</v>
      </c>
      <c r="R284" s="2" t="inlineStr"/>
    </row>
    <row r="285" ht="15" customHeight="1">
      <c r="A285" t="inlineStr">
        <is>
          <t>A 48563-2025</t>
        </is>
      </c>
      <c r="B285" s="1" t="n">
        <v>45936</v>
      </c>
      <c r="C285" s="1" t="n">
        <v>46033</v>
      </c>
      <c r="D285" t="inlineStr">
        <is>
          <t>NORRBOTTENS LÄN</t>
        </is>
      </c>
      <c r="E285" t="inlineStr">
        <is>
          <t>GÄLLIVARE</t>
        </is>
      </c>
      <c r="G285" t="n">
        <v>7</v>
      </c>
      <c r="H285" t="n">
        <v>0</v>
      </c>
      <c r="I285" t="n">
        <v>0</v>
      </c>
      <c r="J285" t="n">
        <v>0</v>
      </c>
      <c r="K285" t="n">
        <v>0</v>
      </c>
      <c r="L285" t="n">
        <v>0</v>
      </c>
      <c r="M285" t="n">
        <v>0</v>
      </c>
      <c r="N285" t="n">
        <v>0</v>
      </c>
      <c r="O285" t="n">
        <v>0</v>
      </c>
      <c r="P285" t="n">
        <v>0</v>
      </c>
      <c r="Q285" t="n">
        <v>0</v>
      </c>
      <c r="R285" s="2" t="inlineStr"/>
    </row>
    <row r="286" ht="15" customHeight="1">
      <c r="A286" t="inlineStr">
        <is>
          <t>A 44983-2023</t>
        </is>
      </c>
      <c r="B286" s="1" t="n">
        <v>45190</v>
      </c>
      <c r="C286" s="1" t="n">
        <v>46033</v>
      </c>
      <c r="D286" t="inlineStr">
        <is>
          <t>NORRBOTTENS LÄN</t>
        </is>
      </c>
      <c r="E286" t="inlineStr">
        <is>
          <t>GÄLLIVARE</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52910-2025</t>
        </is>
      </c>
      <c r="B287" s="1" t="n">
        <v>45957</v>
      </c>
      <c r="C287" s="1" t="n">
        <v>46033</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49359-2025</t>
        </is>
      </c>
      <c r="B288" s="1" t="n">
        <v>45938.61662037037</v>
      </c>
      <c r="C288" s="1" t="n">
        <v>46033</v>
      </c>
      <c r="D288" t="inlineStr">
        <is>
          <t>NORRBOTTENS LÄN</t>
        </is>
      </c>
      <c r="E288" t="inlineStr">
        <is>
          <t>GÄLLIVARE</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60219-2025</t>
        </is>
      </c>
      <c r="B289" s="1" t="n">
        <v>45994.54309027778</v>
      </c>
      <c r="C289" s="1" t="n">
        <v>46033</v>
      </c>
      <c r="D289" t="inlineStr">
        <is>
          <t>NORRBOTTENS LÄN</t>
        </is>
      </c>
      <c r="E289" t="inlineStr">
        <is>
          <t>GÄLLIVARE</t>
        </is>
      </c>
      <c r="F289" t="inlineStr">
        <is>
          <t>Sveaskog</t>
        </is>
      </c>
      <c r="G289" t="n">
        <v>10</v>
      </c>
      <c r="H289" t="n">
        <v>0</v>
      </c>
      <c r="I289" t="n">
        <v>0</v>
      </c>
      <c r="J289" t="n">
        <v>0</v>
      </c>
      <c r="K289" t="n">
        <v>0</v>
      </c>
      <c r="L289" t="n">
        <v>0</v>
      </c>
      <c r="M289" t="n">
        <v>0</v>
      </c>
      <c r="N289" t="n">
        <v>0</v>
      </c>
      <c r="O289" t="n">
        <v>0</v>
      </c>
      <c r="P289" t="n">
        <v>0</v>
      </c>
      <c r="Q289" t="n">
        <v>0</v>
      </c>
      <c r="R289" s="2" t="inlineStr"/>
    </row>
    <row r="290" ht="15" customHeight="1">
      <c r="A290" t="inlineStr">
        <is>
          <t>A 48850-2025</t>
        </is>
      </c>
      <c r="B290" s="1" t="n">
        <v>45937.42935185185</v>
      </c>
      <c r="C290" s="1" t="n">
        <v>46033</v>
      </c>
      <c r="D290" t="inlineStr">
        <is>
          <t>NORRBOTTENS LÄN</t>
        </is>
      </c>
      <c r="E290" t="inlineStr">
        <is>
          <t>GÄLLIVARE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28272-2025</t>
        </is>
      </c>
      <c r="B291" s="1" t="n">
        <v>45818</v>
      </c>
      <c r="C291" s="1" t="n">
        <v>46033</v>
      </c>
      <c r="D291" t="inlineStr">
        <is>
          <t>NORRBOTTENS LÄN</t>
        </is>
      </c>
      <c r="E291" t="inlineStr">
        <is>
          <t>GÄLLIVARE</t>
        </is>
      </c>
      <c r="F291" t="inlineStr">
        <is>
          <t>Sveaskog</t>
        </is>
      </c>
      <c r="G291" t="n">
        <v>24.8</v>
      </c>
      <c r="H291" t="n">
        <v>0</v>
      </c>
      <c r="I291" t="n">
        <v>0</v>
      </c>
      <c r="J291" t="n">
        <v>0</v>
      </c>
      <c r="K291" t="n">
        <v>0</v>
      </c>
      <c r="L291" t="n">
        <v>0</v>
      </c>
      <c r="M291" t="n">
        <v>0</v>
      </c>
      <c r="N291" t="n">
        <v>0</v>
      </c>
      <c r="O291" t="n">
        <v>0</v>
      </c>
      <c r="P291" t="n">
        <v>0</v>
      </c>
      <c r="Q291" t="n">
        <v>0</v>
      </c>
      <c r="R291" s="2" t="inlineStr"/>
    </row>
    <row r="292" ht="15" customHeight="1">
      <c r="A292" t="inlineStr">
        <is>
          <t>A 64237-2023</t>
        </is>
      </c>
      <c r="B292" s="1" t="n">
        <v>45279.92658564815</v>
      </c>
      <c r="C292" s="1" t="n">
        <v>46033</v>
      </c>
      <c r="D292" t="inlineStr">
        <is>
          <t>NORRBOTTENS LÄN</t>
        </is>
      </c>
      <c r="E292" t="inlineStr">
        <is>
          <t>GÄLLIVARE</t>
        </is>
      </c>
      <c r="G292" t="n">
        <v>3.1</v>
      </c>
      <c r="H292" t="n">
        <v>0</v>
      </c>
      <c r="I292" t="n">
        <v>0</v>
      </c>
      <c r="J292" t="n">
        <v>0</v>
      </c>
      <c r="K292" t="n">
        <v>0</v>
      </c>
      <c r="L292" t="n">
        <v>0</v>
      </c>
      <c r="M292" t="n">
        <v>0</v>
      </c>
      <c r="N292" t="n">
        <v>0</v>
      </c>
      <c r="O292" t="n">
        <v>0</v>
      </c>
      <c r="P292" t="n">
        <v>0</v>
      </c>
      <c r="Q292" t="n">
        <v>0</v>
      </c>
      <c r="R292" s="2" t="inlineStr"/>
    </row>
    <row r="293" ht="15" customHeight="1">
      <c r="A293" t="inlineStr">
        <is>
          <t>A 49665-2025</t>
        </is>
      </c>
      <c r="B293" s="1" t="n">
        <v>45939.63638888889</v>
      </c>
      <c r="C293" s="1" t="n">
        <v>46033</v>
      </c>
      <c r="D293" t="inlineStr">
        <is>
          <t>NORRBOTTENS LÄN</t>
        </is>
      </c>
      <c r="E293" t="inlineStr">
        <is>
          <t>GÄLLIVARE</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49376-2025</t>
        </is>
      </c>
      <c r="B294" s="1" t="n">
        <v>45938.63606481482</v>
      </c>
      <c r="C294" s="1" t="n">
        <v>46033</v>
      </c>
      <c r="D294" t="inlineStr">
        <is>
          <t>NORRBOTTENS LÄN</t>
        </is>
      </c>
      <c r="E294" t="inlineStr">
        <is>
          <t>GÄLLIVARE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33226-2025</t>
        </is>
      </c>
      <c r="B295" s="1" t="n">
        <v>45840.63622685185</v>
      </c>
      <c r="C295" s="1" t="n">
        <v>46033</v>
      </c>
      <c r="D295" t="inlineStr">
        <is>
          <t>NORRBOTTENS LÄN</t>
        </is>
      </c>
      <c r="E295" t="inlineStr">
        <is>
          <t>GÄLLIVARE</t>
        </is>
      </c>
      <c r="F295" t="inlineStr">
        <is>
          <t>SCA</t>
        </is>
      </c>
      <c r="G295" t="n">
        <v>10.8</v>
      </c>
      <c r="H295" t="n">
        <v>0</v>
      </c>
      <c r="I295" t="n">
        <v>0</v>
      </c>
      <c r="J295" t="n">
        <v>0</v>
      </c>
      <c r="K295" t="n">
        <v>0</v>
      </c>
      <c r="L295" t="n">
        <v>0</v>
      </c>
      <c r="M295" t="n">
        <v>0</v>
      </c>
      <c r="N295" t="n">
        <v>0</v>
      </c>
      <c r="O295" t="n">
        <v>0</v>
      </c>
      <c r="P295" t="n">
        <v>0</v>
      </c>
      <c r="Q295" t="n">
        <v>0</v>
      </c>
      <c r="R295" s="2" t="inlineStr"/>
    </row>
    <row r="296" ht="15" customHeight="1">
      <c r="A296" t="inlineStr">
        <is>
          <t>A 52887-2023</t>
        </is>
      </c>
      <c r="B296" s="1" t="n">
        <v>45219</v>
      </c>
      <c r="C296" s="1" t="n">
        <v>46033</v>
      </c>
      <c r="D296" t="inlineStr">
        <is>
          <t>NORRBOTTENS LÄN</t>
        </is>
      </c>
      <c r="E296" t="inlineStr">
        <is>
          <t>GÄLLIVARE</t>
        </is>
      </c>
      <c r="F296" t="inlineStr">
        <is>
          <t>Övriga statliga verk och myndigheter</t>
        </is>
      </c>
      <c r="G296" t="n">
        <v>23.1</v>
      </c>
      <c r="H296" t="n">
        <v>0</v>
      </c>
      <c r="I296" t="n">
        <v>0</v>
      </c>
      <c r="J296" t="n">
        <v>0</v>
      </c>
      <c r="K296" t="n">
        <v>0</v>
      </c>
      <c r="L296" t="n">
        <v>0</v>
      </c>
      <c r="M296" t="n">
        <v>0</v>
      </c>
      <c r="N296" t="n">
        <v>0</v>
      </c>
      <c r="O296" t="n">
        <v>0</v>
      </c>
      <c r="P296" t="n">
        <v>0</v>
      </c>
      <c r="Q296" t="n">
        <v>0</v>
      </c>
      <c r="R296" s="2" t="inlineStr"/>
    </row>
    <row r="297" ht="15" customHeight="1">
      <c r="A297" t="inlineStr">
        <is>
          <t>A 33668-2025</t>
        </is>
      </c>
      <c r="B297" s="1" t="n">
        <v>45841.67427083333</v>
      </c>
      <c r="C297" s="1" t="n">
        <v>46033</v>
      </c>
      <c r="D297" t="inlineStr">
        <is>
          <t>NORRBOTTENS LÄN</t>
        </is>
      </c>
      <c r="E297" t="inlineStr">
        <is>
          <t>GÄLLIVARE</t>
        </is>
      </c>
      <c r="F297" t="inlineStr">
        <is>
          <t>Sveaskog</t>
        </is>
      </c>
      <c r="G297" t="n">
        <v>11.7</v>
      </c>
      <c r="H297" t="n">
        <v>0</v>
      </c>
      <c r="I297" t="n">
        <v>0</v>
      </c>
      <c r="J297" t="n">
        <v>0</v>
      </c>
      <c r="K297" t="n">
        <v>0</v>
      </c>
      <c r="L297" t="n">
        <v>0</v>
      </c>
      <c r="M297" t="n">
        <v>0</v>
      </c>
      <c r="N297" t="n">
        <v>0</v>
      </c>
      <c r="O297" t="n">
        <v>0</v>
      </c>
      <c r="P297" t="n">
        <v>0</v>
      </c>
      <c r="Q297" t="n">
        <v>0</v>
      </c>
      <c r="R297" s="2" t="inlineStr"/>
    </row>
    <row r="298" ht="15" customHeight="1">
      <c r="A298" t="inlineStr">
        <is>
          <t>A 16952-2023</t>
        </is>
      </c>
      <c r="B298" s="1" t="n">
        <v>45033</v>
      </c>
      <c r="C298" s="1" t="n">
        <v>46033</v>
      </c>
      <c r="D298" t="inlineStr">
        <is>
          <t>NORRBOTTENS LÄN</t>
        </is>
      </c>
      <c r="E298" t="inlineStr">
        <is>
          <t>GÄLLIVARE</t>
        </is>
      </c>
      <c r="G298" t="n">
        <v>0.5</v>
      </c>
      <c r="H298" t="n">
        <v>0</v>
      </c>
      <c r="I298" t="n">
        <v>0</v>
      </c>
      <c r="J298" t="n">
        <v>0</v>
      </c>
      <c r="K298" t="n">
        <v>0</v>
      </c>
      <c r="L298" t="n">
        <v>0</v>
      </c>
      <c r="M298" t="n">
        <v>0</v>
      </c>
      <c r="N298" t="n">
        <v>0</v>
      </c>
      <c r="O298" t="n">
        <v>0</v>
      </c>
      <c r="P298" t="n">
        <v>0</v>
      </c>
      <c r="Q298" t="n">
        <v>0</v>
      </c>
      <c r="R298" s="2" t="inlineStr"/>
    </row>
    <row r="299" ht="15" customHeight="1">
      <c r="A299" t="inlineStr">
        <is>
          <t>A 42886-2022</t>
        </is>
      </c>
      <c r="B299" s="1" t="n">
        <v>44832.953125</v>
      </c>
      <c r="C299" s="1" t="n">
        <v>46033</v>
      </c>
      <c r="D299" t="inlineStr">
        <is>
          <t>NORRBOTTENS LÄN</t>
        </is>
      </c>
      <c r="E299" t="inlineStr">
        <is>
          <t>GÄLLIVARE</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52641-2025</t>
        </is>
      </c>
      <c r="B300" s="1" t="n">
        <v>45955.34559027778</v>
      </c>
      <c r="C300" s="1" t="n">
        <v>46033</v>
      </c>
      <c r="D300" t="inlineStr">
        <is>
          <t>NORRBOTTENS LÄN</t>
        </is>
      </c>
      <c r="E300" t="inlineStr">
        <is>
          <t>GÄLLIVARE</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33654-2025</t>
        </is>
      </c>
      <c r="B301" s="1" t="n">
        <v>45841.65853009259</v>
      </c>
      <c r="C301" s="1" t="n">
        <v>46033</v>
      </c>
      <c r="D301" t="inlineStr">
        <is>
          <t>NORRBOTTENS LÄN</t>
        </is>
      </c>
      <c r="E301" t="inlineStr">
        <is>
          <t>GÄLLIVARE</t>
        </is>
      </c>
      <c r="F301" t="inlineStr">
        <is>
          <t>Sveaskog</t>
        </is>
      </c>
      <c r="G301" t="n">
        <v>10.9</v>
      </c>
      <c r="H301" t="n">
        <v>0</v>
      </c>
      <c r="I301" t="n">
        <v>0</v>
      </c>
      <c r="J301" t="n">
        <v>0</v>
      </c>
      <c r="K301" t="n">
        <v>0</v>
      </c>
      <c r="L301" t="n">
        <v>0</v>
      </c>
      <c r="M301" t="n">
        <v>0</v>
      </c>
      <c r="N301" t="n">
        <v>0</v>
      </c>
      <c r="O301" t="n">
        <v>0</v>
      </c>
      <c r="P301" t="n">
        <v>0</v>
      </c>
      <c r="Q301" t="n">
        <v>0</v>
      </c>
      <c r="R301" s="2" t="inlineStr"/>
    </row>
    <row r="302" ht="15" customHeight="1">
      <c r="A302" t="inlineStr">
        <is>
          <t>A 33307-2025</t>
        </is>
      </c>
      <c r="B302" s="1" t="n">
        <v>45841.31274305555</v>
      </c>
      <c r="C302" s="1" t="n">
        <v>46033</v>
      </c>
      <c r="D302" t="inlineStr">
        <is>
          <t>NORRBOTTENS LÄN</t>
        </is>
      </c>
      <c r="E302" t="inlineStr">
        <is>
          <t>GÄLLIVARE</t>
        </is>
      </c>
      <c r="F302" t="inlineStr">
        <is>
          <t>Sveaskog</t>
        </is>
      </c>
      <c r="G302" t="n">
        <v>2.8</v>
      </c>
      <c r="H302" t="n">
        <v>0</v>
      </c>
      <c r="I302" t="n">
        <v>0</v>
      </c>
      <c r="J302" t="n">
        <v>0</v>
      </c>
      <c r="K302" t="n">
        <v>0</v>
      </c>
      <c r="L302" t="n">
        <v>0</v>
      </c>
      <c r="M302" t="n">
        <v>0</v>
      </c>
      <c r="N302" t="n">
        <v>0</v>
      </c>
      <c r="O302" t="n">
        <v>0</v>
      </c>
      <c r="P302" t="n">
        <v>0</v>
      </c>
      <c r="Q302" t="n">
        <v>0</v>
      </c>
      <c r="R302" s="2" t="inlineStr"/>
    </row>
    <row r="303" ht="15" customHeight="1">
      <c r="A303" t="inlineStr">
        <is>
          <t>A 49668-2025</t>
        </is>
      </c>
      <c r="B303" s="1" t="n">
        <v>45939.63693287037</v>
      </c>
      <c r="C303" s="1" t="n">
        <v>46033</v>
      </c>
      <c r="D303" t="inlineStr">
        <is>
          <t>NORRBOTTENS LÄN</t>
        </is>
      </c>
      <c r="E303" t="inlineStr">
        <is>
          <t>GÄLLIVARE</t>
        </is>
      </c>
      <c r="F303" t="inlineStr">
        <is>
          <t>SCA</t>
        </is>
      </c>
      <c r="G303" t="n">
        <v>2.3</v>
      </c>
      <c r="H303" t="n">
        <v>0</v>
      </c>
      <c r="I303" t="n">
        <v>0</v>
      </c>
      <c r="J303" t="n">
        <v>0</v>
      </c>
      <c r="K303" t="n">
        <v>0</v>
      </c>
      <c r="L303" t="n">
        <v>0</v>
      </c>
      <c r="M303" t="n">
        <v>0</v>
      </c>
      <c r="N303" t="n">
        <v>0</v>
      </c>
      <c r="O303" t="n">
        <v>0</v>
      </c>
      <c r="P303" t="n">
        <v>0</v>
      </c>
      <c r="Q303" t="n">
        <v>0</v>
      </c>
      <c r="R303" s="2" t="inlineStr"/>
    </row>
    <row r="304" ht="15" customHeight="1">
      <c r="A304" t="inlineStr">
        <is>
          <t>A 50005-2025</t>
        </is>
      </c>
      <c r="B304" s="1" t="n">
        <v>45943.34489583333</v>
      </c>
      <c r="C304" s="1" t="n">
        <v>46033</v>
      </c>
      <c r="D304" t="inlineStr">
        <is>
          <t>NORRBOTTENS LÄN</t>
        </is>
      </c>
      <c r="E304" t="inlineStr">
        <is>
          <t>GÄLLIVARE</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49827-2025</t>
        </is>
      </c>
      <c r="B305" s="1" t="n">
        <v>45940</v>
      </c>
      <c r="C305" s="1" t="n">
        <v>46033</v>
      </c>
      <c r="D305" t="inlineStr">
        <is>
          <t>NORRBOTTENS LÄN</t>
        </is>
      </c>
      <c r="E305" t="inlineStr">
        <is>
          <t>GÄLLIVARE</t>
        </is>
      </c>
      <c r="F305" t="inlineStr">
        <is>
          <t>SCA</t>
        </is>
      </c>
      <c r="G305" t="n">
        <v>11.9</v>
      </c>
      <c r="H305" t="n">
        <v>0</v>
      </c>
      <c r="I305" t="n">
        <v>0</v>
      </c>
      <c r="J305" t="n">
        <v>0</v>
      </c>
      <c r="K305" t="n">
        <v>0</v>
      </c>
      <c r="L305" t="n">
        <v>0</v>
      </c>
      <c r="M305" t="n">
        <v>0</v>
      </c>
      <c r="N305" t="n">
        <v>0</v>
      </c>
      <c r="O305" t="n">
        <v>0</v>
      </c>
      <c r="P305" t="n">
        <v>0</v>
      </c>
      <c r="Q305" t="n">
        <v>0</v>
      </c>
      <c r="R305" s="2" t="inlineStr"/>
    </row>
    <row r="306" ht="15" customHeight="1">
      <c r="A306" t="inlineStr">
        <is>
          <t>A 52574-2025</t>
        </is>
      </c>
      <c r="B306" s="1" t="n">
        <v>45954</v>
      </c>
      <c r="C306" s="1" t="n">
        <v>46033</v>
      </c>
      <c r="D306" t="inlineStr">
        <is>
          <t>NORRBOTTENS LÄN</t>
        </is>
      </c>
      <c r="E306" t="inlineStr">
        <is>
          <t>GÄLLIVARE</t>
        </is>
      </c>
      <c r="G306" t="n">
        <v>22.1</v>
      </c>
      <c r="H306" t="n">
        <v>0</v>
      </c>
      <c r="I306" t="n">
        <v>0</v>
      </c>
      <c r="J306" t="n">
        <v>0</v>
      </c>
      <c r="K306" t="n">
        <v>0</v>
      </c>
      <c r="L306" t="n">
        <v>0</v>
      </c>
      <c r="M306" t="n">
        <v>0</v>
      </c>
      <c r="N306" t="n">
        <v>0</v>
      </c>
      <c r="O306" t="n">
        <v>0</v>
      </c>
      <c r="P306" t="n">
        <v>0</v>
      </c>
      <c r="Q306" t="n">
        <v>0</v>
      </c>
      <c r="R306" s="2" t="inlineStr"/>
    </row>
    <row r="307" ht="15" customHeight="1">
      <c r="A307" t="inlineStr">
        <is>
          <t>A 60868-2023</t>
        </is>
      </c>
      <c r="B307" s="1" t="n">
        <v>45260</v>
      </c>
      <c r="C307" s="1" t="n">
        <v>46033</v>
      </c>
      <c r="D307" t="inlineStr">
        <is>
          <t>NORRBOTTENS LÄN</t>
        </is>
      </c>
      <c r="E307" t="inlineStr">
        <is>
          <t>GÄLLIVARE</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51451-2023</t>
        </is>
      </c>
      <c r="B308" s="1" t="n">
        <v>45215</v>
      </c>
      <c r="C308" s="1" t="n">
        <v>46033</v>
      </c>
      <c r="D308" t="inlineStr">
        <is>
          <t>NORRBOTTENS LÄN</t>
        </is>
      </c>
      <c r="E308" t="inlineStr">
        <is>
          <t>GÄLLIVARE</t>
        </is>
      </c>
      <c r="G308" t="n">
        <v>4.1</v>
      </c>
      <c r="H308" t="n">
        <v>0</v>
      </c>
      <c r="I308" t="n">
        <v>0</v>
      </c>
      <c r="J308" t="n">
        <v>0</v>
      </c>
      <c r="K308" t="n">
        <v>0</v>
      </c>
      <c r="L308" t="n">
        <v>0</v>
      </c>
      <c r="M308" t="n">
        <v>0</v>
      </c>
      <c r="N308" t="n">
        <v>0</v>
      </c>
      <c r="O308" t="n">
        <v>0</v>
      </c>
      <c r="P308" t="n">
        <v>0</v>
      </c>
      <c r="Q308" t="n">
        <v>0</v>
      </c>
      <c r="R308" s="2" t="inlineStr"/>
    </row>
    <row r="309" ht="15" customHeight="1">
      <c r="A309" t="inlineStr">
        <is>
          <t>A 50063-2025</t>
        </is>
      </c>
      <c r="B309" s="1" t="n">
        <v>45943.44826388889</v>
      </c>
      <c r="C309" s="1" t="n">
        <v>46033</v>
      </c>
      <c r="D309" t="inlineStr">
        <is>
          <t>NORRBOTTENS LÄN</t>
        </is>
      </c>
      <c r="E309" t="inlineStr">
        <is>
          <t>GÄLLIVARE</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49664-2025</t>
        </is>
      </c>
      <c r="B310" s="1" t="n">
        <v>45939</v>
      </c>
      <c r="C310" s="1" t="n">
        <v>46033</v>
      </c>
      <c r="D310" t="inlineStr">
        <is>
          <t>NORRBOTTENS LÄN</t>
        </is>
      </c>
      <c r="E310" t="inlineStr">
        <is>
          <t>GÄLLIVARE</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60863-2025</t>
        </is>
      </c>
      <c r="B311" s="1" t="n">
        <v>45999.53010416667</v>
      </c>
      <c r="C311" s="1" t="n">
        <v>46033</v>
      </c>
      <c r="D311" t="inlineStr">
        <is>
          <t>NORRBOTTENS LÄN</t>
        </is>
      </c>
      <c r="E311" t="inlineStr">
        <is>
          <t>GÄLLIVARE</t>
        </is>
      </c>
      <c r="G311" t="n">
        <v>1.6</v>
      </c>
      <c r="H311" t="n">
        <v>0</v>
      </c>
      <c r="I311" t="n">
        <v>0</v>
      </c>
      <c r="J311" t="n">
        <v>0</v>
      </c>
      <c r="K311" t="n">
        <v>0</v>
      </c>
      <c r="L311" t="n">
        <v>0</v>
      </c>
      <c r="M311" t="n">
        <v>0</v>
      </c>
      <c r="N311" t="n">
        <v>0</v>
      </c>
      <c r="O311" t="n">
        <v>0</v>
      </c>
      <c r="P311" t="n">
        <v>0</v>
      </c>
      <c r="Q311" t="n">
        <v>0</v>
      </c>
      <c r="R311" s="2" t="inlineStr"/>
    </row>
    <row r="312" ht="15" customHeight="1">
      <c r="A312" t="inlineStr">
        <is>
          <t>A 36249-2023</t>
        </is>
      </c>
      <c r="B312" s="1" t="n">
        <v>45150.9416087963</v>
      </c>
      <c r="C312" s="1" t="n">
        <v>46033</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36250-2023</t>
        </is>
      </c>
      <c r="B313" s="1" t="n">
        <v>45150.94170138889</v>
      </c>
      <c r="C313" s="1" t="n">
        <v>46033</v>
      </c>
      <c r="D313" t="inlineStr">
        <is>
          <t>NORRBOTTENS LÄN</t>
        </is>
      </c>
      <c r="E313" t="inlineStr">
        <is>
          <t>GÄLLIVARE</t>
        </is>
      </c>
      <c r="F313" t="inlineStr">
        <is>
          <t>SCA</t>
        </is>
      </c>
      <c r="G313" t="n">
        <v>14.6</v>
      </c>
      <c r="H313" t="n">
        <v>0</v>
      </c>
      <c r="I313" t="n">
        <v>0</v>
      </c>
      <c r="J313" t="n">
        <v>0</v>
      </c>
      <c r="K313" t="n">
        <v>0</v>
      </c>
      <c r="L313" t="n">
        <v>0</v>
      </c>
      <c r="M313" t="n">
        <v>0</v>
      </c>
      <c r="N313" t="n">
        <v>0</v>
      </c>
      <c r="O313" t="n">
        <v>0</v>
      </c>
      <c r="P313" t="n">
        <v>0</v>
      </c>
      <c r="Q313" t="n">
        <v>0</v>
      </c>
      <c r="R313" s="2" t="inlineStr"/>
    </row>
    <row r="314" ht="15" customHeight="1">
      <c r="A314" t="inlineStr">
        <is>
          <t>A 46056-2023</t>
        </is>
      </c>
      <c r="B314" s="1" t="n">
        <v>45196</v>
      </c>
      <c r="C314" s="1" t="n">
        <v>46033</v>
      </c>
      <c r="D314" t="inlineStr">
        <is>
          <t>NORRBOTTENS LÄN</t>
        </is>
      </c>
      <c r="E314" t="inlineStr">
        <is>
          <t>GÄLLIVARE</t>
        </is>
      </c>
      <c r="G314" t="n">
        <v>3.9</v>
      </c>
      <c r="H314" t="n">
        <v>0</v>
      </c>
      <c r="I314" t="n">
        <v>0</v>
      </c>
      <c r="J314" t="n">
        <v>0</v>
      </c>
      <c r="K314" t="n">
        <v>0</v>
      </c>
      <c r="L314" t="n">
        <v>0</v>
      </c>
      <c r="M314" t="n">
        <v>0</v>
      </c>
      <c r="N314" t="n">
        <v>0</v>
      </c>
      <c r="O314" t="n">
        <v>0</v>
      </c>
      <c r="P314" t="n">
        <v>0</v>
      </c>
      <c r="Q314" t="n">
        <v>0</v>
      </c>
      <c r="R314" s="2" t="inlineStr"/>
    </row>
    <row r="315" ht="15" customHeight="1">
      <c r="A315" t="inlineStr">
        <is>
          <t>A 34127-2025</t>
        </is>
      </c>
      <c r="B315" s="1" t="n">
        <v>45845.53070601852</v>
      </c>
      <c r="C315" s="1" t="n">
        <v>46033</v>
      </c>
      <c r="D315" t="inlineStr">
        <is>
          <t>NORRBOTTENS LÄN</t>
        </is>
      </c>
      <c r="E315" t="inlineStr">
        <is>
          <t>GÄLLIVARE</t>
        </is>
      </c>
      <c r="F315" t="inlineStr">
        <is>
          <t>Sveaskog</t>
        </is>
      </c>
      <c r="G315" t="n">
        <v>20.4</v>
      </c>
      <c r="H315" t="n">
        <v>0</v>
      </c>
      <c r="I315" t="n">
        <v>0</v>
      </c>
      <c r="J315" t="n">
        <v>0</v>
      </c>
      <c r="K315" t="n">
        <v>0</v>
      </c>
      <c r="L315" t="n">
        <v>0</v>
      </c>
      <c r="M315" t="n">
        <v>0</v>
      </c>
      <c r="N315" t="n">
        <v>0</v>
      </c>
      <c r="O315" t="n">
        <v>0</v>
      </c>
      <c r="P315" t="n">
        <v>0</v>
      </c>
      <c r="Q315" t="n">
        <v>0</v>
      </c>
      <c r="R315" s="2" t="inlineStr"/>
    </row>
    <row r="316" ht="15" customHeight="1">
      <c r="A316" t="inlineStr">
        <is>
          <t>A 15151-2025</t>
        </is>
      </c>
      <c r="B316" s="1" t="n">
        <v>45744</v>
      </c>
      <c r="C316" s="1" t="n">
        <v>46033</v>
      </c>
      <c r="D316" t="inlineStr">
        <is>
          <t>NORRBOTTENS LÄN</t>
        </is>
      </c>
      <c r="E316" t="inlineStr">
        <is>
          <t>GÄLLIVARE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59926-2021</t>
        </is>
      </c>
      <c r="B317" s="1" t="n">
        <v>44494</v>
      </c>
      <c r="C317" s="1" t="n">
        <v>46033</v>
      </c>
      <c r="D317" t="inlineStr">
        <is>
          <t>NORRBOTTENS LÄN</t>
        </is>
      </c>
      <c r="E317" t="inlineStr">
        <is>
          <t>GÄLLIVARE</t>
        </is>
      </c>
      <c r="F317" t="inlineStr">
        <is>
          <t>Allmännings- och besparingsskogar</t>
        </is>
      </c>
      <c r="G317" t="n">
        <v>4</v>
      </c>
      <c r="H317" t="n">
        <v>0</v>
      </c>
      <c r="I317" t="n">
        <v>0</v>
      </c>
      <c r="J317" t="n">
        <v>0</v>
      </c>
      <c r="K317" t="n">
        <v>0</v>
      </c>
      <c r="L317" t="n">
        <v>0</v>
      </c>
      <c r="M317" t="n">
        <v>0</v>
      </c>
      <c r="N317" t="n">
        <v>0</v>
      </c>
      <c r="O317" t="n">
        <v>0</v>
      </c>
      <c r="P317" t="n">
        <v>0</v>
      </c>
      <c r="Q317" t="n">
        <v>0</v>
      </c>
      <c r="R317" s="2" t="inlineStr"/>
    </row>
    <row r="318" ht="15" customHeight="1">
      <c r="A318" t="inlineStr">
        <is>
          <t>A 50553-2024</t>
        </is>
      </c>
      <c r="B318" s="1" t="n">
        <v>45601.59490740741</v>
      </c>
      <c r="C318" s="1" t="n">
        <v>46033</v>
      </c>
      <c r="D318" t="inlineStr">
        <is>
          <t>NORRBOTTENS LÄN</t>
        </is>
      </c>
      <c r="E318" t="inlineStr">
        <is>
          <t>GÄLLIVARE</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44391-2024</t>
        </is>
      </c>
      <c r="B319" s="1" t="n">
        <v>45573</v>
      </c>
      <c r="C319" s="1" t="n">
        <v>46033</v>
      </c>
      <c r="D319" t="inlineStr">
        <is>
          <t>NORRBOTTENS LÄN</t>
        </is>
      </c>
      <c r="E319" t="inlineStr">
        <is>
          <t>GÄLLIVARE</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34130-2025</t>
        </is>
      </c>
      <c r="B320" s="1" t="n">
        <v>45845.53159722222</v>
      </c>
      <c r="C320" s="1" t="n">
        <v>46033</v>
      </c>
      <c r="D320" t="inlineStr">
        <is>
          <t>NORRBOTTENS LÄN</t>
        </is>
      </c>
      <c r="E320" t="inlineStr">
        <is>
          <t>GÄLLIVARE</t>
        </is>
      </c>
      <c r="G320" t="n">
        <v>6.2</v>
      </c>
      <c r="H320" t="n">
        <v>0</v>
      </c>
      <c r="I320" t="n">
        <v>0</v>
      </c>
      <c r="J320" t="n">
        <v>0</v>
      </c>
      <c r="K320" t="n">
        <v>0</v>
      </c>
      <c r="L320" t="n">
        <v>0</v>
      </c>
      <c r="M320" t="n">
        <v>0</v>
      </c>
      <c r="N320" t="n">
        <v>0</v>
      </c>
      <c r="O320" t="n">
        <v>0</v>
      </c>
      <c r="P320" t="n">
        <v>0</v>
      </c>
      <c r="Q320" t="n">
        <v>0</v>
      </c>
      <c r="R320" s="2" t="inlineStr"/>
    </row>
    <row r="321" ht="15" customHeight="1">
      <c r="A321" t="inlineStr">
        <is>
          <t>A 33980-2025</t>
        </is>
      </c>
      <c r="B321" s="1" t="n">
        <v>45843.34418981482</v>
      </c>
      <c r="C321" s="1" t="n">
        <v>46033</v>
      </c>
      <c r="D321" t="inlineStr">
        <is>
          <t>NORRBOTTENS LÄN</t>
        </is>
      </c>
      <c r="E321" t="inlineStr">
        <is>
          <t>GÄLLIVARE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34129-2025</t>
        </is>
      </c>
      <c r="B322" s="1" t="n">
        <v>45845</v>
      </c>
      <c r="C322" s="1" t="n">
        <v>46033</v>
      </c>
      <c r="D322" t="inlineStr">
        <is>
          <t>NORRBOTTENS LÄN</t>
        </is>
      </c>
      <c r="E322" t="inlineStr">
        <is>
          <t>GÄLLIVARE</t>
        </is>
      </c>
      <c r="G322" t="n">
        <v>3.5</v>
      </c>
      <c r="H322" t="n">
        <v>0</v>
      </c>
      <c r="I322" t="n">
        <v>0</v>
      </c>
      <c r="J322" t="n">
        <v>0</v>
      </c>
      <c r="K322" t="n">
        <v>0</v>
      </c>
      <c r="L322" t="n">
        <v>0</v>
      </c>
      <c r="M322" t="n">
        <v>0</v>
      </c>
      <c r="N322" t="n">
        <v>0</v>
      </c>
      <c r="O322" t="n">
        <v>0</v>
      </c>
      <c r="P322" t="n">
        <v>0</v>
      </c>
      <c r="Q322" t="n">
        <v>0</v>
      </c>
      <c r="R322" s="2" t="inlineStr"/>
    </row>
    <row r="323" ht="15" customHeight="1">
      <c r="A323" t="inlineStr">
        <is>
          <t>A 53677-2024</t>
        </is>
      </c>
      <c r="B323" s="1" t="n">
        <v>45612</v>
      </c>
      <c r="C323" s="1" t="n">
        <v>46033</v>
      </c>
      <c r="D323" t="inlineStr">
        <is>
          <t>NORRBOTTENS LÄN</t>
        </is>
      </c>
      <c r="E323" t="inlineStr">
        <is>
          <t>GÄLLIVARE</t>
        </is>
      </c>
      <c r="F323" t="inlineStr">
        <is>
          <t>Allmännings- och besparingsskogar</t>
        </is>
      </c>
      <c r="G323" t="n">
        <v>8.1</v>
      </c>
      <c r="H323" t="n">
        <v>0</v>
      </c>
      <c r="I323" t="n">
        <v>0</v>
      </c>
      <c r="J323" t="n">
        <v>0</v>
      </c>
      <c r="K323" t="n">
        <v>0</v>
      </c>
      <c r="L323" t="n">
        <v>0</v>
      </c>
      <c r="M323" t="n">
        <v>0</v>
      </c>
      <c r="N323" t="n">
        <v>0</v>
      </c>
      <c r="O323" t="n">
        <v>0</v>
      </c>
      <c r="P323" t="n">
        <v>0</v>
      </c>
      <c r="Q323" t="n">
        <v>0</v>
      </c>
      <c r="R323" s="2" t="inlineStr"/>
    </row>
    <row r="324" ht="15" customHeight="1">
      <c r="A324" t="inlineStr">
        <is>
          <t>A 37021-2025</t>
        </is>
      </c>
      <c r="B324" s="1" t="n">
        <v>45874</v>
      </c>
      <c r="C324" s="1" t="n">
        <v>46033</v>
      </c>
      <c r="D324" t="inlineStr">
        <is>
          <t>NORRBOTTENS LÄN</t>
        </is>
      </c>
      <c r="E324" t="inlineStr">
        <is>
          <t>GÄLLIVARE</t>
        </is>
      </c>
      <c r="F324" t="inlineStr">
        <is>
          <t>Allmännings- och besparingsskogar</t>
        </is>
      </c>
      <c r="G324" t="n">
        <v>1.3</v>
      </c>
      <c r="H324" t="n">
        <v>0</v>
      </c>
      <c r="I324" t="n">
        <v>0</v>
      </c>
      <c r="J324" t="n">
        <v>0</v>
      </c>
      <c r="K324" t="n">
        <v>0</v>
      </c>
      <c r="L324" t="n">
        <v>0</v>
      </c>
      <c r="M324" t="n">
        <v>0</v>
      </c>
      <c r="N324" t="n">
        <v>0</v>
      </c>
      <c r="O324" t="n">
        <v>0</v>
      </c>
      <c r="P324" t="n">
        <v>0</v>
      </c>
      <c r="Q324" t="n">
        <v>0</v>
      </c>
      <c r="R324" s="2" t="inlineStr"/>
    </row>
    <row r="325" ht="15" customHeight="1">
      <c r="A325" t="inlineStr">
        <is>
          <t>A 28646-2023</t>
        </is>
      </c>
      <c r="B325" s="1" t="n">
        <v>45096</v>
      </c>
      <c r="C325" s="1" t="n">
        <v>46033</v>
      </c>
      <c r="D325" t="inlineStr">
        <is>
          <t>NORRBOTTENS LÄN</t>
        </is>
      </c>
      <c r="E325" t="inlineStr">
        <is>
          <t>GÄLLIVARE</t>
        </is>
      </c>
      <c r="F325" t="inlineStr">
        <is>
          <t>Allmännings- och besparingsskogar</t>
        </is>
      </c>
      <c r="G325" t="n">
        <v>1.9</v>
      </c>
      <c r="H325" t="n">
        <v>0</v>
      </c>
      <c r="I325" t="n">
        <v>0</v>
      </c>
      <c r="J325" t="n">
        <v>0</v>
      </c>
      <c r="K325" t="n">
        <v>0</v>
      </c>
      <c r="L325" t="n">
        <v>0</v>
      </c>
      <c r="M325" t="n">
        <v>0</v>
      </c>
      <c r="N325" t="n">
        <v>0</v>
      </c>
      <c r="O325" t="n">
        <v>0</v>
      </c>
      <c r="P325" t="n">
        <v>0</v>
      </c>
      <c r="Q325" t="n">
        <v>0</v>
      </c>
      <c r="R325" s="2" t="inlineStr"/>
    </row>
    <row r="326" ht="15" customHeight="1">
      <c r="A326" t="inlineStr">
        <is>
          <t>A 47239-2023</t>
        </is>
      </c>
      <c r="B326" s="1" t="n">
        <v>45196</v>
      </c>
      <c r="C326" s="1" t="n">
        <v>46033</v>
      </c>
      <c r="D326" t="inlineStr">
        <is>
          <t>NORRBOTTENS LÄN</t>
        </is>
      </c>
      <c r="E326" t="inlineStr">
        <is>
          <t>GÄLLIVARE</t>
        </is>
      </c>
      <c r="F326" t="inlineStr">
        <is>
          <t>Övriga statliga verk och myndigheter</t>
        </is>
      </c>
      <c r="G326" t="n">
        <v>28.1</v>
      </c>
      <c r="H326" t="n">
        <v>0</v>
      </c>
      <c r="I326" t="n">
        <v>0</v>
      </c>
      <c r="J326" t="n">
        <v>0</v>
      </c>
      <c r="K326" t="n">
        <v>0</v>
      </c>
      <c r="L326" t="n">
        <v>0</v>
      </c>
      <c r="M326" t="n">
        <v>0</v>
      </c>
      <c r="N326" t="n">
        <v>0</v>
      </c>
      <c r="O326" t="n">
        <v>0</v>
      </c>
      <c r="P326" t="n">
        <v>0</v>
      </c>
      <c r="Q326" t="n">
        <v>0</v>
      </c>
      <c r="R326" s="2" t="inlineStr"/>
    </row>
    <row r="327" ht="15" customHeight="1">
      <c r="A327" t="inlineStr">
        <is>
          <t>A 36039-2023</t>
        </is>
      </c>
      <c r="B327" s="1" t="n">
        <v>45148</v>
      </c>
      <c r="C327" s="1" t="n">
        <v>46033</v>
      </c>
      <c r="D327" t="inlineStr">
        <is>
          <t>NORRBOTTENS LÄN</t>
        </is>
      </c>
      <c r="E327" t="inlineStr">
        <is>
          <t>GÄLLIVARE</t>
        </is>
      </c>
      <c r="F327" t="inlineStr">
        <is>
          <t>Allmännings- och besparingsskogar</t>
        </is>
      </c>
      <c r="G327" t="n">
        <v>24.3</v>
      </c>
      <c r="H327" t="n">
        <v>0</v>
      </c>
      <c r="I327" t="n">
        <v>0</v>
      </c>
      <c r="J327" t="n">
        <v>0</v>
      </c>
      <c r="K327" t="n">
        <v>0</v>
      </c>
      <c r="L327" t="n">
        <v>0</v>
      </c>
      <c r="M327" t="n">
        <v>0</v>
      </c>
      <c r="N327" t="n">
        <v>0</v>
      </c>
      <c r="O327" t="n">
        <v>0</v>
      </c>
      <c r="P327" t="n">
        <v>0</v>
      </c>
      <c r="Q327" t="n">
        <v>0</v>
      </c>
      <c r="R327" s="2" t="inlineStr"/>
    </row>
    <row r="328" ht="15" customHeight="1">
      <c r="A328" t="inlineStr">
        <is>
          <t>A 57909-2023</t>
        </is>
      </c>
      <c r="B328" s="1" t="n">
        <v>45244</v>
      </c>
      <c r="C328" s="1" t="n">
        <v>46033</v>
      </c>
      <c r="D328" t="inlineStr">
        <is>
          <t>NORRBOTTENS LÄN</t>
        </is>
      </c>
      <c r="E328" t="inlineStr">
        <is>
          <t>GÄLLIVARE</t>
        </is>
      </c>
      <c r="F328" t="inlineStr">
        <is>
          <t>Allmännings- och besparingsskogar</t>
        </is>
      </c>
      <c r="G328" t="n">
        <v>4.5</v>
      </c>
      <c r="H328" t="n">
        <v>0</v>
      </c>
      <c r="I328" t="n">
        <v>0</v>
      </c>
      <c r="J328" t="n">
        <v>0</v>
      </c>
      <c r="K328" t="n">
        <v>0</v>
      </c>
      <c r="L328" t="n">
        <v>0</v>
      </c>
      <c r="M328" t="n">
        <v>0</v>
      </c>
      <c r="N328" t="n">
        <v>0</v>
      </c>
      <c r="O328" t="n">
        <v>0</v>
      </c>
      <c r="P328" t="n">
        <v>0</v>
      </c>
      <c r="Q328" t="n">
        <v>0</v>
      </c>
      <c r="R328" s="2" t="inlineStr"/>
    </row>
    <row r="329" ht="15" customHeight="1">
      <c r="A329" t="inlineStr">
        <is>
          <t>A 50532-2025</t>
        </is>
      </c>
      <c r="B329" s="1" t="n">
        <v>45945.47921296296</v>
      </c>
      <c r="C329" s="1" t="n">
        <v>46033</v>
      </c>
      <c r="D329" t="inlineStr">
        <is>
          <t>NORRBOTTENS LÄN</t>
        </is>
      </c>
      <c r="E329" t="inlineStr">
        <is>
          <t>GÄLLIVARE</t>
        </is>
      </c>
      <c r="G329" t="n">
        <v>1.9</v>
      </c>
      <c r="H329" t="n">
        <v>0</v>
      </c>
      <c r="I329" t="n">
        <v>0</v>
      </c>
      <c r="J329" t="n">
        <v>0</v>
      </c>
      <c r="K329" t="n">
        <v>0</v>
      </c>
      <c r="L329" t="n">
        <v>0</v>
      </c>
      <c r="M329" t="n">
        <v>0</v>
      </c>
      <c r="N329" t="n">
        <v>0</v>
      </c>
      <c r="O329" t="n">
        <v>0</v>
      </c>
      <c r="P329" t="n">
        <v>0</v>
      </c>
      <c r="Q329" t="n">
        <v>0</v>
      </c>
      <c r="R329" s="2" t="inlineStr"/>
    </row>
    <row r="330" ht="15" customHeight="1">
      <c r="A330" t="inlineStr">
        <is>
          <t>A 50536-2025</t>
        </is>
      </c>
      <c r="B330" s="1" t="n">
        <v>45945.48712962963</v>
      </c>
      <c r="C330" s="1" t="n">
        <v>46033</v>
      </c>
      <c r="D330" t="inlineStr">
        <is>
          <t>NORRBOTTENS LÄN</t>
        </is>
      </c>
      <c r="E330" t="inlineStr">
        <is>
          <t>GÄLLIVARE</t>
        </is>
      </c>
      <c r="G330" t="n">
        <v>2.5</v>
      </c>
      <c r="H330" t="n">
        <v>0</v>
      </c>
      <c r="I330" t="n">
        <v>0</v>
      </c>
      <c r="J330" t="n">
        <v>0</v>
      </c>
      <c r="K330" t="n">
        <v>0</v>
      </c>
      <c r="L330" t="n">
        <v>0</v>
      </c>
      <c r="M330" t="n">
        <v>0</v>
      </c>
      <c r="N330" t="n">
        <v>0</v>
      </c>
      <c r="O330" t="n">
        <v>0</v>
      </c>
      <c r="P330" t="n">
        <v>0</v>
      </c>
      <c r="Q330" t="n">
        <v>0</v>
      </c>
      <c r="R330" s="2" t="inlineStr"/>
    </row>
    <row r="331" ht="15" customHeight="1">
      <c r="A331" t="inlineStr">
        <is>
          <t>A 60208-2025</t>
        </is>
      </c>
      <c r="B331" s="1" t="n">
        <v>45994.52303240741</v>
      </c>
      <c r="C331" s="1" t="n">
        <v>46033</v>
      </c>
      <c r="D331" t="inlineStr">
        <is>
          <t>NORRBOTTENS LÄN</t>
        </is>
      </c>
      <c r="E331" t="inlineStr">
        <is>
          <t>GÄLLIVARE</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33373-2023</t>
        </is>
      </c>
      <c r="B332" s="1" t="n">
        <v>45117</v>
      </c>
      <c r="C332" s="1" t="n">
        <v>46033</v>
      </c>
      <c r="D332" t="inlineStr">
        <is>
          <t>NORRBOTTENS LÄN</t>
        </is>
      </c>
      <c r="E332" t="inlineStr">
        <is>
          <t>GÄLLIVARE</t>
        </is>
      </c>
      <c r="F332" t="inlineStr">
        <is>
          <t>Allmännings- och besparingsskogar</t>
        </is>
      </c>
      <c r="G332" t="n">
        <v>3</v>
      </c>
      <c r="H332" t="n">
        <v>0</v>
      </c>
      <c r="I332" t="n">
        <v>0</v>
      </c>
      <c r="J332" t="n">
        <v>0</v>
      </c>
      <c r="K332" t="n">
        <v>0</v>
      </c>
      <c r="L332" t="n">
        <v>0</v>
      </c>
      <c r="M332" t="n">
        <v>0</v>
      </c>
      <c r="N332" t="n">
        <v>0</v>
      </c>
      <c r="O332" t="n">
        <v>0</v>
      </c>
      <c r="P332" t="n">
        <v>0</v>
      </c>
      <c r="Q332" t="n">
        <v>0</v>
      </c>
      <c r="R332" s="2" t="inlineStr"/>
    </row>
    <row r="333" ht="15" customHeight="1">
      <c r="A333" t="inlineStr">
        <is>
          <t>A 36014-2023</t>
        </is>
      </c>
      <c r="B333" s="1" t="n">
        <v>45148</v>
      </c>
      <c r="C333" s="1" t="n">
        <v>46033</v>
      </c>
      <c r="D333" t="inlineStr">
        <is>
          <t>NORRBOTTENS LÄN</t>
        </is>
      </c>
      <c r="E333" t="inlineStr">
        <is>
          <t>GÄLLIVARE</t>
        </is>
      </c>
      <c r="F333" t="inlineStr">
        <is>
          <t>Allmännings- och besparingsskogar</t>
        </is>
      </c>
      <c r="G333" t="n">
        <v>9.9</v>
      </c>
      <c r="H333" t="n">
        <v>0</v>
      </c>
      <c r="I333" t="n">
        <v>0</v>
      </c>
      <c r="J333" t="n">
        <v>0</v>
      </c>
      <c r="K333" t="n">
        <v>0</v>
      </c>
      <c r="L333" t="n">
        <v>0</v>
      </c>
      <c r="M333" t="n">
        <v>0</v>
      </c>
      <c r="N333" t="n">
        <v>0</v>
      </c>
      <c r="O333" t="n">
        <v>0</v>
      </c>
      <c r="P333" t="n">
        <v>0</v>
      </c>
      <c r="Q333" t="n">
        <v>0</v>
      </c>
      <c r="R333" s="2" t="inlineStr"/>
    </row>
    <row r="334" ht="15" customHeight="1">
      <c r="A334" t="inlineStr">
        <is>
          <t>A 40139-2025</t>
        </is>
      </c>
      <c r="B334" s="1" t="n">
        <v>45894</v>
      </c>
      <c r="C334" s="1" t="n">
        <v>46033</v>
      </c>
      <c r="D334" t="inlineStr">
        <is>
          <t>NORRBOTTENS LÄN</t>
        </is>
      </c>
      <c r="E334" t="inlineStr">
        <is>
          <t>GÄLLIVARE</t>
        </is>
      </c>
      <c r="F334" t="inlineStr">
        <is>
          <t>Allmännings- och besparingsskogar</t>
        </is>
      </c>
      <c r="G334" t="n">
        <v>18.3</v>
      </c>
      <c r="H334" t="n">
        <v>0</v>
      </c>
      <c r="I334" t="n">
        <v>0</v>
      </c>
      <c r="J334" t="n">
        <v>0</v>
      </c>
      <c r="K334" t="n">
        <v>0</v>
      </c>
      <c r="L334" t="n">
        <v>0</v>
      </c>
      <c r="M334" t="n">
        <v>0</v>
      </c>
      <c r="N334" t="n">
        <v>0</v>
      </c>
      <c r="O334" t="n">
        <v>0</v>
      </c>
      <c r="P334" t="n">
        <v>0</v>
      </c>
      <c r="Q334" t="n">
        <v>0</v>
      </c>
      <c r="R334" s="2" t="inlineStr"/>
    </row>
    <row r="335" ht="15" customHeight="1">
      <c r="A335" t="inlineStr">
        <is>
          <t>A 39756-2024</t>
        </is>
      </c>
      <c r="B335" s="1" t="n">
        <v>45552</v>
      </c>
      <c r="C335" s="1" t="n">
        <v>46033</v>
      </c>
      <c r="D335" t="inlineStr">
        <is>
          <t>NORRBOTTENS LÄN</t>
        </is>
      </c>
      <c r="E335" t="inlineStr">
        <is>
          <t>GÄLLIVARE</t>
        </is>
      </c>
      <c r="F335" t="inlineStr">
        <is>
          <t>Allmännings- och besparingsskogar</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39757-2024</t>
        </is>
      </c>
      <c r="B336" s="1" t="n">
        <v>45552</v>
      </c>
      <c r="C336" s="1" t="n">
        <v>46033</v>
      </c>
      <c r="D336" t="inlineStr">
        <is>
          <t>NORRBOTTENS LÄN</t>
        </is>
      </c>
      <c r="E336" t="inlineStr">
        <is>
          <t>GÄLLIVARE</t>
        </is>
      </c>
      <c r="F336" t="inlineStr">
        <is>
          <t>Allmännings- och besparingsskogar</t>
        </is>
      </c>
      <c r="G336" t="n">
        <v>36.2</v>
      </c>
      <c r="H336" t="n">
        <v>0</v>
      </c>
      <c r="I336" t="n">
        <v>0</v>
      </c>
      <c r="J336" t="n">
        <v>0</v>
      </c>
      <c r="K336" t="n">
        <v>0</v>
      </c>
      <c r="L336" t="n">
        <v>0</v>
      </c>
      <c r="M336" t="n">
        <v>0</v>
      </c>
      <c r="N336" t="n">
        <v>0</v>
      </c>
      <c r="O336" t="n">
        <v>0</v>
      </c>
      <c r="P336" t="n">
        <v>0</v>
      </c>
      <c r="Q336" t="n">
        <v>0</v>
      </c>
      <c r="R336" s="2" t="inlineStr"/>
    </row>
    <row r="337" ht="15" customHeight="1">
      <c r="A337" t="inlineStr">
        <is>
          <t>A 53891-2024</t>
        </is>
      </c>
      <c r="B337" s="1" t="n">
        <v>45614</v>
      </c>
      <c r="C337" s="1" t="n">
        <v>46033</v>
      </c>
      <c r="D337" t="inlineStr">
        <is>
          <t>NORRBOTTENS LÄN</t>
        </is>
      </c>
      <c r="E337" t="inlineStr">
        <is>
          <t>GÄLLIVARE</t>
        </is>
      </c>
      <c r="F337" t="inlineStr">
        <is>
          <t>Allmännings- och besparingsskogar</t>
        </is>
      </c>
      <c r="G337" t="n">
        <v>27.3</v>
      </c>
      <c r="H337" t="n">
        <v>0</v>
      </c>
      <c r="I337" t="n">
        <v>0</v>
      </c>
      <c r="J337" t="n">
        <v>0</v>
      </c>
      <c r="K337" t="n">
        <v>0</v>
      </c>
      <c r="L337" t="n">
        <v>0</v>
      </c>
      <c r="M337" t="n">
        <v>0</v>
      </c>
      <c r="N337" t="n">
        <v>0</v>
      </c>
      <c r="O337" t="n">
        <v>0</v>
      </c>
      <c r="P337" t="n">
        <v>0</v>
      </c>
      <c r="Q337" t="n">
        <v>0</v>
      </c>
      <c r="R337" s="2" t="inlineStr"/>
    </row>
    <row r="338" ht="15" customHeight="1">
      <c r="A338" t="inlineStr">
        <is>
          <t>A 50258-2025</t>
        </is>
      </c>
      <c r="B338" s="1" t="n">
        <v>45944.34482638889</v>
      </c>
      <c r="C338" s="1" t="n">
        <v>46033</v>
      </c>
      <c r="D338" t="inlineStr">
        <is>
          <t>NORRBOTTENS LÄN</t>
        </is>
      </c>
      <c r="E338" t="inlineStr">
        <is>
          <t>GÄLLIVARE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37021-2025</t>
        </is>
      </c>
      <c r="B339" s="1" t="n">
        <v>45874</v>
      </c>
      <c r="C339" s="1" t="n">
        <v>46033</v>
      </c>
      <c r="D339" t="inlineStr">
        <is>
          <t>NORRBOTTENS LÄN</t>
        </is>
      </c>
      <c r="E339" t="inlineStr">
        <is>
          <t>GÄLLIVARE</t>
        </is>
      </c>
      <c r="F339" t="inlineStr">
        <is>
          <t>Allmännings- och besparingsskogar</t>
        </is>
      </c>
      <c r="G339" t="n">
        <v>40.5</v>
      </c>
      <c r="H339" t="n">
        <v>0</v>
      </c>
      <c r="I339" t="n">
        <v>0</v>
      </c>
      <c r="J339" t="n">
        <v>0</v>
      </c>
      <c r="K339" t="n">
        <v>0</v>
      </c>
      <c r="L339" t="n">
        <v>0</v>
      </c>
      <c r="M339" t="n">
        <v>0</v>
      </c>
      <c r="N339" t="n">
        <v>0</v>
      </c>
      <c r="O339" t="n">
        <v>0</v>
      </c>
      <c r="P339" t="n">
        <v>0</v>
      </c>
      <c r="Q339" t="n">
        <v>0</v>
      </c>
      <c r="R339" s="2" t="inlineStr"/>
    </row>
    <row r="340" ht="15" customHeight="1">
      <c r="A340" t="inlineStr">
        <is>
          <t>A 40146-2025</t>
        </is>
      </c>
      <c r="B340" s="1" t="n">
        <v>45894</v>
      </c>
      <c r="C340" s="1" t="n">
        <v>46033</v>
      </c>
      <c r="D340" t="inlineStr">
        <is>
          <t>NORRBOTTENS LÄN</t>
        </is>
      </c>
      <c r="E340" t="inlineStr">
        <is>
          <t>GÄLLIVARE</t>
        </is>
      </c>
      <c r="F340" t="inlineStr">
        <is>
          <t>Allmännings- och besparingsskogar</t>
        </is>
      </c>
      <c r="G340" t="n">
        <v>6.6</v>
      </c>
      <c r="H340" t="n">
        <v>0</v>
      </c>
      <c r="I340" t="n">
        <v>0</v>
      </c>
      <c r="J340" t="n">
        <v>0</v>
      </c>
      <c r="K340" t="n">
        <v>0</v>
      </c>
      <c r="L340" t="n">
        <v>0</v>
      </c>
      <c r="M340" t="n">
        <v>0</v>
      </c>
      <c r="N340" t="n">
        <v>0</v>
      </c>
      <c r="O340" t="n">
        <v>0</v>
      </c>
      <c r="P340" t="n">
        <v>0</v>
      </c>
      <c r="Q340" t="n">
        <v>0</v>
      </c>
      <c r="R340" s="2" t="inlineStr"/>
    </row>
    <row r="341" ht="15" customHeight="1">
      <c r="A341" t="inlineStr">
        <is>
          <t>A 36322-2023</t>
        </is>
      </c>
      <c r="B341" s="1" t="n">
        <v>45152</v>
      </c>
      <c r="C341" s="1" t="n">
        <v>46033</v>
      </c>
      <c r="D341" t="inlineStr">
        <is>
          <t>NORRBOTTENS LÄN</t>
        </is>
      </c>
      <c r="E341" t="inlineStr">
        <is>
          <t>GÄLLIVARE</t>
        </is>
      </c>
      <c r="F341" t="inlineStr">
        <is>
          <t>Allmännings- och besparingsskogar</t>
        </is>
      </c>
      <c r="G341" t="n">
        <v>36.8</v>
      </c>
      <c r="H341" t="n">
        <v>0</v>
      </c>
      <c r="I341" t="n">
        <v>0</v>
      </c>
      <c r="J341" t="n">
        <v>0</v>
      </c>
      <c r="K341" t="n">
        <v>0</v>
      </c>
      <c r="L341" t="n">
        <v>0</v>
      </c>
      <c r="M341" t="n">
        <v>0</v>
      </c>
      <c r="N341" t="n">
        <v>0</v>
      </c>
      <c r="O341" t="n">
        <v>0</v>
      </c>
      <c r="P341" t="n">
        <v>0</v>
      </c>
      <c r="Q341" t="n">
        <v>0</v>
      </c>
      <c r="R341" s="2" t="inlineStr"/>
    </row>
    <row r="342" ht="15" customHeight="1">
      <c r="A342" t="inlineStr">
        <is>
          <t>A 34386-2025</t>
        </is>
      </c>
      <c r="B342" s="1" t="n">
        <v>45846</v>
      </c>
      <c r="C342" s="1" t="n">
        <v>46033</v>
      </c>
      <c r="D342" t="inlineStr">
        <is>
          <t>NORRBOTTENS LÄN</t>
        </is>
      </c>
      <c r="E342" t="inlineStr">
        <is>
          <t>GÄLLIVARE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25941-2024</t>
        </is>
      </c>
      <c r="B343" s="1" t="n">
        <v>45467</v>
      </c>
      <c r="C343" s="1" t="n">
        <v>46033</v>
      </c>
      <c r="D343" t="inlineStr">
        <is>
          <t>NORRBOTTENS LÄN</t>
        </is>
      </c>
      <c r="E343" t="inlineStr">
        <is>
          <t>GÄLLIVARE</t>
        </is>
      </c>
      <c r="F343" t="inlineStr">
        <is>
          <t>Allmännings- och besparingsskogar</t>
        </is>
      </c>
      <c r="G343" t="n">
        <v>18</v>
      </c>
      <c r="H343" t="n">
        <v>0</v>
      </c>
      <c r="I343" t="n">
        <v>0</v>
      </c>
      <c r="J343" t="n">
        <v>0</v>
      </c>
      <c r="K343" t="n">
        <v>0</v>
      </c>
      <c r="L343" t="n">
        <v>0</v>
      </c>
      <c r="M343" t="n">
        <v>0</v>
      </c>
      <c r="N343" t="n">
        <v>0</v>
      </c>
      <c r="O343" t="n">
        <v>0</v>
      </c>
      <c r="P343" t="n">
        <v>0</v>
      </c>
      <c r="Q343" t="n">
        <v>0</v>
      </c>
      <c r="R343" s="2" t="inlineStr"/>
    </row>
    <row r="344" ht="15" customHeight="1">
      <c r="A344" t="inlineStr">
        <is>
          <t>A 50534-2025</t>
        </is>
      </c>
      <c r="B344" s="1" t="n">
        <v>45945.48403935185</v>
      </c>
      <c r="C344" s="1" t="n">
        <v>46033</v>
      </c>
      <c r="D344" t="inlineStr">
        <is>
          <t>NORRBOTTENS LÄN</t>
        </is>
      </c>
      <c r="E344" t="inlineStr">
        <is>
          <t>GÄLLIVARE</t>
        </is>
      </c>
      <c r="G344" t="n">
        <v>0.8</v>
      </c>
      <c r="H344" t="n">
        <v>0</v>
      </c>
      <c r="I344" t="n">
        <v>0</v>
      </c>
      <c r="J344" t="n">
        <v>0</v>
      </c>
      <c r="K344" t="n">
        <v>0</v>
      </c>
      <c r="L344" t="n">
        <v>0</v>
      </c>
      <c r="M344" t="n">
        <v>0</v>
      </c>
      <c r="N344" t="n">
        <v>0</v>
      </c>
      <c r="O344" t="n">
        <v>0</v>
      </c>
      <c r="P344" t="n">
        <v>0</v>
      </c>
      <c r="Q344" t="n">
        <v>0</v>
      </c>
      <c r="R344" s="2" t="inlineStr"/>
    </row>
    <row r="345" ht="15" customHeight="1">
      <c r="A345" t="inlineStr">
        <is>
          <t>A 25935-2024</t>
        </is>
      </c>
      <c r="B345" s="1" t="n">
        <v>45467</v>
      </c>
      <c r="C345" s="1" t="n">
        <v>46033</v>
      </c>
      <c r="D345" t="inlineStr">
        <is>
          <t>NORRBOTTENS LÄN</t>
        </is>
      </c>
      <c r="E345" t="inlineStr">
        <is>
          <t>GÄLLIVARE</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25923-2024</t>
        </is>
      </c>
      <c r="B346" s="1" t="n">
        <v>45467</v>
      </c>
      <c r="C346" s="1" t="n">
        <v>46033</v>
      </c>
      <c r="D346" t="inlineStr">
        <is>
          <t>NORRBOTTENS LÄN</t>
        </is>
      </c>
      <c r="E346" t="inlineStr">
        <is>
          <t>GÄLLIVARE</t>
        </is>
      </c>
      <c r="F346" t="inlineStr">
        <is>
          <t>Allmännings- och besparingsskogar</t>
        </is>
      </c>
      <c r="G346" t="n">
        <v>15.1</v>
      </c>
      <c r="H346" t="n">
        <v>0</v>
      </c>
      <c r="I346" t="n">
        <v>0</v>
      </c>
      <c r="J346" t="n">
        <v>0</v>
      </c>
      <c r="K346" t="n">
        <v>0</v>
      </c>
      <c r="L346" t="n">
        <v>0</v>
      </c>
      <c r="M346" t="n">
        <v>0</v>
      </c>
      <c r="N346" t="n">
        <v>0</v>
      </c>
      <c r="O346" t="n">
        <v>0</v>
      </c>
      <c r="P346" t="n">
        <v>0</v>
      </c>
      <c r="Q346" t="n">
        <v>0</v>
      </c>
      <c r="R346" s="2" t="inlineStr"/>
    </row>
    <row r="347" ht="15" customHeight="1">
      <c r="A347" t="inlineStr">
        <is>
          <t>A 60857-2025</t>
        </is>
      </c>
      <c r="B347" s="1" t="n">
        <v>45999.52039351852</v>
      </c>
      <c r="C347" s="1" t="n">
        <v>46033</v>
      </c>
      <c r="D347" t="inlineStr">
        <is>
          <t>NORRBOTTENS LÄN</t>
        </is>
      </c>
      <c r="E347" t="inlineStr">
        <is>
          <t>GÄLLIVARE</t>
        </is>
      </c>
      <c r="G347" t="n">
        <v>5</v>
      </c>
      <c r="H347" t="n">
        <v>0</v>
      </c>
      <c r="I347" t="n">
        <v>0</v>
      </c>
      <c r="J347" t="n">
        <v>0</v>
      </c>
      <c r="K347" t="n">
        <v>0</v>
      </c>
      <c r="L347" t="n">
        <v>0</v>
      </c>
      <c r="M347" t="n">
        <v>0</v>
      </c>
      <c r="N347" t="n">
        <v>0</v>
      </c>
      <c r="O347" t="n">
        <v>0</v>
      </c>
      <c r="P347" t="n">
        <v>0</v>
      </c>
      <c r="Q347" t="n">
        <v>0</v>
      </c>
      <c r="R347" s="2" t="inlineStr"/>
    </row>
    <row r="348" ht="15" customHeight="1">
      <c r="A348" t="inlineStr">
        <is>
          <t>A 61445-2025</t>
        </is>
      </c>
      <c r="B348" s="1" t="n">
        <v>46001.57512731481</v>
      </c>
      <c r="C348" s="1" t="n">
        <v>46033</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29781-2024</t>
        </is>
      </c>
      <c r="B349" s="1" t="n">
        <v>45485.45442129629</v>
      </c>
      <c r="C349" s="1" t="n">
        <v>46033</v>
      </c>
      <c r="D349" t="inlineStr">
        <is>
          <t>NORRBOTTENS LÄN</t>
        </is>
      </c>
      <c r="E349" t="inlineStr">
        <is>
          <t>GÄLLIVARE</t>
        </is>
      </c>
      <c r="F349" t="inlineStr">
        <is>
          <t>Sveaskog</t>
        </is>
      </c>
      <c r="G349" t="n">
        <v>23.4</v>
      </c>
      <c r="H349" t="n">
        <v>0</v>
      </c>
      <c r="I349" t="n">
        <v>0</v>
      </c>
      <c r="J349" t="n">
        <v>0</v>
      </c>
      <c r="K349" t="n">
        <v>0</v>
      </c>
      <c r="L349" t="n">
        <v>0</v>
      </c>
      <c r="M349" t="n">
        <v>0</v>
      </c>
      <c r="N349" t="n">
        <v>0</v>
      </c>
      <c r="O349" t="n">
        <v>0</v>
      </c>
      <c r="P349" t="n">
        <v>0</v>
      </c>
      <c r="Q349" t="n">
        <v>0</v>
      </c>
      <c r="R349" s="2" t="inlineStr"/>
    </row>
    <row r="350" ht="15" customHeight="1">
      <c r="A350" t="inlineStr">
        <is>
          <t>A 51570-2024</t>
        </is>
      </c>
      <c r="B350" s="1" t="n">
        <v>45604</v>
      </c>
      <c r="C350" s="1" t="n">
        <v>46033</v>
      </c>
      <c r="D350" t="inlineStr">
        <is>
          <t>NORRBOTTENS LÄN</t>
        </is>
      </c>
      <c r="E350" t="inlineStr">
        <is>
          <t>GÄLLIVARE</t>
        </is>
      </c>
      <c r="G350" t="n">
        <v>6.1</v>
      </c>
      <c r="H350" t="n">
        <v>0</v>
      </c>
      <c r="I350" t="n">
        <v>0</v>
      </c>
      <c r="J350" t="n">
        <v>0</v>
      </c>
      <c r="K350" t="n">
        <v>0</v>
      </c>
      <c r="L350" t="n">
        <v>0</v>
      </c>
      <c r="M350" t="n">
        <v>0</v>
      </c>
      <c r="N350" t="n">
        <v>0</v>
      </c>
      <c r="O350" t="n">
        <v>0</v>
      </c>
      <c r="P350" t="n">
        <v>0</v>
      </c>
      <c r="Q350" t="n">
        <v>0</v>
      </c>
      <c r="R350" s="2" t="inlineStr"/>
    </row>
    <row r="351" ht="15" customHeight="1">
      <c r="A351" t="inlineStr">
        <is>
          <t>A 25503-2024</t>
        </is>
      </c>
      <c r="B351" s="1" t="n">
        <v>45463.48306712963</v>
      </c>
      <c r="C351" s="1" t="n">
        <v>46033</v>
      </c>
      <c r="D351" t="inlineStr">
        <is>
          <t>NORRBOTTENS LÄN</t>
        </is>
      </c>
      <c r="E351" t="inlineStr">
        <is>
          <t>GÄLLIVARE</t>
        </is>
      </c>
      <c r="G351" t="n">
        <v>3.2</v>
      </c>
      <c r="H351" t="n">
        <v>0</v>
      </c>
      <c r="I351" t="n">
        <v>0</v>
      </c>
      <c r="J351" t="n">
        <v>0</v>
      </c>
      <c r="K351" t="n">
        <v>0</v>
      </c>
      <c r="L351" t="n">
        <v>0</v>
      </c>
      <c r="M351" t="n">
        <v>0</v>
      </c>
      <c r="N351" t="n">
        <v>0</v>
      </c>
      <c r="O351" t="n">
        <v>0</v>
      </c>
      <c r="P351" t="n">
        <v>0</v>
      </c>
      <c r="Q351" t="n">
        <v>0</v>
      </c>
      <c r="R351" s="2" t="inlineStr"/>
    </row>
    <row r="352" ht="15" customHeight="1">
      <c r="A352" t="inlineStr">
        <is>
          <t>A 60923-2025</t>
        </is>
      </c>
      <c r="B352" s="1" t="n">
        <v>45999</v>
      </c>
      <c r="C352" s="1" t="n">
        <v>46033</v>
      </c>
      <c r="D352" t="inlineStr">
        <is>
          <t>NORRBOTTENS LÄN</t>
        </is>
      </c>
      <c r="E352" t="inlineStr">
        <is>
          <t>GÄLLIVARE</t>
        </is>
      </c>
      <c r="G352" t="n">
        <v>25.5</v>
      </c>
      <c r="H352" t="n">
        <v>0</v>
      </c>
      <c r="I352" t="n">
        <v>0</v>
      </c>
      <c r="J352" t="n">
        <v>0</v>
      </c>
      <c r="K352" t="n">
        <v>0</v>
      </c>
      <c r="L352" t="n">
        <v>0</v>
      </c>
      <c r="M352" t="n">
        <v>0</v>
      </c>
      <c r="N352" t="n">
        <v>0</v>
      </c>
      <c r="O352" t="n">
        <v>0</v>
      </c>
      <c r="P352" t="n">
        <v>0</v>
      </c>
      <c r="Q352" t="n">
        <v>0</v>
      </c>
      <c r="R352" s="2" t="inlineStr"/>
    </row>
    <row r="353" ht="15" customHeight="1">
      <c r="A353" t="inlineStr">
        <is>
          <t>A 61444-2025</t>
        </is>
      </c>
      <c r="B353" s="1" t="n">
        <v>46001.57497685185</v>
      </c>
      <c r="C353" s="1" t="n">
        <v>46033</v>
      </c>
      <c r="D353" t="inlineStr">
        <is>
          <t>NORRBOTTENS LÄN</t>
        </is>
      </c>
      <c r="E353" t="inlineStr">
        <is>
          <t>GÄLLIVARE</t>
        </is>
      </c>
      <c r="F353" t="inlineStr">
        <is>
          <t>SCA</t>
        </is>
      </c>
      <c r="G353" t="n">
        <v>6</v>
      </c>
      <c r="H353" t="n">
        <v>0</v>
      </c>
      <c r="I353" t="n">
        <v>0</v>
      </c>
      <c r="J353" t="n">
        <v>0</v>
      </c>
      <c r="K353" t="n">
        <v>0</v>
      </c>
      <c r="L353" t="n">
        <v>0</v>
      </c>
      <c r="M353" t="n">
        <v>0</v>
      </c>
      <c r="N353" t="n">
        <v>0</v>
      </c>
      <c r="O353" t="n">
        <v>0</v>
      </c>
      <c r="P353" t="n">
        <v>0</v>
      </c>
      <c r="Q353" t="n">
        <v>0</v>
      </c>
      <c r="R353" s="2" t="inlineStr"/>
    </row>
    <row r="354" ht="15" customHeight="1">
      <c r="A354" t="inlineStr">
        <is>
          <t>A 61446-2025</t>
        </is>
      </c>
      <c r="B354" s="1" t="n">
        <v>46001.57520833334</v>
      </c>
      <c r="C354" s="1" t="n">
        <v>46033</v>
      </c>
      <c r="D354" t="inlineStr">
        <is>
          <t>NORRBOTTENS LÄN</t>
        </is>
      </c>
      <c r="E354" t="inlineStr">
        <is>
          <t>GÄLLIVARE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36980-2023</t>
        </is>
      </c>
      <c r="B355" s="1" t="n">
        <v>45154.95482638889</v>
      </c>
      <c r="C355" s="1" t="n">
        <v>46033</v>
      </c>
      <c r="D355" t="inlineStr">
        <is>
          <t>NORRBOTTENS LÄN</t>
        </is>
      </c>
      <c r="E355" t="inlineStr">
        <is>
          <t>GÄLLIVARE</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35474-2025</t>
        </is>
      </c>
      <c r="B356" s="1" t="n">
        <v>45855</v>
      </c>
      <c r="C356" s="1" t="n">
        <v>46033</v>
      </c>
      <c r="D356" t="inlineStr">
        <is>
          <t>NORRBOTTENS LÄN</t>
        </is>
      </c>
      <c r="E356" t="inlineStr">
        <is>
          <t>GÄLLIVARE</t>
        </is>
      </c>
      <c r="F356" t="inlineStr">
        <is>
          <t>Allmännings- och besparingsskogar</t>
        </is>
      </c>
      <c r="G356" t="n">
        <v>28.5</v>
      </c>
      <c r="H356" t="n">
        <v>0</v>
      </c>
      <c r="I356" t="n">
        <v>0</v>
      </c>
      <c r="J356" t="n">
        <v>0</v>
      </c>
      <c r="K356" t="n">
        <v>0</v>
      </c>
      <c r="L356" t="n">
        <v>0</v>
      </c>
      <c r="M356" t="n">
        <v>0</v>
      </c>
      <c r="N356" t="n">
        <v>0</v>
      </c>
      <c r="O356" t="n">
        <v>0</v>
      </c>
      <c r="P356" t="n">
        <v>0</v>
      </c>
      <c r="Q356" t="n">
        <v>0</v>
      </c>
      <c r="R356" s="2" t="inlineStr"/>
    </row>
    <row r="357" ht="15" customHeight="1">
      <c r="A357" t="inlineStr">
        <is>
          <t>A 35471-2025</t>
        </is>
      </c>
      <c r="B357" s="1" t="n">
        <v>45855</v>
      </c>
      <c r="C357" s="1" t="n">
        <v>46033</v>
      </c>
      <c r="D357" t="inlineStr">
        <is>
          <t>NORRBOTTENS LÄN</t>
        </is>
      </c>
      <c r="E357" t="inlineStr">
        <is>
          <t>GÄLLIVARE</t>
        </is>
      </c>
      <c r="F357" t="inlineStr">
        <is>
          <t>Allmännings- och besparingsskogar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35470-2025</t>
        </is>
      </c>
      <c r="B358" s="1" t="n">
        <v>45855</v>
      </c>
      <c r="C358" s="1" t="n">
        <v>46033</v>
      </c>
      <c r="D358" t="inlineStr">
        <is>
          <t>NORRBOTTENS LÄN</t>
        </is>
      </c>
      <c r="E358" t="inlineStr">
        <is>
          <t>GÄLLIVARE</t>
        </is>
      </c>
      <c r="F358" t="inlineStr">
        <is>
          <t>Allmännings- och besparingsskogar</t>
        </is>
      </c>
      <c r="G358" t="n">
        <v>9.4</v>
      </c>
      <c r="H358" t="n">
        <v>0</v>
      </c>
      <c r="I358" t="n">
        <v>0</v>
      </c>
      <c r="J358" t="n">
        <v>0</v>
      </c>
      <c r="K358" t="n">
        <v>0</v>
      </c>
      <c r="L358" t="n">
        <v>0</v>
      </c>
      <c r="M358" t="n">
        <v>0</v>
      </c>
      <c r="N358" t="n">
        <v>0</v>
      </c>
      <c r="O358" t="n">
        <v>0</v>
      </c>
      <c r="P358" t="n">
        <v>0</v>
      </c>
      <c r="Q358" t="n">
        <v>0</v>
      </c>
      <c r="R358" s="2" t="inlineStr"/>
    </row>
    <row r="359" ht="15" customHeight="1">
      <c r="A359" t="inlineStr">
        <is>
          <t>A 35472-2025</t>
        </is>
      </c>
      <c r="B359" s="1" t="n">
        <v>45855</v>
      </c>
      <c r="C359" s="1" t="n">
        <v>46033</v>
      </c>
      <c r="D359" t="inlineStr">
        <is>
          <t>NORRBOTTENS LÄN</t>
        </is>
      </c>
      <c r="E359" t="inlineStr">
        <is>
          <t>GÄLLIVARE</t>
        </is>
      </c>
      <c r="F359" t="inlineStr">
        <is>
          <t>Allmännings- och besparingsskogar</t>
        </is>
      </c>
      <c r="G359" t="n">
        <v>5</v>
      </c>
      <c r="H359" t="n">
        <v>0</v>
      </c>
      <c r="I359" t="n">
        <v>0</v>
      </c>
      <c r="J359" t="n">
        <v>0</v>
      </c>
      <c r="K359" t="n">
        <v>0</v>
      </c>
      <c r="L359" t="n">
        <v>0</v>
      </c>
      <c r="M359" t="n">
        <v>0</v>
      </c>
      <c r="N359" t="n">
        <v>0</v>
      </c>
      <c r="O359" t="n">
        <v>0</v>
      </c>
      <c r="P359" t="n">
        <v>0</v>
      </c>
      <c r="Q359" t="n">
        <v>0</v>
      </c>
      <c r="R359" s="2" t="inlineStr"/>
    </row>
    <row r="360" ht="15" customHeight="1">
      <c r="A360" t="inlineStr">
        <is>
          <t>A 53154-2025</t>
        </is>
      </c>
      <c r="B360" s="1" t="n">
        <v>45958.48908564815</v>
      </c>
      <c r="C360" s="1" t="n">
        <v>46033</v>
      </c>
      <c r="D360" t="inlineStr">
        <is>
          <t>NORRBOTTENS LÄN</t>
        </is>
      </c>
      <c r="E360" t="inlineStr">
        <is>
          <t>GÄLLIVARE</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24564-2022</t>
        </is>
      </c>
      <c r="B361" s="1" t="n">
        <v>44726</v>
      </c>
      <c r="C361" s="1" t="n">
        <v>46033</v>
      </c>
      <c r="D361" t="inlineStr">
        <is>
          <t>NORRBOTTENS LÄN</t>
        </is>
      </c>
      <c r="E361" t="inlineStr">
        <is>
          <t>GÄLLIVARE</t>
        </is>
      </c>
      <c r="G361" t="n">
        <v>12.9</v>
      </c>
      <c r="H361" t="n">
        <v>0</v>
      </c>
      <c r="I361" t="n">
        <v>0</v>
      </c>
      <c r="J361" t="n">
        <v>0</v>
      </c>
      <c r="K361" t="n">
        <v>0</v>
      </c>
      <c r="L361" t="n">
        <v>0</v>
      </c>
      <c r="M361" t="n">
        <v>0</v>
      </c>
      <c r="N361" t="n">
        <v>0</v>
      </c>
      <c r="O361" t="n">
        <v>0</v>
      </c>
      <c r="P361" t="n">
        <v>0</v>
      </c>
      <c r="Q361" t="n">
        <v>0</v>
      </c>
      <c r="R361" s="2" t="inlineStr"/>
    </row>
    <row r="362" ht="15" customHeight="1">
      <c r="A362" t="inlineStr">
        <is>
          <t>A 64238-2023</t>
        </is>
      </c>
      <c r="B362" s="1" t="n">
        <v>45279</v>
      </c>
      <c r="C362" s="1" t="n">
        <v>46033</v>
      </c>
      <c r="D362" t="inlineStr">
        <is>
          <t>NORRBOTTENS LÄN</t>
        </is>
      </c>
      <c r="E362" t="inlineStr">
        <is>
          <t>GÄLLIVARE</t>
        </is>
      </c>
      <c r="G362" t="n">
        <v>5.5</v>
      </c>
      <c r="H362" t="n">
        <v>0</v>
      </c>
      <c r="I362" t="n">
        <v>0</v>
      </c>
      <c r="J362" t="n">
        <v>0</v>
      </c>
      <c r="K362" t="n">
        <v>0</v>
      </c>
      <c r="L362" t="n">
        <v>0</v>
      </c>
      <c r="M362" t="n">
        <v>0</v>
      </c>
      <c r="N362" t="n">
        <v>0</v>
      </c>
      <c r="O362" t="n">
        <v>0</v>
      </c>
      <c r="P362" t="n">
        <v>0</v>
      </c>
      <c r="Q362" t="n">
        <v>0</v>
      </c>
      <c r="R362" s="2" t="inlineStr"/>
    </row>
    <row r="363" ht="15" customHeight="1">
      <c r="A363" t="inlineStr">
        <is>
          <t>A 61679-2022</t>
        </is>
      </c>
      <c r="B363" s="1" t="n">
        <v>44909</v>
      </c>
      <c r="C363" s="1" t="n">
        <v>46033</v>
      </c>
      <c r="D363" t="inlineStr">
        <is>
          <t>NORRBOTTENS LÄN</t>
        </is>
      </c>
      <c r="E363" t="inlineStr">
        <is>
          <t>GÄLLIVARE</t>
        </is>
      </c>
      <c r="G363" t="n">
        <v>5.7</v>
      </c>
      <c r="H363" t="n">
        <v>0</v>
      </c>
      <c r="I363" t="n">
        <v>0</v>
      </c>
      <c r="J363" t="n">
        <v>0</v>
      </c>
      <c r="K363" t="n">
        <v>0</v>
      </c>
      <c r="L363" t="n">
        <v>0</v>
      </c>
      <c r="M363" t="n">
        <v>0</v>
      </c>
      <c r="N363" t="n">
        <v>0</v>
      </c>
      <c r="O363" t="n">
        <v>0</v>
      </c>
      <c r="P363" t="n">
        <v>0</v>
      </c>
      <c r="Q363" t="n">
        <v>0</v>
      </c>
      <c r="R363" s="2" t="inlineStr"/>
    </row>
    <row r="364" ht="15" customHeight="1">
      <c r="A364" t="inlineStr">
        <is>
          <t>A 53420-2025</t>
        </is>
      </c>
      <c r="B364" s="1" t="n">
        <v>45959.59439814815</v>
      </c>
      <c r="C364" s="1" t="n">
        <v>46033</v>
      </c>
      <c r="D364" t="inlineStr">
        <is>
          <t>NORRBOTTENS LÄN</t>
        </is>
      </c>
      <c r="E364" t="inlineStr">
        <is>
          <t>GÄLLIVARE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7693-2022</t>
        </is>
      </c>
      <c r="B365" s="1" t="n">
        <v>44607</v>
      </c>
      <c r="C365" s="1" t="n">
        <v>46033</v>
      </c>
      <c r="D365" t="inlineStr">
        <is>
          <t>NORRBOTTENS LÄN</t>
        </is>
      </c>
      <c r="E365" t="inlineStr">
        <is>
          <t>GÄLLIVARE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36681-2021</t>
        </is>
      </c>
      <c r="B366" s="1" t="n">
        <v>44392</v>
      </c>
      <c r="C366" s="1" t="n">
        <v>46033</v>
      </c>
      <c r="D366" t="inlineStr">
        <is>
          <t>NORRBOTTENS LÄN</t>
        </is>
      </c>
      <c r="E366" t="inlineStr">
        <is>
          <t>GÄLLIVARE</t>
        </is>
      </c>
      <c r="G366" t="n">
        <v>7.6</v>
      </c>
      <c r="H366" t="n">
        <v>0</v>
      </c>
      <c r="I366" t="n">
        <v>0</v>
      </c>
      <c r="J366" t="n">
        <v>0</v>
      </c>
      <c r="K366" t="n">
        <v>0</v>
      </c>
      <c r="L366" t="n">
        <v>0</v>
      </c>
      <c r="M366" t="n">
        <v>0</v>
      </c>
      <c r="N366" t="n">
        <v>0</v>
      </c>
      <c r="O366" t="n">
        <v>0</v>
      </c>
      <c r="P366" t="n">
        <v>0</v>
      </c>
      <c r="Q366" t="n">
        <v>0</v>
      </c>
      <c r="R366" s="2" t="inlineStr"/>
    </row>
    <row r="367" ht="15" customHeight="1">
      <c r="A367" t="inlineStr">
        <is>
          <t>A 47239-2023</t>
        </is>
      </c>
      <c r="B367" s="1" t="n">
        <v>45196</v>
      </c>
      <c r="C367" s="1" t="n">
        <v>46033</v>
      </c>
      <c r="D367" t="inlineStr">
        <is>
          <t>NORRBOTTENS LÄN</t>
        </is>
      </c>
      <c r="E367" t="inlineStr">
        <is>
          <t>GÄLLIVARE</t>
        </is>
      </c>
      <c r="F367" t="inlineStr">
        <is>
          <t>Övriga statliga verk och myndigheter</t>
        </is>
      </c>
      <c r="G367" t="n">
        <v>65.40000000000001</v>
      </c>
      <c r="H367" t="n">
        <v>0</v>
      </c>
      <c r="I367" t="n">
        <v>0</v>
      </c>
      <c r="J367" t="n">
        <v>0</v>
      </c>
      <c r="K367" t="n">
        <v>0</v>
      </c>
      <c r="L367" t="n">
        <v>0</v>
      </c>
      <c r="M367" t="n">
        <v>0</v>
      </c>
      <c r="N367" t="n">
        <v>0</v>
      </c>
      <c r="O367" t="n">
        <v>0</v>
      </c>
      <c r="P367" t="n">
        <v>0</v>
      </c>
      <c r="Q367" t="n">
        <v>0</v>
      </c>
      <c r="R367" s="2" t="inlineStr"/>
    </row>
    <row r="368" ht="15" customHeight="1">
      <c r="A368" t="inlineStr">
        <is>
          <t>A 47239-2023</t>
        </is>
      </c>
      <c r="B368" s="1" t="n">
        <v>45196</v>
      </c>
      <c r="C368" s="1" t="n">
        <v>46033</v>
      </c>
      <c r="D368" t="inlineStr">
        <is>
          <t>NORRBOTTENS LÄN</t>
        </is>
      </c>
      <c r="E368" t="inlineStr">
        <is>
          <t>GÄLLIVARE</t>
        </is>
      </c>
      <c r="F368" t="inlineStr">
        <is>
          <t>Övriga statliga verk och myndigheter</t>
        </is>
      </c>
      <c r="G368" t="n">
        <v>3.6</v>
      </c>
      <c r="H368" t="n">
        <v>0</v>
      </c>
      <c r="I368" t="n">
        <v>0</v>
      </c>
      <c r="J368" t="n">
        <v>0</v>
      </c>
      <c r="K368" t="n">
        <v>0</v>
      </c>
      <c r="L368" t="n">
        <v>0</v>
      </c>
      <c r="M368" t="n">
        <v>0</v>
      </c>
      <c r="N368" t="n">
        <v>0</v>
      </c>
      <c r="O368" t="n">
        <v>0</v>
      </c>
      <c r="P368" t="n">
        <v>0</v>
      </c>
      <c r="Q368" t="n">
        <v>0</v>
      </c>
      <c r="R368" s="2" t="inlineStr"/>
    </row>
    <row r="369" ht="15" customHeight="1">
      <c r="A369" t="inlineStr">
        <is>
          <t>A 35949-2025</t>
        </is>
      </c>
      <c r="B369" s="1" t="n">
        <v>45862</v>
      </c>
      <c r="C369" s="1" t="n">
        <v>46033</v>
      </c>
      <c r="D369" t="inlineStr">
        <is>
          <t>NORRBOTTENS LÄN</t>
        </is>
      </c>
      <c r="E369" t="inlineStr">
        <is>
          <t>GÄLLIVARE</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53099-2025</t>
        </is>
      </c>
      <c r="B370" s="1" t="n">
        <v>45958</v>
      </c>
      <c r="C370" s="1" t="n">
        <v>46033</v>
      </c>
      <c r="D370" t="inlineStr">
        <is>
          <t>NORRBOTTENS LÄN</t>
        </is>
      </c>
      <c r="E370" t="inlineStr">
        <is>
          <t>GÄLLIVARE</t>
        </is>
      </c>
      <c r="G370" t="n">
        <v>12.6</v>
      </c>
      <c r="H370" t="n">
        <v>0</v>
      </c>
      <c r="I370" t="n">
        <v>0</v>
      </c>
      <c r="J370" t="n">
        <v>0</v>
      </c>
      <c r="K370" t="n">
        <v>0</v>
      </c>
      <c r="L370" t="n">
        <v>0</v>
      </c>
      <c r="M370" t="n">
        <v>0</v>
      </c>
      <c r="N370" t="n">
        <v>0</v>
      </c>
      <c r="O370" t="n">
        <v>0</v>
      </c>
      <c r="P370" t="n">
        <v>0</v>
      </c>
      <c r="Q370" t="n">
        <v>0</v>
      </c>
      <c r="R370" s="2" t="inlineStr"/>
    </row>
    <row r="371" ht="15" customHeight="1">
      <c r="A371" t="inlineStr">
        <is>
          <t>A 29254-2024</t>
        </is>
      </c>
      <c r="B371" s="1" t="n">
        <v>45482</v>
      </c>
      <c r="C371" s="1" t="n">
        <v>46033</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36137-2025</t>
        </is>
      </c>
      <c r="B372" s="1" t="n">
        <v>45866.64355324074</v>
      </c>
      <c r="C372" s="1" t="n">
        <v>46033</v>
      </c>
      <c r="D372" t="inlineStr">
        <is>
          <t>NORRBOTTENS LÄN</t>
        </is>
      </c>
      <c r="E372" t="inlineStr">
        <is>
          <t>GÄLLIVARE</t>
        </is>
      </c>
      <c r="F372" t="inlineStr">
        <is>
          <t>Sveaskog</t>
        </is>
      </c>
      <c r="G372" t="n">
        <v>10.9</v>
      </c>
      <c r="H372" t="n">
        <v>0</v>
      </c>
      <c r="I372" t="n">
        <v>0</v>
      </c>
      <c r="J372" t="n">
        <v>0</v>
      </c>
      <c r="K372" t="n">
        <v>0</v>
      </c>
      <c r="L372" t="n">
        <v>0</v>
      </c>
      <c r="M372" t="n">
        <v>0</v>
      </c>
      <c r="N372" t="n">
        <v>0</v>
      </c>
      <c r="O372" t="n">
        <v>0</v>
      </c>
      <c r="P372" t="n">
        <v>0</v>
      </c>
      <c r="Q372" t="n">
        <v>0</v>
      </c>
      <c r="R372" s="2" t="inlineStr"/>
    </row>
    <row r="373" ht="15" customHeight="1">
      <c r="A373" t="inlineStr">
        <is>
          <t>A 53176-2025</t>
        </is>
      </c>
      <c r="B373" s="1" t="n">
        <v>45958.5297337963</v>
      </c>
      <c r="C373" s="1" t="n">
        <v>46033</v>
      </c>
      <c r="D373" t="inlineStr">
        <is>
          <t>NORRBOTTENS LÄN</t>
        </is>
      </c>
      <c r="E373" t="inlineStr">
        <is>
          <t>GÄLLIVARE</t>
        </is>
      </c>
      <c r="F373" t="inlineStr">
        <is>
          <t>Sveaskog</t>
        </is>
      </c>
      <c r="G373" t="n">
        <v>8.6</v>
      </c>
      <c r="H373" t="n">
        <v>0</v>
      </c>
      <c r="I373" t="n">
        <v>0</v>
      </c>
      <c r="J373" t="n">
        <v>0</v>
      </c>
      <c r="K373" t="n">
        <v>0</v>
      </c>
      <c r="L373" t="n">
        <v>0</v>
      </c>
      <c r="M373" t="n">
        <v>0</v>
      </c>
      <c r="N373" t="n">
        <v>0</v>
      </c>
      <c r="O373" t="n">
        <v>0</v>
      </c>
      <c r="P373" t="n">
        <v>0</v>
      </c>
      <c r="Q373" t="n">
        <v>0</v>
      </c>
      <c r="R373" s="2" t="inlineStr"/>
    </row>
    <row r="374" ht="15" customHeight="1">
      <c r="A374" t="inlineStr">
        <is>
          <t>A 39060-2024</t>
        </is>
      </c>
      <c r="B374" s="1" t="n">
        <v>45548</v>
      </c>
      <c r="C374" s="1" t="n">
        <v>46033</v>
      </c>
      <c r="D374" t="inlineStr">
        <is>
          <t>NORRBOTTENS LÄN</t>
        </is>
      </c>
      <c r="E374" t="inlineStr">
        <is>
          <t>GÄLLIVARE</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36321-2025</t>
        </is>
      </c>
      <c r="B375" s="1" t="n">
        <v>45868</v>
      </c>
      <c r="C375" s="1" t="n">
        <v>46033</v>
      </c>
      <c r="D375" t="inlineStr">
        <is>
          <t>NORRBOTTENS LÄN</t>
        </is>
      </c>
      <c r="E375" t="inlineStr">
        <is>
          <t>GÄLLIVARE</t>
        </is>
      </c>
      <c r="F375" t="inlineStr">
        <is>
          <t>Sveaskog</t>
        </is>
      </c>
      <c r="G375" t="n">
        <v>6.2</v>
      </c>
      <c r="H375" t="n">
        <v>0</v>
      </c>
      <c r="I375" t="n">
        <v>0</v>
      </c>
      <c r="J375" t="n">
        <v>0</v>
      </c>
      <c r="K375" t="n">
        <v>0</v>
      </c>
      <c r="L375" t="n">
        <v>0</v>
      </c>
      <c r="M375" t="n">
        <v>0</v>
      </c>
      <c r="N375" t="n">
        <v>0</v>
      </c>
      <c r="O375" t="n">
        <v>0</v>
      </c>
      <c r="P375" t="n">
        <v>0</v>
      </c>
      <c r="Q375" t="n">
        <v>0</v>
      </c>
      <c r="R375" s="2" t="inlineStr"/>
    </row>
    <row r="376" ht="15" customHeight="1">
      <c r="A376" t="inlineStr">
        <is>
          <t>A 36326-2025</t>
        </is>
      </c>
      <c r="B376" s="1" t="n">
        <v>45868.42105324074</v>
      </c>
      <c r="C376" s="1" t="n">
        <v>46033</v>
      </c>
      <c r="D376" t="inlineStr">
        <is>
          <t>NORRBOTTENS LÄN</t>
        </is>
      </c>
      <c r="E376" t="inlineStr">
        <is>
          <t>GÄLLIVARE</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36332-2025</t>
        </is>
      </c>
      <c r="B377" s="1" t="n">
        <v>45868</v>
      </c>
      <c r="C377" s="1" t="n">
        <v>46033</v>
      </c>
      <c r="D377" t="inlineStr">
        <is>
          <t>NORRBOTTENS LÄN</t>
        </is>
      </c>
      <c r="E377" t="inlineStr">
        <is>
          <t>GÄLLIVARE</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36346-2025</t>
        </is>
      </c>
      <c r="B378" s="1" t="n">
        <v>45868.47645833333</v>
      </c>
      <c r="C378" s="1" t="n">
        <v>46033</v>
      </c>
      <c r="D378" t="inlineStr">
        <is>
          <t>NORRBOTTENS LÄN</t>
        </is>
      </c>
      <c r="E378" t="inlineStr">
        <is>
          <t>GÄLLIVARE</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36351-2025</t>
        </is>
      </c>
      <c r="B379" s="1" t="n">
        <v>45868.48922453704</v>
      </c>
      <c r="C379" s="1" t="n">
        <v>46033</v>
      </c>
      <c r="D379" t="inlineStr">
        <is>
          <t>NORRBOTTENS LÄN</t>
        </is>
      </c>
      <c r="E379" t="inlineStr">
        <is>
          <t>GÄLLIVARE</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36344-2025</t>
        </is>
      </c>
      <c r="B380" s="1" t="n">
        <v>45868.47358796297</v>
      </c>
      <c r="C380" s="1" t="n">
        <v>46033</v>
      </c>
      <c r="D380" t="inlineStr">
        <is>
          <t>NORRBOTTENS LÄN</t>
        </is>
      </c>
      <c r="E380" t="inlineStr">
        <is>
          <t>GÄLLIVARE</t>
        </is>
      </c>
      <c r="F380" t="inlineStr">
        <is>
          <t>Sveaskog</t>
        </is>
      </c>
      <c r="G380" t="n">
        <v>21.2</v>
      </c>
      <c r="H380" t="n">
        <v>0</v>
      </c>
      <c r="I380" t="n">
        <v>0</v>
      </c>
      <c r="J380" t="n">
        <v>0</v>
      </c>
      <c r="K380" t="n">
        <v>0</v>
      </c>
      <c r="L380" t="n">
        <v>0</v>
      </c>
      <c r="M380" t="n">
        <v>0</v>
      </c>
      <c r="N380" t="n">
        <v>0</v>
      </c>
      <c r="O380" t="n">
        <v>0</v>
      </c>
      <c r="P380" t="n">
        <v>0</v>
      </c>
      <c r="Q380" t="n">
        <v>0</v>
      </c>
      <c r="R380" s="2" t="inlineStr"/>
    </row>
    <row r="381" ht="15" customHeight="1">
      <c r="A381" t="inlineStr">
        <is>
          <t>A 36348-2025</t>
        </is>
      </c>
      <c r="B381" s="1" t="n">
        <v>45868.4797337963</v>
      </c>
      <c r="C381" s="1" t="n">
        <v>46033</v>
      </c>
      <c r="D381" t="inlineStr">
        <is>
          <t>NORRBOTTENS LÄN</t>
        </is>
      </c>
      <c r="E381" t="inlineStr">
        <is>
          <t>GÄLLIVARE</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36556-2025</t>
        </is>
      </c>
      <c r="B382" s="1" t="n">
        <v>45870.34478009259</v>
      </c>
      <c r="C382" s="1" t="n">
        <v>46033</v>
      </c>
      <c r="D382" t="inlineStr">
        <is>
          <t>NORRBOTTENS LÄN</t>
        </is>
      </c>
      <c r="E382" t="inlineStr">
        <is>
          <t>GÄLLIVARE</t>
        </is>
      </c>
      <c r="G382" t="n">
        <v>7.3</v>
      </c>
      <c r="H382" t="n">
        <v>0</v>
      </c>
      <c r="I382" t="n">
        <v>0</v>
      </c>
      <c r="J382" t="n">
        <v>0</v>
      </c>
      <c r="K382" t="n">
        <v>0</v>
      </c>
      <c r="L382" t="n">
        <v>0</v>
      </c>
      <c r="M382" t="n">
        <v>0</v>
      </c>
      <c r="N382" t="n">
        <v>0</v>
      </c>
      <c r="O382" t="n">
        <v>0</v>
      </c>
      <c r="P382" t="n">
        <v>0</v>
      </c>
      <c r="Q382" t="n">
        <v>0</v>
      </c>
      <c r="R382" s="2" t="inlineStr"/>
    </row>
    <row r="383" ht="15" customHeight="1">
      <c r="A383" t="inlineStr">
        <is>
          <t>A 36557-2025</t>
        </is>
      </c>
      <c r="B383" s="1" t="n">
        <v>45870.34482638889</v>
      </c>
      <c r="C383" s="1" t="n">
        <v>46033</v>
      </c>
      <c r="D383" t="inlineStr">
        <is>
          <t>NORRBOTTENS LÄN</t>
        </is>
      </c>
      <c r="E383" t="inlineStr">
        <is>
          <t>GÄLLIVARE</t>
        </is>
      </c>
      <c r="G383" t="n">
        <v>2</v>
      </c>
      <c r="H383" t="n">
        <v>0</v>
      </c>
      <c r="I383" t="n">
        <v>0</v>
      </c>
      <c r="J383" t="n">
        <v>0</v>
      </c>
      <c r="K383" t="n">
        <v>0</v>
      </c>
      <c r="L383" t="n">
        <v>0</v>
      </c>
      <c r="M383" t="n">
        <v>0</v>
      </c>
      <c r="N383" t="n">
        <v>0</v>
      </c>
      <c r="O383" t="n">
        <v>0</v>
      </c>
      <c r="P383" t="n">
        <v>0</v>
      </c>
      <c r="Q383" t="n">
        <v>0</v>
      </c>
      <c r="R383" s="2" t="inlineStr"/>
    </row>
    <row r="384" ht="15" customHeight="1">
      <c r="A384" t="inlineStr">
        <is>
          <t>A 36623-2025</t>
        </is>
      </c>
      <c r="B384" s="1" t="n">
        <v>45870.65719907408</v>
      </c>
      <c r="C384" s="1" t="n">
        <v>46033</v>
      </c>
      <c r="D384" t="inlineStr">
        <is>
          <t>NORRBOTTENS LÄN</t>
        </is>
      </c>
      <c r="E384" t="inlineStr">
        <is>
          <t>GÄLLIVARE</t>
        </is>
      </c>
      <c r="G384" t="n">
        <v>2.5</v>
      </c>
      <c r="H384" t="n">
        <v>0</v>
      </c>
      <c r="I384" t="n">
        <v>0</v>
      </c>
      <c r="J384" t="n">
        <v>0</v>
      </c>
      <c r="K384" t="n">
        <v>0</v>
      </c>
      <c r="L384" t="n">
        <v>0</v>
      </c>
      <c r="M384" t="n">
        <v>0</v>
      </c>
      <c r="N384" t="n">
        <v>0</v>
      </c>
      <c r="O384" t="n">
        <v>0</v>
      </c>
      <c r="P384" t="n">
        <v>0</v>
      </c>
      <c r="Q384" t="n">
        <v>0</v>
      </c>
      <c r="R384" s="2" t="inlineStr"/>
    </row>
    <row r="385" ht="15" customHeight="1">
      <c r="A385" t="inlineStr">
        <is>
          <t>A 36552-2025</t>
        </is>
      </c>
      <c r="B385" s="1" t="n">
        <v>45870.34417824074</v>
      </c>
      <c r="C385" s="1" t="n">
        <v>46033</v>
      </c>
      <c r="D385" t="inlineStr">
        <is>
          <t>NORRBOTTENS LÄN</t>
        </is>
      </c>
      <c r="E385" t="inlineStr">
        <is>
          <t>GÄLLIVARE</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36560-2025</t>
        </is>
      </c>
      <c r="B386" s="1" t="n">
        <v>45870.36483796296</v>
      </c>
      <c r="C386" s="1" t="n">
        <v>46033</v>
      </c>
      <c r="D386" t="inlineStr">
        <is>
          <t>NORRBOTTENS LÄN</t>
        </is>
      </c>
      <c r="E386" t="inlineStr">
        <is>
          <t>GÄLLIVARE</t>
        </is>
      </c>
      <c r="G386" t="n">
        <v>6.9</v>
      </c>
      <c r="H386" t="n">
        <v>0</v>
      </c>
      <c r="I386" t="n">
        <v>0</v>
      </c>
      <c r="J386" t="n">
        <v>0</v>
      </c>
      <c r="K386" t="n">
        <v>0</v>
      </c>
      <c r="L386" t="n">
        <v>0</v>
      </c>
      <c r="M386" t="n">
        <v>0</v>
      </c>
      <c r="N386" t="n">
        <v>0</v>
      </c>
      <c r="O386" t="n">
        <v>0</v>
      </c>
      <c r="P386" t="n">
        <v>0</v>
      </c>
      <c r="Q386" t="n">
        <v>0</v>
      </c>
      <c r="R386" s="2" t="inlineStr"/>
    </row>
    <row r="387" ht="15" customHeight="1">
      <c r="A387" t="inlineStr">
        <is>
          <t>A 36568-2025</t>
        </is>
      </c>
      <c r="B387" s="1" t="n">
        <v>45870</v>
      </c>
      <c r="C387" s="1" t="n">
        <v>46033</v>
      </c>
      <c r="D387" t="inlineStr">
        <is>
          <t>NORRBOTTENS LÄN</t>
        </is>
      </c>
      <c r="E387" t="inlineStr">
        <is>
          <t>GÄLLIVARE</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36790-2025</t>
        </is>
      </c>
      <c r="B388" s="1" t="n">
        <v>45873.63587962963</v>
      </c>
      <c r="C388" s="1" t="n">
        <v>46033</v>
      </c>
      <c r="D388" t="inlineStr">
        <is>
          <t>NORRBOTTENS LÄN</t>
        </is>
      </c>
      <c r="E388" t="inlineStr">
        <is>
          <t>GÄLLIVARE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46033</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26560-2024</t>
        </is>
      </c>
      <c r="B390" s="1" t="n">
        <v>45469.63549768519</v>
      </c>
      <c r="C390" s="1" t="n">
        <v>46033</v>
      </c>
      <c r="D390" t="inlineStr">
        <is>
          <t>NORRBOTTENS LÄN</t>
        </is>
      </c>
      <c r="E390" t="inlineStr">
        <is>
          <t>GÄLLIVARE</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36555-2025</t>
        </is>
      </c>
      <c r="B391" s="1" t="n">
        <v>45870.34471064815</v>
      </c>
      <c r="C391" s="1" t="n">
        <v>46033</v>
      </c>
      <c r="D391" t="inlineStr">
        <is>
          <t>NORRBOTTENS LÄN</t>
        </is>
      </c>
      <c r="E391" t="inlineStr">
        <is>
          <t>GÄLLIVARE</t>
        </is>
      </c>
      <c r="G391" t="n">
        <v>9.4</v>
      </c>
      <c r="H391" t="n">
        <v>0</v>
      </c>
      <c r="I391" t="n">
        <v>0</v>
      </c>
      <c r="J391" t="n">
        <v>0</v>
      </c>
      <c r="K391" t="n">
        <v>0</v>
      </c>
      <c r="L391" t="n">
        <v>0</v>
      </c>
      <c r="M391" t="n">
        <v>0</v>
      </c>
      <c r="N391" t="n">
        <v>0</v>
      </c>
      <c r="O391" t="n">
        <v>0</v>
      </c>
      <c r="P391" t="n">
        <v>0</v>
      </c>
      <c r="Q391" t="n">
        <v>0</v>
      </c>
      <c r="R391" s="2" t="inlineStr"/>
    </row>
    <row r="392" ht="15" customHeight="1">
      <c r="A392" t="inlineStr">
        <is>
          <t>A 36624-2025</t>
        </is>
      </c>
      <c r="B392" s="1" t="n">
        <v>45870.65721064815</v>
      </c>
      <c r="C392" s="1" t="n">
        <v>46033</v>
      </c>
      <c r="D392" t="inlineStr">
        <is>
          <t>NORRBOTTENS LÄN</t>
        </is>
      </c>
      <c r="E392" t="inlineStr">
        <is>
          <t>GÄLLIVARE</t>
        </is>
      </c>
      <c r="G392" t="n">
        <v>1.4</v>
      </c>
      <c r="H392" t="n">
        <v>0</v>
      </c>
      <c r="I392" t="n">
        <v>0</v>
      </c>
      <c r="J392" t="n">
        <v>0</v>
      </c>
      <c r="K392" t="n">
        <v>0</v>
      </c>
      <c r="L392" t="n">
        <v>0</v>
      </c>
      <c r="M392" t="n">
        <v>0</v>
      </c>
      <c r="N392" t="n">
        <v>0</v>
      </c>
      <c r="O392" t="n">
        <v>0</v>
      </c>
      <c r="P392" t="n">
        <v>0</v>
      </c>
      <c r="Q392" t="n">
        <v>0</v>
      </c>
      <c r="R392" s="2" t="inlineStr"/>
    </row>
    <row r="393" ht="15" customHeight="1">
      <c r="A393" t="inlineStr">
        <is>
          <t>A 36625-2025</t>
        </is>
      </c>
      <c r="B393" s="1" t="n">
        <v>45870.65722222222</v>
      </c>
      <c r="C393" s="1" t="n">
        <v>46033</v>
      </c>
      <c r="D393" t="inlineStr">
        <is>
          <t>NORRBOTTENS LÄN</t>
        </is>
      </c>
      <c r="E393" t="inlineStr">
        <is>
          <t>GÄLLIVARE</t>
        </is>
      </c>
      <c r="G393" t="n">
        <v>1.9</v>
      </c>
      <c r="H393" t="n">
        <v>0</v>
      </c>
      <c r="I393" t="n">
        <v>0</v>
      </c>
      <c r="J393" t="n">
        <v>0</v>
      </c>
      <c r="K393" t="n">
        <v>0</v>
      </c>
      <c r="L393" t="n">
        <v>0</v>
      </c>
      <c r="M393" t="n">
        <v>0</v>
      </c>
      <c r="N393" t="n">
        <v>0</v>
      </c>
      <c r="O393" t="n">
        <v>0</v>
      </c>
      <c r="P393" t="n">
        <v>0</v>
      </c>
      <c r="Q393" t="n">
        <v>0</v>
      </c>
      <c r="R393" s="2" t="inlineStr"/>
    </row>
    <row r="394" ht="15" customHeight="1">
      <c r="A394" t="inlineStr">
        <is>
          <t>A 53993-2025</t>
        </is>
      </c>
      <c r="B394" s="1" t="n">
        <v>45961.58293981481</v>
      </c>
      <c r="C394" s="1" t="n">
        <v>46033</v>
      </c>
      <c r="D394" t="inlineStr">
        <is>
          <t>NORRBOTTENS LÄN</t>
        </is>
      </c>
      <c r="E394" t="inlineStr">
        <is>
          <t>GÄLLIVARE</t>
        </is>
      </c>
      <c r="F394" t="inlineStr">
        <is>
          <t>Sveaskog</t>
        </is>
      </c>
      <c r="G394" t="n">
        <v>11.8</v>
      </c>
      <c r="H394" t="n">
        <v>0</v>
      </c>
      <c r="I394" t="n">
        <v>0</v>
      </c>
      <c r="J394" t="n">
        <v>0</v>
      </c>
      <c r="K394" t="n">
        <v>0</v>
      </c>
      <c r="L394" t="n">
        <v>0</v>
      </c>
      <c r="M394" t="n">
        <v>0</v>
      </c>
      <c r="N394" t="n">
        <v>0</v>
      </c>
      <c r="O394" t="n">
        <v>0</v>
      </c>
      <c r="P394" t="n">
        <v>0</v>
      </c>
      <c r="Q394" t="n">
        <v>0</v>
      </c>
      <c r="R394" s="2" t="inlineStr"/>
    </row>
    <row r="395" ht="15" customHeight="1">
      <c r="A395" t="inlineStr">
        <is>
          <t>A 55584-2023</t>
        </is>
      </c>
      <c r="B395" s="1" t="n">
        <v>45238</v>
      </c>
      <c r="C395" s="1" t="n">
        <v>46033</v>
      </c>
      <c r="D395" t="inlineStr">
        <is>
          <t>NORRBOTTENS LÄN</t>
        </is>
      </c>
      <c r="E395" t="inlineStr">
        <is>
          <t>GÄLLIVARE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36554-2025</t>
        </is>
      </c>
      <c r="B396" s="1" t="n">
        <v>45870</v>
      </c>
      <c r="C396" s="1" t="n">
        <v>46033</v>
      </c>
      <c r="D396" t="inlineStr">
        <is>
          <t>NORRBOTTENS LÄN</t>
        </is>
      </c>
      <c r="E396" t="inlineStr">
        <is>
          <t>GÄLLIVARE</t>
        </is>
      </c>
      <c r="F396" t="inlineStr">
        <is>
          <t>SCA</t>
        </is>
      </c>
      <c r="G396" t="n">
        <v>8.1</v>
      </c>
      <c r="H396" t="n">
        <v>0</v>
      </c>
      <c r="I396" t="n">
        <v>0</v>
      </c>
      <c r="J396" t="n">
        <v>0</v>
      </c>
      <c r="K396" t="n">
        <v>0</v>
      </c>
      <c r="L396" t="n">
        <v>0</v>
      </c>
      <c r="M396" t="n">
        <v>0</v>
      </c>
      <c r="N396" t="n">
        <v>0</v>
      </c>
      <c r="O396" t="n">
        <v>0</v>
      </c>
      <c r="P396" t="n">
        <v>0</v>
      </c>
      <c r="Q396" t="n">
        <v>0</v>
      </c>
      <c r="R396" s="2" t="inlineStr"/>
    </row>
    <row r="397" ht="15" customHeight="1">
      <c r="A397" t="inlineStr">
        <is>
          <t>A 36868-2025</t>
        </is>
      </c>
      <c r="B397" s="1" t="n">
        <v>45874</v>
      </c>
      <c r="C397" s="1" t="n">
        <v>46033</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36997-2025</t>
        </is>
      </c>
      <c r="B398" s="1" t="n">
        <v>45874.67802083334</v>
      </c>
      <c r="C398" s="1" t="n">
        <v>46033</v>
      </c>
      <c r="D398" t="inlineStr">
        <is>
          <t>NORRBOTTENS LÄN</t>
        </is>
      </c>
      <c r="E398" t="inlineStr">
        <is>
          <t>GÄLLIVARE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61681-2025</t>
        </is>
      </c>
      <c r="B399" s="1" t="n">
        <v>46002.49121527778</v>
      </c>
      <c r="C399" s="1" t="n">
        <v>46033</v>
      </c>
      <c r="D399" t="inlineStr">
        <is>
          <t>NORRBOTTENS LÄN</t>
        </is>
      </c>
      <c r="E399" t="inlineStr">
        <is>
          <t>GÄLLIVARE</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61687-2025</t>
        </is>
      </c>
      <c r="B400" s="1" t="n">
        <v>46002.50983796296</v>
      </c>
      <c r="C400" s="1" t="n">
        <v>46033</v>
      </c>
      <c r="D400" t="inlineStr">
        <is>
          <t>NORRBOTTENS LÄN</t>
        </is>
      </c>
      <c r="E400" t="inlineStr">
        <is>
          <t>GÄLLIVARE</t>
        </is>
      </c>
      <c r="G400" t="n">
        <v>12.7</v>
      </c>
      <c r="H400" t="n">
        <v>0</v>
      </c>
      <c r="I400" t="n">
        <v>0</v>
      </c>
      <c r="J400" t="n">
        <v>0</v>
      </c>
      <c r="K400" t="n">
        <v>0</v>
      </c>
      <c r="L400" t="n">
        <v>0</v>
      </c>
      <c r="M400" t="n">
        <v>0</v>
      </c>
      <c r="N400" t="n">
        <v>0</v>
      </c>
      <c r="O400" t="n">
        <v>0</v>
      </c>
      <c r="P400" t="n">
        <v>0</v>
      </c>
      <c r="Q400" t="n">
        <v>0</v>
      </c>
      <c r="R400" s="2" t="inlineStr"/>
    </row>
    <row r="401" ht="15" customHeight="1">
      <c r="A401" t="inlineStr">
        <is>
          <t>A 61715-2025</t>
        </is>
      </c>
      <c r="B401" s="1" t="n">
        <v>46002.56920138889</v>
      </c>
      <c r="C401" s="1" t="n">
        <v>46033</v>
      </c>
      <c r="D401" t="inlineStr">
        <is>
          <t>NORRBOTTENS LÄN</t>
        </is>
      </c>
      <c r="E401" t="inlineStr">
        <is>
          <t>GÄLLIVARE</t>
        </is>
      </c>
      <c r="F401" t="inlineStr">
        <is>
          <t>Sveaskog</t>
        </is>
      </c>
      <c r="G401" t="n">
        <v>15.8</v>
      </c>
      <c r="H401" t="n">
        <v>0</v>
      </c>
      <c r="I401" t="n">
        <v>0</v>
      </c>
      <c r="J401" t="n">
        <v>0</v>
      </c>
      <c r="K401" t="n">
        <v>0</v>
      </c>
      <c r="L401" t="n">
        <v>0</v>
      </c>
      <c r="M401" t="n">
        <v>0</v>
      </c>
      <c r="N401" t="n">
        <v>0</v>
      </c>
      <c r="O401" t="n">
        <v>0</v>
      </c>
      <c r="P401" t="n">
        <v>0</v>
      </c>
      <c r="Q401" t="n">
        <v>0</v>
      </c>
      <c r="R401" s="2" t="inlineStr"/>
    </row>
    <row r="402" ht="15" customHeight="1">
      <c r="A402" t="inlineStr">
        <is>
          <t>A 25467-2024</t>
        </is>
      </c>
      <c r="B402" s="1" t="n">
        <v>45463</v>
      </c>
      <c r="C402" s="1" t="n">
        <v>46033</v>
      </c>
      <c r="D402" t="inlineStr">
        <is>
          <t>NORRBOTTENS LÄN</t>
        </is>
      </c>
      <c r="E402" t="inlineStr">
        <is>
          <t>GÄLLIVARE</t>
        </is>
      </c>
      <c r="G402" t="n">
        <v>3</v>
      </c>
      <c r="H402" t="n">
        <v>0</v>
      </c>
      <c r="I402" t="n">
        <v>0</v>
      </c>
      <c r="J402" t="n">
        <v>0</v>
      </c>
      <c r="K402" t="n">
        <v>0</v>
      </c>
      <c r="L402" t="n">
        <v>0</v>
      </c>
      <c r="M402" t="n">
        <v>0</v>
      </c>
      <c r="N402" t="n">
        <v>0</v>
      </c>
      <c r="O402" t="n">
        <v>0</v>
      </c>
      <c r="P402" t="n">
        <v>0</v>
      </c>
      <c r="Q402" t="n">
        <v>0</v>
      </c>
      <c r="R402" s="2" t="inlineStr"/>
    </row>
    <row r="403" ht="15" customHeight="1">
      <c r="A403" t="inlineStr">
        <is>
          <t>A 36904-2025</t>
        </is>
      </c>
      <c r="B403" s="1" t="n">
        <v>45874.49055555555</v>
      </c>
      <c r="C403" s="1" t="n">
        <v>46033</v>
      </c>
      <c r="D403" t="inlineStr">
        <is>
          <t>NORRBOTTENS LÄN</t>
        </is>
      </c>
      <c r="E403" t="inlineStr">
        <is>
          <t>GÄLLIVARE</t>
        </is>
      </c>
      <c r="F403" t="inlineStr">
        <is>
          <t>Sveaskog</t>
        </is>
      </c>
      <c r="G403" t="n">
        <v>45.8</v>
      </c>
      <c r="H403" t="n">
        <v>0</v>
      </c>
      <c r="I403" t="n">
        <v>0</v>
      </c>
      <c r="J403" t="n">
        <v>0</v>
      </c>
      <c r="K403" t="n">
        <v>0</v>
      </c>
      <c r="L403" t="n">
        <v>0</v>
      </c>
      <c r="M403" t="n">
        <v>0</v>
      </c>
      <c r="N403" t="n">
        <v>0</v>
      </c>
      <c r="O403" t="n">
        <v>0</v>
      </c>
      <c r="P403" t="n">
        <v>0</v>
      </c>
      <c r="Q403" t="n">
        <v>0</v>
      </c>
      <c r="R403" s="2" t="inlineStr"/>
    </row>
    <row r="404" ht="15" customHeight="1">
      <c r="A404" t="inlineStr">
        <is>
          <t>A 36924-2025</t>
        </is>
      </c>
      <c r="B404" s="1" t="n">
        <v>45874.54712962963</v>
      </c>
      <c r="C404" s="1" t="n">
        <v>46033</v>
      </c>
      <c r="D404" t="inlineStr">
        <is>
          <t>NORRBOTTENS LÄN</t>
        </is>
      </c>
      <c r="E404" t="inlineStr">
        <is>
          <t>GÄLLIVARE</t>
        </is>
      </c>
      <c r="F404" t="inlineStr">
        <is>
          <t>Sveaskog</t>
        </is>
      </c>
      <c r="G404" t="n">
        <v>15.4</v>
      </c>
      <c r="H404" t="n">
        <v>0</v>
      </c>
      <c r="I404" t="n">
        <v>0</v>
      </c>
      <c r="J404" t="n">
        <v>0</v>
      </c>
      <c r="K404" t="n">
        <v>0</v>
      </c>
      <c r="L404" t="n">
        <v>0</v>
      </c>
      <c r="M404" t="n">
        <v>0</v>
      </c>
      <c r="N404" t="n">
        <v>0</v>
      </c>
      <c r="O404" t="n">
        <v>0</v>
      </c>
      <c r="P404" t="n">
        <v>0</v>
      </c>
      <c r="Q404" t="n">
        <v>0</v>
      </c>
      <c r="R404" s="2" t="inlineStr"/>
    </row>
    <row r="405" ht="15" customHeight="1">
      <c r="A405" t="inlineStr">
        <is>
          <t>A 6781-2023</t>
        </is>
      </c>
      <c r="B405" s="1" t="n">
        <v>44966</v>
      </c>
      <c r="C405" s="1" t="n">
        <v>46033</v>
      </c>
      <c r="D405" t="inlineStr">
        <is>
          <t>NORRBOTTENS LÄN</t>
        </is>
      </c>
      <c r="E405" t="inlineStr">
        <is>
          <t>GÄLLIVARE</t>
        </is>
      </c>
      <c r="F405" t="inlineStr">
        <is>
          <t>SCA</t>
        </is>
      </c>
      <c r="G405" t="n">
        <v>14.1</v>
      </c>
      <c r="H405" t="n">
        <v>0</v>
      </c>
      <c r="I405" t="n">
        <v>0</v>
      </c>
      <c r="J405" t="n">
        <v>0</v>
      </c>
      <c r="K405" t="n">
        <v>0</v>
      </c>
      <c r="L405" t="n">
        <v>0</v>
      </c>
      <c r="M405" t="n">
        <v>0</v>
      </c>
      <c r="N405" t="n">
        <v>0</v>
      </c>
      <c r="O405" t="n">
        <v>0</v>
      </c>
      <c r="P405" t="n">
        <v>0</v>
      </c>
      <c r="Q405" t="n">
        <v>0</v>
      </c>
      <c r="R405" s="2" t="inlineStr"/>
    </row>
    <row r="406" ht="15" customHeight="1">
      <c r="A406" t="inlineStr">
        <is>
          <t>A 61902-2025</t>
        </is>
      </c>
      <c r="B406" s="1" t="n">
        <v>46003.46940972222</v>
      </c>
      <c r="C406" s="1" t="n">
        <v>46033</v>
      </c>
      <c r="D406" t="inlineStr">
        <is>
          <t>NORRBOTTENS LÄN</t>
        </is>
      </c>
      <c r="E406" t="inlineStr">
        <is>
          <t>GÄLLIVARE</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27666-2024</t>
        </is>
      </c>
      <c r="B407" s="1" t="n">
        <v>45474</v>
      </c>
      <c r="C407" s="1" t="n">
        <v>46033</v>
      </c>
      <c r="D407" t="inlineStr">
        <is>
          <t>NORRBOTTENS LÄN</t>
        </is>
      </c>
      <c r="E407" t="inlineStr">
        <is>
          <t>GÄLLIVARE</t>
        </is>
      </c>
      <c r="G407" t="n">
        <v>2.1</v>
      </c>
      <c r="H407" t="n">
        <v>0</v>
      </c>
      <c r="I407" t="n">
        <v>0</v>
      </c>
      <c r="J407" t="n">
        <v>0</v>
      </c>
      <c r="K407" t="n">
        <v>0</v>
      </c>
      <c r="L407" t="n">
        <v>0</v>
      </c>
      <c r="M407" t="n">
        <v>0</v>
      </c>
      <c r="N407" t="n">
        <v>0</v>
      </c>
      <c r="O407" t="n">
        <v>0</v>
      </c>
      <c r="P407" t="n">
        <v>0</v>
      </c>
      <c r="Q407" t="n">
        <v>0</v>
      </c>
      <c r="R407" s="2" t="inlineStr"/>
    </row>
    <row r="408" ht="15" customHeight="1">
      <c r="A408" t="inlineStr">
        <is>
          <t>A 37659-2025</t>
        </is>
      </c>
      <c r="B408" s="1" t="n">
        <v>45880.49833333334</v>
      </c>
      <c r="C408" s="1" t="n">
        <v>46033</v>
      </c>
      <c r="D408" t="inlineStr">
        <is>
          <t>NORRBOTTENS LÄN</t>
        </is>
      </c>
      <c r="E408" t="inlineStr">
        <is>
          <t>GÄLLIVARE</t>
        </is>
      </c>
      <c r="F408" t="inlineStr">
        <is>
          <t>Sveaskog</t>
        </is>
      </c>
      <c r="G408" t="n">
        <v>13.7</v>
      </c>
      <c r="H408" t="n">
        <v>0</v>
      </c>
      <c r="I408" t="n">
        <v>0</v>
      </c>
      <c r="J408" t="n">
        <v>0</v>
      </c>
      <c r="K408" t="n">
        <v>0</v>
      </c>
      <c r="L408" t="n">
        <v>0</v>
      </c>
      <c r="M408" t="n">
        <v>0</v>
      </c>
      <c r="N408" t="n">
        <v>0</v>
      </c>
      <c r="O408" t="n">
        <v>0</v>
      </c>
      <c r="P408" t="n">
        <v>0</v>
      </c>
      <c r="Q408" t="n">
        <v>0</v>
      </c>
      <c r="R408" s="2" t="inlineStr"/>
    </row>
    <row r="409" ht="15" customHeight="1">
      <c r="A409" t="inlineStr">
        <is>
          <t>A 37594-2025</t>
        </is>
      </c>
      <c r="B409" s="1" t="n">
        <v>45880.41603009259</v>
      </c>
      <c r="C409" s="1" t="n">
        <v>46033</v>
      </c>
      <c r="D409" t="inlineStr">
        <is>
          <t>NORRBOTTENS LÄN</t>
        </is>
      </c>
      <c r="E409" t="inlineStr">
        <is>
          <t>GÄLLIVARE</t>
        </is>
      </c>
      <c r="F409" t="inlineStr">
        <is>
          <t>Sveaskog</t>
        </is>
      </c>
      <c r="G409" t="n">
        <v>13.3</v>
      </c>
      <c r="H409" t="n">
        <v>0</v>
      </c>
      <c r="I409" t="n">
        <v>0</v>
      </c>
      <c r="J409" t="n">
        <v>0</v>
      </c>
      <c r="K409" t="n">
        <v>0</v>
      </c>
      <c r="L409" t="n">
        <v>0</v>
      </c>
      <c r="M409" t="n">
        <v>0</v>
      </c>
      <c r="N409" t="n">
        <v>0</v>
      </c>
      <c r="O409" t="n">
        <v>0</v>
      </c>
      <c r="P409" t="n">
        <v>0</v>
      </c>
      <c r="Q409" t="n">
        <v>0</v>
      </c>
      <c r="R409" s="2" t="inlineStr"/>
    </row>
    <row r="410" ht="15" customHeight="1">
      <c r="A410" t="inlineStr">
        <is>
          <t>A 37652-2025</t>
        </is>
      </c>
      <c r="B410" s="1" t="n">
        <v>45880.49027777778</v>
      </c>
      <c r="C410" s="1" t="n">
        <v>46033</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37683-2025</t>
        </is>
      </c>
      <c r="B411" s="1" t="n">
        <v>45880.55248842593</v>
      </c>
      <c r="C411" s="1" t="n">
        <v>46033</v>
      </c>
      <c r="D411" t="inlineStr">
        <is>
          <t>NORRBOTTENS LÄN</t>
        </is>
      </c>
      <c r="E411" t="inlineStr">
        <is>
          <t>GÄLLIVARE</t>
        </is>
      </c>
      <c r="F411" t="inlineStr">
        <is>
          <t>SCA</t>
        </is>
      </c>
      <c r="G411" t="n">
        <v>4.8</v>
      </c>
      <c r="H411" t="n">
        <v>0</v>
      </c>
      <c r="I411" t="n">
        <v>0</v>
      </c>
      <c r="J411" t="n">
        <v>0</v>
      </c>
      <c r="K411" t="n">
        <v>0</v>
      </c>
      <c r="L411" t="n">
        <v>0</v>
      </c>
      <c r="M411" t="n">
        <v>0</v>
      </c>
      <c r="N411" t="n">
        <v>0</v>
      </c>
      <c r="O411" t="n">
        <v>0</v>
      </c>
      <c r="P411" t="n">
        <v>0</v>
      </c>
      <c r="Q411" t="n">
        <v>0</v>
      </c>
      <c r="R411" s="2" t="inlineStr"/>
    </row>
    <row r="412" ht="15" customHeight="1">
      <c r="A412" t="inlineStr">
        <is>
          <t>A 53696-2025</t>
        </is>
      </c>
      <c r="B412" s="1" t="n">
        <v>45960.59054398148</v>
      </c>
      <c r="C412" s="1" t="n">
        <v>46033</v>
      </c>
      <c r="D412" t="inlineStr">
        <is>
          <t>NORRBOTTENS LÄN</t>
        </is>
      </c>
      <c r="E412" t="inlineStr">
        <is>
          <t>GÄLLIVARE</t>
        </is>
      </c>
      <c r="F412" t="inlineStr">
        <is>
          <t>Sveaskog</t>
        </is>
      </c>
      <c r="G412" t="n">
        <v>13.4</v>
      </c>
      <c r="H412" t="n">
        <v>0</v>
      </c>
      <c r="I412" t="n">
        <v>0</v>
      </c>
      <c r="J412" t="n">
        <v>0</v>
      </c>
      <c r="K412" t="n">
        <v>0</v>
      </c>
      <c r="L412" t="n">
        <v>0</v>
      </c>
      <c r="M412" t="n">
        <v>0</v>
      </c>
      <c r="N412" t="n">
        <v>0</v>
      </c>
      <c r="O412" t="n">
        <v>0</v>
      </c>
      <c r="P412" t="n">
        <v>0</v>
      </c>
      <c r="Q412" t="n">
        <v>0</v>
      </c>
      <c r="R412" s="2" t="inlineStr"/>
    </row>
    <row r="413" ht="15" customHeight="1">
      <c r="A413" t="inlineStr">
        <is>
          <t>A 59698-2024</t>
        </is>
      </c>
      <c r="B413" s="1" t="n">
        <v>45639</v>
      </c>
      <c r="C413" s="1" t="n">
        <v>46033</v>
      </c>
      <c r="D413" t="inlineStr">
        <is>
          <t>NORRBOTTENS LÄN</t>
        </is>
      </c>
      <c r="E413" t="inlineStr">
        <is>
          <t>GÄLLIVARE</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61668-2025</t>
        </is>
      </c>
      <c r="B414" s="1" t="n">
        <v>46002.46994212963</v>
      </c>
      <c r="C414" s="1" t="n">
        <v>46033</v>
      </c>
      <c r="D414" t="inlineStr">
        <is>
          <t>NORRBOTTENS LÄN</t>
        </is>
      </c>
      <c r="E414" t="inlineStr">
        <is>
          <t>GÄLLIVARE</t>
        </is>
      </c>
      <c r="G414" t="n">
        <v>13.6</v>
      </c>
      <c r="H414" t="n">
        <v>0</v>
      </c>
      <c r="I414" t="n">
        <v>0</v>
      </c>
      <c r="J414" t="n">
        <v>0</v>
      </c>
      <c r="K414" t="n">
        <v>0</v>
      </c>
      <c r="L414" t="n">
        <v>0</v>
      </c>
      <c r="M414" t="n">
        <v>0</v>
      </c>
      <c r="N414" t="n">
        <v>0</v>
      </c>
      <c r="O414" t="n">
        <v>0</v>
      </c>
      <c r="P414" t="n">
        <v>0</v>
      </c>
      <c r="Q414" t="n">
        <v>0</v>
      </c>
      <c r="R414" s="2" t="inlineStr"/>
    </row>
    <row r="415" ht="15" customHeight="1">
      <c r="A415" t="inlineStr">
        <is>
          <t>A 61680-2025</t>
        </is>
      </c>
      <c r="B415" s="1" t="n">
        <v>46002.49015046296</v>
      </c>
      <c r="C415" s="1" t="n">
        <v>46033</v>
      </c>
      <c r="D415" t="inlineStr">
        <is>
          <t>NORRBOTTENS LÄN</t>
        </is>
      </c>
      <c r="E415" t="inlineStr">
        <is>
          <t>GÄLLIVARE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38049-2025</t>
        </is>
      </c>
      <c r="B416" s="1" t="n">
        <v>45882.40704861111</v>
      </c>
      <c r="C416" s="1" t="n">
        <v>46033</v>
      </c>
      <c r="D416" t="inlineStr">
        <is>
          <t>NORRBOTTENS LÄN</t>
        </is>
      </c>
      <c r="E416" t="inlineStr">
        <is>
          <t>GÄLLIVARE</t>
        </is>
      </c>
      <c r="F416" t="inlineStr">
        <is>
          <t>SCA</t>
        </is>
      </c>
      <c r="G416" t="n">
        <v>11.2</v>
      </c>
      <c r="H416" t="n">
        <v>0</v>
      </c>
      <c r="I416" t="n">
        <v>0</v>
      </c>
      <c r="J416" t="n">
        <v>0</v>
      </c>
      <c r="K416" t="n">
        <v>0</v>
      </c>
      <c r="L416" t="n">
        <v>0</v>
      </c>
      <c r="M416" t="n">
        <v>0</v>
      </c>
      <c r="N416" t="n">
        <v>0</v>
      </c>
      <c r="O416" t="n">
        <v>0</v>
      </c>
      <c r="P416" t="n">
        <v>0</v>
      </c>
      <c r="Q416" t="n">
        <v>0</v>
      </c>
      <c r="R416" s="2" t="inlineStr"/>
    </row>
    <row r="417" ht="15" customHeight="1">
      <c r="A417" t="inlineStr">
        <is>
          <t>A 45654-2024</t>
        </is>
      </c>
      <c r="B417" s="1" t="n">
        <v>45579</v>
      </c>
      <c r="C417" s="1" t="n">
        <v>46033</v>
      </c>
      <c r="D417" t="inlineStr">
        <is>
          <t>NORRBOTTENS LÄN</t>
        </is>
      </c>
      <c r="E417" t="inlineStr">
        <is>
          <t>GÄLLIVARE</t>
        </is>
      </c>
      <c r="G417" t="n">
        <v>2.1</v>
      </c>
      <c r="H417" t="n">
        <v>0</v>
      </c>
      <c r="I417" t="n">
        <v>0</v>
      </c>
      <c r="J417" t="n">
        <v>0</v>
      </c>
      <c r="K417" t="n">
        <v>0</v>
      </c>
      <c r="L417" t="n">
        <v>0</v>
      </c>
      <c r="M417" t="n">
        <v>0</v>
      </c>
      <c r="N417" t="n">
        <v>0</v>
      </c>
      <c r="O417" t="n">
        <v>0</v>
      </c>
      <c r="P417" t="n">
        <v>0</v>
      </c>
      <c r="Q417" t="n">
        <v>0</v>
      </c>
      <c r="R417" s="2" t="inlineStr"/>
    </row>
    <row r="418" ht="15" customHeight="1">
      <c r="A418" t="inlineStr">
        <is>
          <t>A 38029-2025</t>
        </is>
      </c>
      <c r="B418" s="1" t="n">
        <v>45882.36502314815</v>
      </c>
      <c r="C418" s="1" t="n">
        <v>46033</v>
      </c>
      <c r="D418" t="inlineStr">
        <is>
          <t>NORRBOTTENS LÄN</t>
        </is>
      </c>
      <c r="E418" t="inlineStr">
        <is>
          <t>GÄLLIVARE</t>
        </is>
      </c>
      <c r="F418" t="inlineStr">
        <is>
          <t>SCA</t>
        </is>
      </c>
      <c r="G418" t="n">
        <v>10.2</v>
      </c>
      <c r="H418" t="n">
        <v>0</v>
      </c>
      <c r="I418" t="n">
        <v>0</v>
      </c>
      <c r="J418" t="n">
        <v>0</v>
      </c>
      <c r="K418" t="n">
        <v>0</v>
      </c>
      <c r="L418" t="n">
        <v>0</v>
      </c>
      <c r="M418" t="n">
        <v>0</v>
      </c>
      <c r="N418" t="n">
        <v>0</v>
      </c>
      <c r="O418" t="n">
        <v>0</v>
      </c>
      <c r="P418" t="n">
        <v>0</v>
      </c>
      <c r="Q418" t="n">
        <v>0</v>
      </c>
      <c r="R418" s="2" t="inlineStr"/>
    </row>
    <row r="419" ht="15" customHeight="1">
      <c r="A419" t="inlineStr">
        <is>
          <t>A 38062-2025</t>
        </is>
      </c>
      <c r="B419" s="1" t="n">
        <v>45882.42844907408</v>
      </c>
      <c r="C419" s="1" t="n">
        <v>46033</v>
      </c>
      <c r="D419" t="inlineStr">
        <is>
          <t>NORRBOTTENS LÄN</t>
        </is>
      </c>
      <c r="E419" t="inlineStr">
        <is>
          <t>GÄLLIVARE</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38204-2025</t>
        </is>
      </c>
      <c r="B420" s="1" t="n">
        <v>45882.69832175926</v>
      </c>
      <c r="C420" s="1" t="n">
        <v>46033</v>
      </c>
      <c r="D420" t="inlineStr">
        <is>
          <t>NORRBOTTENS LÄN</t>
        </is>
      </c>
      <c r="E420" t="inlineStr">
        <is>
          <t>GÄLLIVARE</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37961-2025</t>
        </is>
      </c>
      <c r="B421" s="1" t="n">
        <v>45881</v>
      </c>
      <c r="C421" s="1" t="n">
        <v>46033</v>
      </c>
      <c r="D421" t="inlineStr">
        <is>
          <t>NORRBOTTENS LÄN</t>
        </is>
      </c>
      <c r="E421" t="inlineStr">
        <is>
          <t>GÄLLIVARE</t>
        </is>
      </c>
      <c r="G421" t="n">
        <v>2.6</v>
      </c>
      <c r="H421" t="n">
        <v>0</v>
      </c>
      <c r="I421" t="n">
        <v>0</v>
      </c>
      <c r="J421" t="n">
        <v>0</v>
      </c>
      <c r="K421" t="n">
        <v>0</v>
      </c>
      <c r="L421" t="n">
        <v>0</v>
      </c>
      <c r="M421" t="n">
        <v>0</v>
      </c>
      <c r="N421" t="n">
        <v>0</v>
      </c>
      <c r="O421" t="n">
        <v>0</v>
      </c>
      <c r="P421" t="n">
        <v>0</v>
      </c>
      <c r="Q421" t="n">
        <v>0</v>
      </c>
      <c r="R421" s="2" t="inlineStr"/>
    </row>
    <row r="422" ht="15" customHeight="1">
      <c r="A422" t="inlineStr">
        <is>
          <t>A 38225-2025</t>
        </is>
      </c>
      <c r="B422" s="1" t="n">
        <v>45883.34501157407</v>
      </c>
      <c r="C422" s="1" t="n">
        <v>46033</v>
      </c>
      <c r="D422" t="inlineStr">
        <is>
          <t>NORRBOTTENS LÄN</t>
        </is>
      </c>
      <c r="E422" t="inlineStr">
        <is>
          <t>GÄLLIVARE</t>
        </is>
      </c>
      <c r="F422" t="inlineStr">
        <is>
          <t>SCA</t>
        </is>
      </c>
      <c r="G422" t="n">
        <v>9.5</v>
      </c>
      <c r="H422" t="n">
        <v>0</v>
      </c>
      <c r="I422" t="n">
        <v>0</v>
      </c>
      <c r="J422" t="n">
        <v>0</v>
      </c>
      <c r="K422" t="n">
        <v>0</v>
      </c>
      <c r="L422" t="n">
        <v>0</v>
      </c>
      <c r="M422" t="n">
        <v>0</v>
      </c>
      <c r="N422" t="n">
        <v>0</v>
      </c>
      <c r="O422" t="n">
        <v>0</v>
      </c>
      <c r="P422" t="n">
        <v>0</v>
      </c>
      <c r="Q422" t="n">
        <v>0</v>
      </c>
      <c r="R422" s="2" t="inlineStr"/>
    </row>
    <row r="423" ht="15" customHeight="1">
      <c r="A423" t="inlineStr">
        <is>
          <t>A 47162-2023</t>
        </is>
      </c>
      <c r="B423" s="1" t="n">
        <v>45201</v>
      </c>
      <c r="C423" s="1" t="n">
        <v>46033</v>
      </c>
      <c r="D423" t="inlineStr">
        <is>
          <t>NORRBOTTENS LÄN</t>
        </is>
      </c>
      <c r="E423" t="inlineStr">
        <is>
          <t>GÄLLIVARE</t>
        </is>
      </c>
      <c r="F423" t="inlineStr">
        <is>
          <t>SCA</t>
        </is>
      </c>
      <c r="G423" t="n">
        <v>8.1</v>
      </c>
      <c r="H423" t="n">
        <v>0</v>
      </c>
      <c r="I423" t="n">
        <v>0</v>
      </c>
      <c r="J423" t="n">
        <v>0</v>
      </c>
      <c r="K423" t="n">
        <v>0</v>
      </c>
      <c r="L423" t="n">
        <v>0</v>
      </c>
      <c r="M423" t="n">
        <v>0</v>
      </c>
      <c r="N423" t="n">
        <v>0</v>
      </c>
      <c r="O423" t="n">
        <v>0</v>
      </c>
      <c r="P423" t="n">
        <v>0</v>
      </c>
      <c r="Q423" t="n">
        <v>0</v>
      </c>
      <c r="R423" s="2" t="inlineStr"/>
    </row>
    <row r="424" ht="15" customHeight="1">
      <c r="A424" t="inlineStr">
        <is>
          <t>A 61352-2025</t>
        </is>
      </c>
      <c r="B424" s="1" t="n">
        <v>46001</v>
      </c>
      <c r="C424" s="1" t="n">
        <v>46033</v>
      </c>
      <c r="D424" t="inlineStr">
        <is>
          <t>NORRBOTTENS LÄN</t>
        </is>
      </c>
      <c r="E424" t="inlineStr">
        <is>
          <t>GÄLLIVARE</t>
        </is>
      </c>
      <c r="G424" t="n">
        <v>2.4</v>
      </c>
      <c r="H424" t="n">
        <v>0</v>
      </c>
      <c r="I424" t="n">
        <v>0</v>
      </c>
      <c r="J424" t="n">
        <v>0</v>
      </c>
      <c r="K424" t="n">
        <v>0</v>
      </c>
      <c r="L424" t="n">
        <v>0</v>
      </c>
      <c r="M424" t="n">
        <v>0</v>
      </c>
      <c r="N424" t="n">
        <v>0</v>
      </c>
      <c r="O424" t="n">
        <v>0</v>
      </c>
      <c r="P424" t="n">
        <v>0</v>
      </c>
      <c r="Q424" t="n">
        <v>0</v>
      </c>
      <c r="R424" s="2" t="inlineStr"/>
    </row>
    <row r="425" ht="15" customHeight="1">
      <c r="A425" t="inlineStr">
        <is>
          <t>A 61393-2025</t>
        </is>
      </c>
      <c r="B425" s="1" t="n">
        <v>46001.46931712963</v>
      </c>
      <c r="C425" s="1" t="n">
        <v>46033</v>
      </c>
      <c r="D425" t="inlineStr">
        <is>
          <t>NORRBOTTENS LÄN</t>
        </is>
      </c>
      <c r="E425" t="inlineStr">
        <is>
          <t>GÄLLIVARE</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38896-2025</t>
        </is>
      </c>
      <c r="B426" s="1" t="n">
        <v>45887</v>
      </c>
      <c r="C426" s="1" t="n">
        <v>46033</v>
      </c>
      <c r="D426" t="inlineStr">
        <is>
          <t>NORRBOTTENS LÄN</t>
        </is>
      </c>
      <c r="E426" t="inlineStr">
        <is>
          <t>GÄLLIVARE</t>
        </is>
      </c>
      <c r="G426" t="n">
        <v>5</v>
      </c>
      <c r="H426" t="n">
        <v>0</v>
      </c>
      <c r="I426" t="n">
        <v>0</v>
      </c>
      <c r="J426" t="n">
        <v>0</v>
      </c>
      <c r="K426" t="n">
        <v>0</v>
      </c>
      <c r="L426" t="n">
        <v>0</v>
      </c>
      <c r="M426" t="n">
        <v>0</v>
      </c>
      <c r="N426" t="n">
        <v>0</v>
      </c>
      <c r="O426" t="n">
        <v>0</v>
      </c>
      <c r="P426" t="n">
        <v>0</v>
      </c>
      <c r="Q426" t="n">
        <v>0</v>
      </c>
      <c r="R426" s="2" t="inlineStr"/>
    </row>
    <row r="427" ht="15" customHeight="1">
      <c r="A427" t="inlineStr">
        <is>
          <t>A 54722-2025</t>
        </is>
      </c>
      <c r="B427" s="1" t="n">
        <v>45966</v>
      </c>
      <c r="C427" s="1" t="n">
        <v>46033</v>
      </c>
      <c r="D427" t="inlineStr">
        <is>
          <t>NORRBOTTENS LÄN</t>
        </is>
      </c>
      <c r="E427" t="inlineStr">
        <is>
          <t>GÄLLIVARE</t>
        </is>
      </c>
      <c r="G427" t="n">
        <v>6</v>
      </c>
      <c r="H427" t="n">
        <v>0</v>
      </c>
      <c r="I427" t="n">
        <v>0</v>
      </c>
      <c r="J427" t="n">
        <v>0</v>
      </c>
      <c r="K427" t="n">
        <v>0</v>
      </c>
      <c r="L427" t="n">
        <v>0</v>
      </c>
      <c r="M427" t="n">
        <v>0</v>
      </c>
      <c r="N427" t="n">
        <v>0</v>
      </c>
      <c r="O427" t="n">
        <v>0</v>
      </c>
      <c r="P427" t="n">
        <v>0</v>
      </c>
      <c r="Q427" t="n">
        <v>0</v>
      </c>
      <c r="R427" s="2" t="inlineStr"/>
    </row>
    <row r="428" ht="15" customHeight="1">
      <c r="A428" t="inlineStr">
        <is>
          <t>A 16857-2025</t>
        </is>
      </c>
      <c r="B428" s="1" t="n">
        <v>45751</v>
      </c>
      <c r="C428" s="1" t="n">
        <v>46033</v>
      </c>
      <c r="D428" t="inlineStr">
        <is>
          <t>NORRBOTTENS LÄN</t>
        </is>
      </c>
      <c r="E428" t="inlineStr">
        <is>
          <t>GÄLLIVARE</t>
        </is>
      </c>
      <c r="G428" t="n">
        <v>1.7</v>
      </c>
      <c r="H428" t="n">
        <v>0</v>
      </c>
      <c r="I428" t="n">
        <v>0</v>
      </c>
      <c r="J428" t="n">
        <v>0</v>
      </c>
      <c r="K428" t="n">
        <v>0</v>
      </c>
      <c r="L428" t="n">
        <v>0</v>
      </c>
      <c r="M428" t="n">
        <v>0</v>
      </c>
      <c r="N428" t="n">
        <v>0</v>
      </c>
      <c r="O428" t="n">
        <v>0</v>
      </c>
      <c r="P428" t="n">
        <v>0</v>
      </c>
      <c r="Q428" t="n">
        <v>0</v>
      </c>
      <c r="R428" s="2" t="inlineStr"/>
    </row>
    <row r="429" ht="15" customHeight="1">
      <c r="A429" t="inlineStr">
        <is>
          <t>A 41873-2024</t>
        </is>
      </c>
      <c r="B429" s="1" t="n">
        <v>45561.47195601852</v>
      </c>
      <c r="C429" s="1" t="n">
        <v>46033</v>
      </c>
      <c r="D429" t="inlineStr">
        <is>
          <t>NORRBOTTENS LÄN</t>
        </is>
      </c>
      <c r="E429" t="inlineStr">
        <is>
          <t>GÄLLIVARE</t>
        </is>
      </c>
      <c r="G429" t="n">
        <v>2.1</v>
      </c>
      <c r="H429" t="n">
        <v>0</v>
      </c>
      <c r="I429" t="n">
        <v>0</v>
      </c>
      <c r="J429" t="n">
        <v>0</v>
      </c>
      <c r="K429" t="n">
        <v>0</v>
      </c>
      <c r="L429" t="n">
        <v>0</v>
      </c>
      <c r="M429" t="n">
        <v>0</v>
      </c>
      <c r="N429" t="n">
        <v>0</v>
      </c>
      <c r="O429" t="n">
        <v>0</v>
      </c>
      <c r="P429" t="n">
        <v>0</v>
      </c>
      <c r="Q429" t="n">
        <v>0</v>
      </c>
      <c r="R429" s="2" t="inlineStr"/>
    </row>
    <row r="430" ht="15" customHeight="1">
      <c r="A430" t="inlineStr">
        <is>
          <t>A 41917-2024</t>
        </is>
      </c>
      <c r="B430" s="1" t="n">
        <v>45561.55268518518</v>
      </c>
      <c r="C430" s="1" t="n">
        <v>46033</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54622-2025</t>
        </is>
      </c>
      <c r="B431" s="1" t="n">
        <v>45966.34513888889</v>
      </c>
      <c r="C431" s="1" t="n">
        <v>46033</v>
      </c>
      <c r="D431" t="inlineStr">
        <is>
          <t>NORRBOTTENS LÄN</t>
        </is>
      </c>
      <c r="E431" t="inlineStr">
        <is>
          <t>GÄLLIVARE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33847-2023</t>
        </is>
      </c>
      <c r="B432" s="1" t="n">
        <v>45121</v>
      </c>
      <c r="C432" s="1" t="n">
        <v>46033</v>
      </c>
      <c r="D432" t="inlineStr">
        <is>
          <t>NORRBOTTENS LÄN</t>
        </is>
      </c>
      <c r="E432" t="inlineStr">
        <is>
          <t>GÄLLIVARE</t>
        </is>
      </c>
      <c r="F432" t="inlineStr">
        <is>
          <t>Övriga statliga verk och myndigheter</t>
        </is>
      </c>
      <c r="G432" t="n">
        <v>3</v>
      </c>
      <c r="H432" t="n">
        <v>0</v>
      </c>
      <c r="I432" t="n">
        <v>0</v>
      </c>
      <c r="J432" t="n">
        <v>0</v>
      </c>
      <c r="K432" t="n">
        <v>0</v>
      </c>
      <c r="L432" t="n">
        <v>0</v>
      </c>
      <c r="M432" t="n">
        <v>0</v>
      </c>
      <c r="N432" t="n">
        <v>0</v>
      </c>
      <c r="O432" t="n">
        <v>0</v>
      </c>
      <c r="P432" t="n">
        <v>0</v>
      </c>
      <c r="Q432" t="n">
        <v>0</v>
      </c>
      <c r="R432" s="2" t="inlineStr"/>
    </row>
    <row r="433" ht="15" customHeight="1">
      <c r="A433" t="inlineStr">
        <is>
          <t>A 54725-2023</t>
        </is>
      </c>
      <c r="B433" s="1" t="n">
        <v>45229</v>
      </c>
      <c r="C433" s="1" t="n">
        <v>46033</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61916-2025</t>
        </is>
      </c>
      <c r="B434" s="1" t="n">
        <v>46003</v>
      </c>
      <c r="C434" s="1" t="n">
        <v>46033</v>
      </c>
      <c r="D434" t="inlineStr">
        <is>
          <t>NORRBOTTENS LÄN</t>
        </is>
      </c>
      <c r="E434" t="inlineStr">
        <is>
          <t>GÄLLIVARE</t>
        </is>
      </c>
      <c r="G434" t="n">
        <v>91.90000000000001</v>
      </c>
      <c r="H434" t="n">
        <v>0</v>
      </c>
      <c r="I434" t="n">
        <v>0</v>
      </c>
      <c r="J434" t="n">
        <v>0</v>
      </c>
      <c r="K434" t="n">
        <v>0</v>
      </c>
      <c r="L434" t="n">
        <v>0</v>
      </c>
      <c r="M434" t="n">
        <v>0</v>
      </c>
      <c r="N434" t="n">
        <v>0</v>
      </c>
      <c r="O434" t="n">
        <v>0</v>
      </c>
      <c r="P434" t="n">
        <v>0</v>
      </c>
      <c r="Q434" t="n">
        <v>0</v>
      </c>
      <c r="R434" s="2" t="inlineStr"/>
    </row>
    <row r="435" ht="15" customHeight="1">
      <c r="A435" t="inlineStr">
        <is>
          <t>A 62923-2025</t>
        </is>
      </c>
      <c r="B435" s="1" t="n">
        <v>46008</v>
      </c>
      <c r="C435" s="1" t="n">
        <v>46033</v>
      </c>
      <c r="D435" t="inlineStr">
        <is>
          <t>NORRBOTTENS LÄN</t>
        </is>
      </c>
      <c r="E435" t="inlineStr">
        <is>
          <t>GÄLLIVARE</t>
        </is>
      </c>
      <c r="G435" t="n">
        <v>3.8</v>
      </c>
      <c r="H435" t="n">
        <v>0</v>
      </c>
      <c r="I435" t="n">
        <v>0</v>
      </c>
      <c r="J435" t="n">
        <v>0</v>
      </c>
      <c r="K435" t="n">
        <v>0</v>
      </c>
      <c r="L435" t="n">
        <v>0</v>
      </c>
      <c r="M435" t="n">
        <v>0</v>
      </c>
      <c r="N435" t="n">
        <v>0</v>
      </c>
      <c r="O435" t="n">
        <v>0</v>
      </c>
      <c r="P435" t="n">
        <v>0</v>
      </c>
      <c r="Q435" t="n">
        <v>0</v>
      </c>
      <c r="R435" s="2" t="inlineStr"/>
    </row>
    <row r="436" ht="15" customHeight="1">
      <c r="A436" t="inlineStr">
        <is>
          <t>A 62677-2025</t>
        </is>
      </c>
      <c r="B436" s="1" t="n">
        <v>46008.45121527778</v>
      </c>
      <c r="C436" s="1" t="n">
        <v>46033</v>
      </c>
      <c r="D436" t="inlineStr">
        <is>
          <t>NORRBOTTENS LÄN</t>
        </is>
      </c>
      <c r="E436" t="inlineStr">
        <is>
          <t>GÄLLIVARE</t>
        </is>
      </c>
      <c r="G436" t="n">
        <v>10.7</v>
      </c>
      <c r="H436" t="n">
        <v>0</v>
      </c>
      <c r="I436" t="n">
        <v>0</v>
      </c>
      <c r="J436" t="n">
        <v>0</v>
      </c>
      <c r="K436" t="n">
        <v>0</v>
      </c>
      <c r="L436" t="n">
        <v>0</v>
      </c>
      <c r="M436" t="n">
        <v>0</v>
      </c>
      <c r="N436" t="n">
        <v>0</v>
      </c>
      <c r="O436" t="n">
        <v>0</v>
      </c>
      <c r="P436" t="n">
        <v>0</v>
      </c>
      <c r="Q436" t="n">
        <v>0</v>
      </c>
      <c r="R436" s="2" t="inlineStr"/>
    </row>
    <row r="437" ht="15" customHeight="1">
      <c r="A437" t="inlineStr">
        <is>
          <t>A 49873-2023</t>
        </is>
      </c>
      <c r="B437" s="1" t="n">
        <v>45212</v>
      </c>
      <c r="C437" s="1" t="n">
        <v>46033</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36244-2023</t>
        </is>
      </c>
      <c r="B438" s="1" t="n">
        <v>45150</v>
      </c>
      <c r="C438" s="1" t="n">
        <v>46033</v>
      </c>
      <c r="D438" t="inlineStr">
        <is>
          <t>NORRBOTTENS LÄN</t>
        </is>
      </c>
      <c r="E438" t="inlineStr">
        <is>
          <t>GÄLLIVARE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36245-2023</t>
        </is>
      </c>
      <c r="B439" s="1" t="n">
        <v>45150</v>
      </c>
      <c r="C439" s="1" t="n">
        <v>46033</v>
      </c>
      <c r="D439" t="inlineStr">
        <is>
          <t>NORRBOTTENS LÄN</t>
        </is>
      </c>
      <c r="E439" t="inlineStr">
        <is>
          <t>GÄLLIVARE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21441-2021</t>
        </is>
      </c>
      <c r="B440" s="1" t="n">
        <v>44321</v>
      </c>
      <c r="C440" s="1" t="n">
        <v>46033</v>
      </c>
      <c r="D440" t="inlineStr">
        <is>
          <t>NORRBOTTENS LÄN</t>
        </is>
      </c>
      <c r="E440" t="inlineStr">
        <is>
          <t>GÄLLIVARE</t>
        </is>
      </c>
      <c r="G440" t="n">
        <v>1.9</v>
      </c>
      <c r="H440" t="n">
        <v>0</v>
      </c>
      <c r="I440" t="n">
        <v>0</v>
      </c>
      <c r="J440" t="n">
        <v>0</v>
      </c>
      <c r="K440" t="n">
        <v>0</v>
      </c>
      <c r="L440" t="n">
        <v>0</v>
      </c>
      <c r="M440" t="n">
        <v>0</v>
      </c>
      <c r="N440" t="n">
        <v>0</v>
      </c>
      <c r="O440" t="n">
        <v>0</v>
      </c>
      <c r="P440" t="n">
        <v>0</v>
      </c>
      <c r="Q440" t="n">
        <v>0</v>
      </c>
      <c r="R440" s="2" t="inlineStr"/>
    </row>
    <row r="441" ht="15" customHeight="1">
      <c r="A441" t="inlineStr">
        <is>
          <t>A 63551-2025</t>
        </is>
      </c>
      <c r="B441" s="1" t="n">
        <v>46013.60815972222</v>
      </c>
      <c r="C441" s="1" t="n">
        <v>46033</v>
      </c>
      <c r="D441" t="inlineStr">
        <is>
          <t>NORRBOTTENS LÄN</t>
        </is>
      </c>
      <c r="E441" t="inlineStr">
        <is>
          <t>GÄLLIVARE</t>
        </is>
      </c>
      <c r="G441" t="n">
        <v>1.9</v>
      </c>
      <c r="H441" t="n">
        <v>0</v>
      </c>
      <c r="I441" t="n">
        <v>0</v>
      </c>
      <c r="J441" t="n">
        <v>0</v>
      </c>
      <c r="K441" t="n">
        <v>0</v>
      </c>
      <c r="L441" t="n">
        <v>0</v>
      </c>
      <c r="M441" t="n">
        <v>0</v>
      </c>
      <c r="N441" t="n">
        <v>0</v>
      </c>
      <c r="O441" t="n">
        <v>0</v>
      </c>
      <c r="P441" t="n">
        <v>0</v>
      </c>
      <c r="Q441" t="n">
        <v>0</v>
      </c>
      <c r="R441" s="2" t="inlineStr"/>
    </row>
    <row r="442" ht="15" customHeight="1">
      <c r="A442" t="inlineStr">
        <is>
          <t>A 63155-2021</t>
        </is>
      </c>
      <c r="B442" s="1" t="n">
        <v>44505</v>
      </c>
      <c r="C442" s="1" t="n">
        <v>46033</v>
      </c>
      <c r="D442" t="inlineStr">
        <is>
          <t>NORRBOTTENS LÄN</t>
        </is>
      </c>
      <c r="E442" t="inlineStr">
        <is>
          <t>GÄLLIVARE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833-2025</t>
        </is>
      </c>
      <c r="B443" s="1" t="n">
        <v>45665</v>
      </c>
      <c r="C443" s="1" t="n">
        <v>46033</v>
      </c>
      <c r="D443" t="inlineStr">
        <is>
          <t>NORRBOTTENS LÄN</t>
        </is>
      </c>
      <c r="E443" t="inlineStr">
        <is>
          <t>GÄLLIVARE</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836-2025</t>
        </is>
      </c>
      <c r="B444" s="1" t="n">
        <v>45665</v>
      </c>
      <c r="C444" s="1" t="n">
        <v>46033</v>
      </c>
      <c r="D444" t="inlineStr">
        <is>
          <t>NORRBOTTENS LÄN</t>
        </is>
      </c>
      <c r="E444" t="inlineStr">
        <is>
          <t>GÄLLIVARE</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839-2025</t>
        </is>
      </c>
      <c r="B445" s="1" t="n">
        <v>45665</v>
      </c>
      <c r="C445" s="1" t="n">
        <v>46033</v>
      </c>
      <c r="D445" t="inlineStr">
        <is>
          <t>NORRBOTTENS LÄN</t>
        </is>
      </c>
      <c r="E445" t="inlineStr">
        <is>
          <t>GÄLLIVARE</t>
        </is>
      </c>
      <c r="F445" t="inlineStr">
        <is>
          <t>Sveaskog</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46033</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61476-2024</t>
        </is>
      </c>
      <c r="B447" s="1" t="n">
        <v>45646</v>
      </c>
      <c r="C447" s="1" t="n">
        <v>46033</v>
      </c>
      <c r="D447" t="inlineStr">
        <is>
          <t>NORRBOTTENS LÄN</t>
        </is>
      </c>
      <c r="E447" t="inlineStr">
        <is>
          <t>GÄLLIVARE</t>
        </is>
      </c>
      <c r="G447" t="n">
        <v>17</v>
      </c>
      <c r="H447" t="n">
        <v>0</v>
      </c>
      <c r="I447" t="n">
        <v>0</v>
      </c>
      <c r="J447" t="n">
        <v>0</v>
      </c>
      <c r="K447" t="n">
        <v>0</v>
      </c>
      <c r="L447" t="n">
        <v>0</v>
      </c>
      <c r="M447" t="n">
        <v>0</v>
      </c>
      <c r="N447" t="n">
        <v>0</v>
      </c>
      <c r="O447" t="n">
        <v>0</v>
      </c>
      <c r="P447" t="n">
        <v>0</v>
      </c>
      <c r="Q447" t="n">
        <v>0</v>
      </c>
      <c r="R447" s="2" t="inlineStr"/>
    </row>
    <row r="448" ht="15" customHeight="1">
      <c r="A448" t="inlineStr">
        <is>
          <t>A 55780-2025</t>
        </is>
      </c>
      <c r="B448" s="1" t="n">
        <v>45972.62940972222</v>
      </c>
      <c r="C448" s="1" t="n">
        <v>46033</v>
      </c>
      <c r="D448" t="inlineStr">
        <is>
          <t>NORRBOTTENS LÄN</t>
        </is>
      </c>
      <c r="E448" t="inlineStr">
        <is>
          <t>GÄLLIVARE</t>
        </is>
      </c>
      <c r="F448" t="inlineStr">
        <is>
          <t>Sveaskog</t>
        </is>
      </c>
      <c r="G448" t="n">
        <v>16.8</v>
      </c>
      <c r="H448" t="n">
        <v>0</v>
      </c>
      <c r="I448" t="n">
        <v>0</v>
      </c>
      <c r="J448" t="n">
        <v>0</v>
      </c>
      <c r="K448" t="n">
        <v>0</v>
      </c>
      <c r="L448" t="n">
        <v>0</v>
      </c>
      <c r="M448" t="n">
        <v>0</v>
      </c>
      <c r="N448" t="n">
        <v>0</v>
      </c>
      <c r="O448" t="n">
        <v>0</v>
      </c>
      <c r="P448" t="n">
        <v>0</v>
      </c>
      <c r="Q448" t="n">
        <v>0</v>
      </c>
      <c r="R448" s="2" t="inlineStr"/>
    </row>
    <row r="449" ht="15" customHeight="1">
      <c r="A449" t="inlineStr">
        <is>
          <t>A 56500-2025</t>
        </is>
      </c>
      <c r="B449" s="1" t="n">
        <v>45975.43429398148</v>
      </c>
      <c r="C449" s="1" t="n">
        <v>46033</v>
      </c>
      <c r="D449" t="inlineStr">
        <is>
          <t>NORRBOTTENS LÄN</t>
        </is>
      </c>
      <c r="E449" t="inlineStr">
        <is>
          <t>GÄLLIVARE</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56503-2025</t>
        </is>
      </c>
      <c r="B450" s="1" t="n">
        <v>45975.43760416667</v>
      </c>
      <c r="C450" s="1" t="n">
        <v>46033</v>
      </c>
      <c r="D450" t="inlineStr">
        <is>
          <t>NORRBOTTENS LÄN</t>
        </is>
      </c>
      <c r="E450" t="inlineStr">
        <is>
          <t>GÄLLIVARE</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56341-2025</t>
        </is>
      </c>
      <c r="B451" s="1" t="n">
        <v>45974.64761574074</v>
      </c>
      <c r="C451" s="1" t="n">
        <v>46033</v>
      </c>
      <c r="D451" t="inlineStr">
        <is>
          <t>NORRBOTTENS LÄN</t>
        </is>
      </c>
      <c r="E451" t="inlineStr">
        <is>
          <t>GÄLLIVARE</t>
        </is>
      </c>
      <c r="F451" t="inlineStr">
        <is>
          <t>Sveaskog</t>
        </is>
      </c>
      <c r="G451" t="n">
        <v>12.9</v>
      </c>
      <c r="H451" t="n">
        <v>0</v>
      </c>
      <c r="I451" t="n">
        <v>0</v>
      </c>
      <c r="J451" t="n">
        <v>0</v>
      </c>
      <c r="K451" t="n">
        <v>0</v>
      </c>
      <c r="L451" t="n">
        <v>0</v>
      </c>
      <c r="M451" t="n">
        <v>0</v>
      </c>
      <c r="N451" t="n">
        <v>0</v>
      </c>
      <c r="O451" t="n">
        <v>0</v>
      </c>
      <c r="P451" t="n">
        <v>0</v>
      </c>
      <c r="Q451" t="n">
        <v>0</v>
      </c>
      <c r="R451" s="2" t="inlineStr"/>
    </row>
    <row r="452" ht="15" customHeight="1">
      <c r="A452" t="inlineStr">
        <is>
          <t>A 44982-2023</t>
        </is>
      </c>
      <c r="B452" s="1" t="n">
        <v>45190.95821759259</v>
      </c>
      <c r="C452" s="1" t="n">
        <v>46033</v>
      </c>
      <c r="D452" t="inlineStr">
        <is>
          <t>NORRBOTTENS LÄN</t>
        </is>
      </c>
      <c r="E452" t="inlineStr">
        <is>
          <t>GÄLLIVARE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44985-2023</t>
        </is>
      </c>
      <c r="B453" s="1" t="n">
        <v>45190.95814814815</v>
      </c>
      <c r="C453" s="1" t="n">
        <v>46033</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9655-2024</t>
        </is>
      </c>
      <c r="B454" s="1" t="n">
        <v>45362</v>
      </c>
      <c r="C454" s="1" t="n">
        <v>46033</v>
      </c>
      <c r="D454" t="inlineStr">
        <is>
          <t>NORRBOTTENS LÄN</t>
        </is>
      </c>
      <c r="E454" t="inlineStr">
        <is>
          <t>GÄLLIVARE</t>
        </is>
      </c>
      <c r="F454" t="inlineStr">
        <is>
          <t>Sveaskog</t>
        </is>
      </c>
      <c r="G454" t="n">
        <v>9.1</v>
      </c>
      <c r="H454" t="n">
        <v>0</v>
      </c>
      <c r="I454" t="n">
        <v>0</v>
      </c>
      <c r="J454" t="n">
        <v>0</v>
      </c>
      <c r="K454" t="n">
        <v>0</v>
      </c>
      <c r="L454" t="n">
        <v>0</v>
      </c>
      <c r="M454" t="n">
        <v>0</v>
      </c>
      <c r="N454" t="n">
        <v>0</v>
      </c>
      <c r="O454" t="n">
        <v>0</v>
      </c>
      <c r="P454" t="n">
        <v>0</v>
      </c>
      <c r="Q454" t="n">
        <v>0</v>
      </c>
      <c r="R454" s="2" t="inlineStr"/>
    </row>
    <row r="455" ht="15" customHeight="1">
      <c r="A455" t="inlineStr">
        <is>
          <t>A 59695-2024</t>
        </is>
      </c>
      <c r="B455" s="1" t="n">
        <v>45639</v>
      </c>
      <c r="C455" s="1" t="n">
        <v>46033</v>
      </c>
      <c r="D455" t="inlineStr">
        <is>
          <t>NORRBOTTENS LÄN</t>
        </is>
      </c>
      <c r="E455" t="inlineStr">
        <is>
          <t>GÄLLIVARE</t>
        </is>
      </c>
      <c r="F455" t="inlineStr">
        <is>
          <t>Sveaskog</t>
        </is>
      </c>
      <c r="G455" t="n">
        <v>5.9</v>
      </c>
      <c r="H455" t="n">
        <v>0</v>
      </c>
      <c r="I455" t="n">
        <v>0</v>
      </c>
      <c r="J455" t="n">
        <v>0</v>
      </c>
      <c r="K455" t="n">
        <v>0</v>
      </c>
      <c r="L455" t="n">
        <v>0</v>
      </c>
      <c r="M455" t="n">
        <v>0</v>
      </c>
      <c r="N455" t="n">
        <v>0</v>
      </c>
      <c r="O455" t="n">
        <v>0</v>
      </c>
      <c r="P455" t="n">
        <v>0</v>
      </c>
      <c r="Q455" t="n">
        <v>0</v>
      </c>
      <c r="R455" s="2" t="inlineStr"/>
    </row>
    <row r="456" ht="15" customHeight="1">
      <c r="A456" t="inlineStr">
        <is>
          <t>A 46271-2023</t>
        </is>
      </c>
      <c r="B456" s="1" t="n">
        <v>45196</v>
      </c>
      <c r="C456" s="1" t="n">
        <v>46033</v>
      </c>
      <c r="D456" t="inlineStr">
        <is>
          <t>NORRBOTTENS LÄN</t>
        </is>
      </c>
      <c r="E456" t="inlineStr">
        <is>
          <t>GÄLLIVARE</t>
        </is>
      </c>
      <c r="F456" t="inlineStr">
        <is>
          <t>SCA</t>
        </is>
      </c>
      <c r="G456" t="n">
        <v>4.7</v>
      </c>
      <c r="H456" t="n">
        <v>0</v>
      </c>
      <c r="I456" t="n">
        <v>0</v>
      </c>
      <c r="J456" t="n">
        <v>0</v>
      </c>
      <c r="K456" t="n">
        <v>0</v>
      </c>
      <c r="L456" t="n">
        <v>0</v>
      </c>
      <c r="M456" t="n">
        <v>0</v>
      </c>
      <c r="N456" t="n">
        <v>0</v>
      </c>
      <c r="O456" t="n">
        <v>0</v>
      </c>
      <c r="P456" t="n">
        <v>0</v>
      </c>
      <c r="Q456" t="n">
        <v>0</v>
      </c>
      <c r="R456" s="2" t="inlineStr"/>
    </row>
    <row r="457" ht="15" customHeight="1">
      <c r="A457" t="inlineStr">
        <is>
          <t>A 14604-2025</t>
        </is>
      </c>
      <c r="B457" s="1" t="n">
        <v>45742</v>
      </c>
      <c r="C457" s="1" t="n">
        <v>46033</v>
      </c>
      <c r="D457" t="inlineStr">
        <is>
          <t>NORRBOTTENS LÄN</t>
        </is>
      </c>
      <c r="E457" t="inlineStr">
        <is>
          <t>GÄLLIVARE</t>
        </is>
      </c>
      <c r="G457" t="n">
        <v>8.1</v>
      </c>
      <c r="H457" t="n">
        <v>0</v>
      </c>
      <c r="I457" t="n">
        <v>0</v>
      </c>
      <c r="J457" t="n">
        <v>0</v>
      </c>
      <c r="K457" t="n">
        <v>0</v>
      </c>
      <c r="L457" t="n">
        <v>0</v>
      </c>
      <c r="M457" t="n">
        <v>0</v>
      </c>
      <c r="N457" t="n">
        <v>0</v>
      </c>
      <c r="O457" t="n">
        <v>0</v>
      </c>
      <c r="P457" t="n">
        <v>0</v>
      </c>
      <c r="Q457" t="n">
        <v>0</v>
      </c>
      <c r="R457" s="2" t="inlineStr"/>
    </row>
    <row r="458" ht="15" customHeight="1">
      <c r="A458" t="inlineStr">
        <is>
          <t>A 63523-2025</t>
        </is>
      </c>
      <c r="B458" s="1" t="n">
        <v>46013.53849537037</v>
      </c>
      <c r="C458" s="1" t="n">
        <v>46033</v>
      </c>
      <c r="D458" t="inlineStr">
        <is>
          <t>NORRBOTTENS LÄN</t>
        </is>
      </c>
      <c r="E458" t="inlineStr">
        <is>
          <t>GÄLLIVARE</t>
        </is>
      </c>
      <c r="G458" t="n">
        <v>13.7</v>
      </c>
      <c r="H458" t="n">
        <v>0</v>
      </c>
      <c r="I458" t="n">
        <v>0</v>
      </c>
      <c r="J458" t="n">
        <v>0</v>
      </c>
      <c r="K458" t="n">
        <v>0</v>
      </c>
      <c r="L458" t="n">
        <v>0</v>
      </c>
      <c r="M458" t="n">
        <v>0</v>
      </c>
      <c r="N458" t="n">
        <v>0</v>
      </c>
      <c r="O458" t="n">
        <v>0</v>
      </c>
      <c r="P458" t="n">
        <v>0</v>
      </c>
      <c r="Q458" t="n">
        <v>0</v>
      </c>
      <c r="R458" s="2" t="inlineStr"/>
    </row>
    <row r="459" ht="15" customHeight="1">
      <c r="A459" t="inlineStr">
        <is>
          <t>A 11782-2025</t>
        </is>
      </c>
      <c r="B459" s="1" t="n">
        <v>45727</v>
      </c>
      <c r="C459" s="1" t="n">
        <v>46033</v>
      </c>
      <c r="D459" t="inlineStr">
        <is>
          <t>NORRBOTTENS LÄN</t>
        </is>
      </c>
      <c r="E459" t="inlineStr">
        <is>
          <t>GÄLLIVARE</t>
        </is>
      </c>
      <c r="F459" t="inlineStr">
        <is>
          <t>SCA</t>
        </is>
      </c>
      <c r="G459" t="n">
        <v>6.8</v>
      </c>
      <c r="H459" t="n">
        <v>0</v>
      </c>
      <c r="I459" t="n">
        <v>0</v>
      </c>
      <c r="J459" t="n">
        <v>0</v>
      </c>
      <c r="K459" t="n">
        <v>0</v>
      </c>
      <c r="L459" t="n">
        <v>0</v>
      </c>
      <c r="M459" t="n">
        <v>0</v>
      </c>
      <c r="N459" t="n">
        <v>0</v>
      </c>
      <c r="O459" t="n">
        <v>0</v>
      </c>
      <c r="P459" t="n">
        <v>0</v>
      </c>
      <c r="Q459" t="n">
        <v>0</v>
      </c>
      <c r="R459" s="2" t="inlineStr"/>
    </row>
    <row r="460" ht="15" customHeight="1">
      <c r="A460" t="inlineStr">
        <is>
          <t>A 49875-2023</t>
        </is>
      </c>
      <c r="B460" s="1" t="n">
        <v>45212</v>
      </c>
      <c r="C460" s="1" t="n">
        <v>46033</v>
      </c>
      <c r="D460" t="inlineStr">
        <is>
          <t>NORRBOTTENS LÄN</t>
        </is>
      </c>
      <c r="E460" t="inlineStr">
        <is>
          <t>GÄLLIVARE</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60845-2025</t>
        </is>
      </c>
      <c r="B461" s="1" t="n">
        <v>45999.48986111111</v>
      </c>
      <c r="C461" s="1" t="n">
        <v>46033</v>
      </c>
      <c r="D461" t="inlineStr">
        <is>
          <t>NORRBOTTENS LÄN</t>
        </is>
      </c>
      <c r="E461" t="inlineStr">
        <is>
          <t>GÄLLIVARE</t>
        </is>
      </c>
      <c r="G461" t="n">
        <v>41.3</v>
      </c>
      <c r="H461" t="n">
        <v>0</v>
      </c>
      <c r="I461" t="n">
        <v>0</v>
      </c>
      <c r="J461" t="n">
        <v>0</v>
      </c>
      <c r="K461" t="n">
        <v>0</v>
      </c>
      <c r="L461" t="n">
        <v>0</v>
      </c>
      <c r="M461" t="n">
        <v>0</v>
      </c>
      <c r="N461" t="n">
        <v>0</v>
      </c>
      <c r="O461" t="n">
        <v>0</v>
      </c>
      <c r="P461" t="n">
        <v>0</v>
      </c>
      <c r="Q461" t="n">
        <v>0</v>
      </c>
      <c r="R461" s="2" t="inlineStr"/>
    </row>
    <row r="462" ht="15" customHeight="1">
      <c r="A462" t="inlineStr">
        <is>
          <t>A 14660-2025</t>
        </is>
      </c>
      <c r="B462" s="1" t="n">
        <v>45742</v>
      </c>
      <c r="C462" s="1" t="n">
        <v>46033</v>
      </c>
      <c r="D462" t="inlineStr">
        <is>
          <t>NORRBOTTENS LÄN</t>
        </is>
      </c>
      <c r="E462" t="inlineStr">
        <is>
          <t>GÄLLIVARE</t>
        </is>
      </c>
      <c r="G462" t="n">
        <v>10.3</v>
      </c>
      <c r="H462" t="n">
        <v>0</v>
      </c>
      <c r="I462" t="n">
        <v>0</v>
      </c>
      <c r="J462" t="n">
        <v>0</v>
      </c>
      <c r="K462" t="n">
        <v>0</v>
      </c>
      <c r="L462" t="n">
        <v>0</v>
      </c>
      <c r="M462" t="n">
        <v>0</v>
      </c>
      <c r="N462" t="n">
        <v>0</v>
      </c>
      <c r="O462" t="n">
        <v>0</v>
      </c>
      <c r="P462" t="n">
        <v>0</v>
      </c>
      <c r="Q462" t="n">
        <v>0</v>
      </c>
      <c r="R462" s="2" t="inlineStr"/>
    </row>
    <row r="463" ht="15" customHeight="1">
      <c r="A463" t="inlineStr">
        <is>
          <t>A 14664-2025</t>
        </is>
      </c>
      <c r="B463" s="1" t="n">
        <v>45742</v>
      </c>
      <c r="C463" s="1" t="n">
        <v>46033</v>
      </c>
      <c r="D463" t="inlineStr">
        <is>
          <t>NORRBOTTENS LÄN</t>
        </is>
      </c>
      <c r="E463" t="inlineStr">
        <is>
          <t>GÄLLIVARE</t>
        </is>
      </c>
      <c r="G463" t="n">
        <v>20.8</v>
      </c>
      <c r="H463" t="n">
        <v>0</v>
      </c>
      <c r="I463" t="n">
        <v>0</v>
      </c>
      <c r="J463" t="n">
        <v>0</v>
      </c>
      <c r="K463" t="n">
        <v>0</v>
      </c>
      <c r="L463" t="n">
        <v>0</v>
      </c>
      <c r="M463" t="n">
        <v>0</v>
      </c>
      <c r="N463" t="n">
        <v>0</v>
      </c>
      <c r="O463" t="n">
        <v>0</v>
      </c>
      <c r="P463" t="n">
        <v>0</v>
      </c>
      <c r="Q463" t="n">
        <v>0</v>
      </c>
      <c r="R463" s="2" t="inlineStr"/>
    </row>
    <row r="464" ht="15" customHeight="1">
      <c r="A464" t="inlineStr">
        <is>
          <t>A 11008-2025</t>
        </is>
      </c>
      <c r="B464" s="1" t="n">
        <v>45723</v>
      </c>
      <c r="C464" s="1" t="n">
        <v>46033</v>
      </c>
      <c r="D464" t="inlineStr">
        <is>
          <t>NORRBOTTENS LÄN</t>
        </is>
      </c>
      <c r="E464" t="inlineStr">
        <is>
          <t>GÄLLIVARE</t>
        </is>
      </c>
      <c r="G464" t="n">
        <v>20.6</v>
      </c>
      <c r="H464" t="n">
        <v>0</v>
      </c>
      <c r="I464" t="n">
        <v>0</v>
      </c>
      <c r="J464" t="n">
        <v>0</v>
      </c>
      <c r="K464" t="n">
        <v>0</v>
      </c>
      <c r="L464" t="n">
        <v>0</v>
      </c>
      <c r="M464" t="n">
        <v>0</v>
      </c>
      <c r="N464" t="n">
        <v>0</v>
      </c>
      <c r="O464" t="n">
        <v>0</v>
      </c>
      <c r="P464" t="n">
        <v>0</v>
      </c>
      <c r="Q464" t="n">
        <v>0</v>
      </c>
      <c r="R464" s="2" t="inlineStr"/>
    </row>
    <row r="465" ht="15" customHeight="1">
      <c r="A465" t="inlineStr">
        <is>
          <t>A 57367-2025</t>
        </is>
      </c>
      <c r="B465" s="1" t="n">
        <v>45980.3780787037</v>
      </c>
      <c r="C465" s="1" t="n">
        <v>46033</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57349-2025</t>
        </is>
      </c>
      <c r="B466" s="1" t="n">
        <v>45980.35990740741</v>
      </c>
      <c r="C466" s="1" t="n">
        <v>46033</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57353-2025</t>
        </is>
      </c>
      <c r="B467" s="1" t="n">
        <v>45980.36521990741</v>
      </c>
      <c r="C467" s="1" t="n">
        <v>46033</v>
      </c>
      <c r="D467" t="inlineStr">
        <is>
          <t>NORRBOTTENS LÄN</t>
        </is>
      </c>
      <c r="E467" t="inlineStr">
        <is>
          <t>GÄLLIVARE</t>
        </is>
      </c>
      <c r="G467" t="n">
        <v>1.8</v>
      </c>
      <c r="H467" t="n">
        <v>0</v>
      </c>
      <c r="I467" t="n">
        <v>0</v>
      </c>
      <c r="J467" t="n">
        <v>0</v>
      </c>
      <c r="K467" t="n">
        <v>0</v>
      </c>
      <c r="L467" t="n">
        <v>0</v>
      </c>
      <c r="M467" t="n">
        <v>0</v>
      </c>
      <c r="N467" t="n">
        <v>0</v>
      </c>
      <c r="O467" t="n">
        <v>0</v>
      </c>
      <c r="P467" t="n">
        <v>0</v>
      </c>
      <c r="Q467" t="n">
        <v>0</v>
      </c>
      <c r="R467" s="2" t="inlineStr"/>
    </row>
    <row r="468" ht="15" customHeight="1">
      <c r="A468" t="inlineStr">
        <is>
          <t>A 57369-2025</t>
        </is>
      </c>
      <c r="B468" s="1" t="n">
        <v>45980</v>
      </c>
      <c r="C468" s="1" t="n">
        <v>46033</v>
      </c>
      <c r="D468" t="inlineStr">
        <is>
          <t>NORRBOTTENS LÄN</t>
        </is>
      </c>
      <c r="E468" t="inlineStr">
        <is>
          <t>GÄLLIVARE</t>
        </is>
      </c>
      <c r="G468" t="n">
        <v>2.7</v>
      </c>
      <c r="H468" t="n">
        <v>0</v>
      </c>
      <c r="I468" t="n">
        <v>0</v>
      </c>
      <c r="J468" t="n">
        <v>0</v>
      </c>
      <c r="K468" t="n">
        <v>0</v>
      </c>
      <c r="L468" t="n">
        <v>0</v>
      </c>
      <c r="M468" t="n">
        <v>0</v>
      </c>
      <c r="N468" t="n">
        <v>0</v>
      </c>
      <c r="O468" t="n">
        <v>0</v>
      </c>
      <c r="P468" t="n">
        <v>0</v>
      </c>
      <c r="Q468" t="n">
        <v>0</v>
      </c>
      <c r="R468" s="2" t="inlineStr"/>
    </row>
    <row r="469" ht="15" customHeight="1">
      <c r="A469" t="inlineStr">
        <is>
          <t>A 57703-2025</t>
        </is>
      </c>
      <c r="B469" s="1" t="n">
        <v>45981</v>
      </c>
      <c r="C469" s="1" t="n">
        <v>46033</v>
      </c>
      <c r="D469" t="inlineStr">
        <is>
          <t>NORRBOTTENS LÄN</t>
        </is>
      </c>
      <c r="E469" t="inlineStr">
        <is>
          <t>GÄLLIVARE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7651-2025</t>
        </is>
      </c>
      <c r="B470" s="1" t="n">
        <v>45705</v>
      </c>
      <c r="C470" s="1" t="n">
        <v>46033</v>
      </c>
      <c r="D470" t="inlineStr">
        <is>
          <t>NORRBOTTENS LÄN</t>
        </is>
      </c>
      <c r="E470" t="inlineStr">
        <is>
          <t>GÄLLIVARE</t>
        </is>
      </c>
      <c r="G470" t="n">
        <v>3.2</v>
      </c>
      <c r="H470" t="n">
        <v>0</v>
      </c>
      <c r="I470" t="n">
        <v>0</v>
      </c>
      <c r="J470" t="n">
        <v>0</v>
      </c>
      <c r="K470" t="n">
        <v>0</v>
      </c>
      <c r="L470" t="n">
        <v>0</v>
      </c>
      <c r="M470" t="n">
        <v>0</v>
      </c>
      <c r="N470" t="n">
        <v>0</v>
      </c>
      <c r="O470" t="n">
        <v>0</v>
      </c>
      <c r="P470" t="n">
        <v>0</v>
      </c>
      <c r="Q470" t="n">
        <v>0</v>
      </c>
      <c r="R470" s="2" t="inlineStr"/>
    </row>
    <row r="471" ht="15" customHeight="1">
      <c r="A471" t="inlineStr">
        <is>
          <t>A 58229-2025</t>
        </is>
      </c>
      <c r="B471" s="1" t="n">
        <v>45985.37741898148</v>
      </c>
      <c r="C471" s="1" t="n">
        <v>46033</v>
      </c>
      <c r="D471" t="inlineStr">
        <is>
          <t>NORRBOTTENS LÄN</t>
        </is>
      </c>
      <c r="E471" t="inlineStr">
        <is>
          <t>GÄLLIVARE</t>
        </is>
      </c>
      <c r="F471" t="inlineStr">
        <is>
          <t>Sveaskog</t>
        </is>
      </c>
      <c r="G471" t="n">
        <v>2.4</v>
      </c>
      <c r="H471" t="n">
        <v>0</v>
      </c>
      <c r="I471" t="n">
        <v>0</v>
      </c>
      <c r="J471" t="n">
        <v>0</v>
      </c>
      <c r="K471" t="n">
        <v>0</v>
      </c>
      <c r="L471" t="n">
        <v>0</v>
      </c>
      <c r="M471" t="n">
        <v>0</v>
      </c>
      <c r="N471" t="n">
        <v>0</v>
      </c>
      <c r="O471" t="n">
        <v>0</v>
      </c>
      <c r="P471" t="n">
        <v>0</v>
      </c>
      <c r="Q471" t="n">
        <v>0</v>
      </c>
      <c r="R471" s="2" t="inlineStr"/>
    </row>
    <row r="472" ht="15" customHeight="1">
      <c r="A472" t="inlineStr">
        <is>
          <t>A 36251-2023</t>
        </is>
      </c>
      <c r="B472" s="1" t="n">
        <v>45150.94185185185</v>
      </c>
      <c r="C472" s="1" t="n">
        <v>46033</v>
      </c>
      <c r="D472" t="inlineStr">
        <is>
          <t>NORRBOTTENS LÄN</t>
        </is>
      </c>
      <c r="E472" t="inlineStr">
        <is>
          <t>GÄLLIVARE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64052-2025</t>
        </is>
      </c>
      <c r="B473" s="1" t="n">
        <v>46021.59439814815</v>
      </c>
      <c r="C473" s="1" t="n">
        <v>46033</v>
      </c>
      <c r="D473" t="inlineStr">
        <is>
          <t>NORRBOTTENS LÄN</t>
        </is>
      </c>
      <c r="E473" t="inlineStr">
        <is>
          <t>GÄLLIVARE</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58255-2025</t>
        </is>
      </c>
      <c r="B474" s="1" t="n">
        <v>45985.40084490741</v>
      </c>
      <c r="C474" s="1" t="n">
        <v>46033</v>
      </c>
      <c r="D474" t="inlineStr">
        <is>
          <t>NORRBOTTENS LÄN</t>
        </is>
      </c>
      <c r="E474" t="inlineStr">
        <is>
          <t>GÄLLIVARE</t>
        </is>
      </c>
      <c r="F474" t="inlineStr">
        <is>
          <t>Sveaskog</t>
        </is>
      </c>
      <c r="G474" t="n">
        <v>28.9</v>
      </c>
      <c r="H474" t="n">
        <v>0</v>
      </c>
      <c r="I474" t="n">
        <v>0</v>
      </c>
      <c r="J474" t="n">
        <v>0</v>
      </c>
      <c r="K474" t="n">
        <v>0</v>
      </c>
      <c r="L474" t="n">
        <v>0</v>
      </c>
      <c r="M474" t="n">
        <v>0</v>
      </c>
      <c r="N474" t="n">
        <v>0</v>
      </c>
      <c r="O474" t="n">
        <v>0</v>
      </c>
      <c r="P474" t="n">
        <v>0</v>
      </c>
      <c r="Q474" t="n">
        <v>0</v>
      </c>
      <c r="R474" s="2" t="inlineStr"/>
    </row>
    <row r="475" ht="15" customHeight="1">
      <c r="A475" t="inlineStr">
        <is>
          <t>A 1609-2023</t>
        </is>
      </c>
      <c r="B475" s="1" t="n">
        <v>44937</v>
      </c>
      <c r="C475" s="1" t="n">
        <v>46033</v>
      </c>
      <c r="D475" t="inlineStr">
        <is>
          <t>NORRBOTTENS LÄN</t>
        </is>
      </c>
      <c r="E475" t="inlineStr">
        <is>
          <t>GÄLLIVARE</t>
        </is>
      </c>
      <c r="G475" t="n">
        <v>0.7</v>
      </c>
      <c r="H475" t="n">
        <v>0</v>
      </c>
      <c r="I475" t="n">
        <v>0</v>
      </c>
      <c r="J475" t="n">
        <v>0</v>
      </c>
      <c r="K475" t="n">
        <v>0</v>
      </c>
      <c r="L475" t="n">
        <v>0</v>
      </c>
      <c r="M475" t="n">
        <v>0</v>
      </c>
      <c r="N475" t="n">
        <v>0</v>
      </c>
      <c r="O475" t="n">
        <v>0</v>
      </c>
      <c r="P475" t="n">
        <v>0</v>
      </c>
      <c r="Q475" t="n">
        <v>0</v>
      </c>
      <c r="R475" s="2" t="inlineStr"/>
    </row>
    <row r="476" ht="15" customHeight="1">
      <c r="A476" t="inlineStr">
        <is>
          <t>A 58466-2025</t>
        </is>
      </c>
      <c r="B476" s="1" t="n">
        <v>45985</v>
      </c>
      <c r="C476" s="1" t="n">
        <v>46033</v>
      </c>
      <c r="D476" t="inlineStr">
        <is>
          <t>NORRBOTTENS LÄN</t>
        </is>
      </c>
      <c r="E476" t="inlineStr">
        <is>
          <t>GÄLLIVARE</t>
        </is>
      </c>
      <c r="F476" t="inlineStr">
        <is>
          <t>SCA</t>
        </is>
      </c>
      <c r="G476" t="n">
        <v>10.7</v>
      </c>
      <c r="H476" t="n">
        <v>0</v>
      </c>
      <c r="I476" t="n">
        <v>0</v>
      </c>
      <c r="J476" t="n">
        <v>0</v>
      </c>
      <c r="K476" t="n">
        <v>0</v>
      </c>
      <c r="L476" t="n">
        <v>0</v>
      </c>
      <c r="M476" t="n">
        <v>0</v>
      </c>
      <c r="N476" t="n">
        <v>0</v>
      </c>
      <c r="O476" t="n">
        <v>0</v>
      </c>
      <c r="P476" t="n">
        <v>0</v>
      </c>
      <c r="Q476" t="n">
        <v>0</v>
      </c>
      <c r="R476" s="2" t="inlineStr"/>
    </row>
    <row r="477" ht="15" customHeight="1">
      <c r="A477" t="inlineStr">
        <is>
          <t>A 58231-2025</t>
        </is>
      </c>
      <c r="B477" s="1" t="n">
        <v>45985.38216435185</v>
      </c>
      <c r="C477" s="1" t="n">
        <v>46033</v>
      </c>
      <c r="D477" t="inlineStr">
        <is>
          <t>NORRBOTTENS LÄN</t>
        </is>
      </c>
      <c r="E477" t="inlineStr">
        <is>
          <t>GÄLLIVARE</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47805-2022</t>
        </is>
      </c>
      <c r="B478" s="1" t="n">
        <v>44854</v>
      </c>
      <c r="C478" s="1" t="n">
        <v>46033</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58991-2025</t>
        </is>
      </c>
      <c r="B479" s="1" t="n">
        <v>45987</v>
      </c>
      <c r="C479" s="1" t="n">
        <v>46033</v>
      </c>
      <c r="D479" t="inlineStr">
        <is>
          <t>NORRBOTTENS LÄN</t>
        </is>
      </c>
      <c r="E479" t="inlineStr">
        <is>
          <t>GÄLLIVARE</t>
        </is>
      </c>
      <c r="F479" t="inlineStr">
        <is>
          <t>Allmännings- och besparingsskogar</t>
        </is>
      </c>
      <c r="G479" t="n">
        <v>5</v>
      </c>
      <c r="H479" t="n">
        <v>0</v>
      </c>
      <c r="I479" t="n">
        <v>0</v>
      </c>
      <c r="J479" t="n">
        <v>0</v>
      </c>
      <c r="K479" t="n">
        <v>0</v>
      </c>
      <c r="L479" t="n">
        <v>0</v>
      </c>
      <c r="M479" t="n">
        <v>0</v>
      </c>
      <c r="N479" t="n">
        <v>0</v>
      </c>
      <c r="O479" t="n">
        <v>0</v>
      </c>
      <c r="P479" t="n">
        <v>0</v>
      </c>
      <c r="Q479" t="n">
        <v>0</v>
      </c>
      <c r="R479" s="2" t="inlineStr"/>
    </row>
    <row r="480" ht="15" customHeight="1">
      <c r="A480" t="inlineStr">
        <is>
          <t>A 47613-2023</t>
        </is>
      </c>
      <c r="B480" s="1" t="n">
        <v>45198</v>
      </c>
      <c r="C480" s="1" t="n">
        <v>46033</v>
      </c>
      <c r="D480" t="inlineStr">
        <is>
          <t>NORRBOTTENS LÄN</t>
        </is>
      </c>
      <c r="E480" t="inlineStr">
        <is>
          <t>GÄLLIVARE</t>
        </is>
      </c>
      <c r="G480" t="n">
        <v>1.9</v>
      </c>
      <c r="H480" t="n">
        <v>0</v>
      </c>
      <c r="I480" t="n">
        <v>0</v>
      </c>
      <c r="J480" t="n">
        <v>0</v>
      </c>
      <c r="K480" t="n">
        <v>0</v>
      </c>
      <c r="L480" t="n">
        <v>0</v>
      </c>
      <c r="M480" t="n">
        <v>0</v>
      </c>
      <c r="N480" t="n">
        <v>0</v>
      </c>
      <c r="O480" t="n">
        <v>0</v>
      </c>
      <c r="P480" t="n">
        <v>0</v>
      </c>
      <c r="Q480" t="n">
        <v>0</v>
      </c>
      <c r="R480" s="2" t="inlineStr"/>
    </row>
    <row r="481" ht="15" customHeight="1">
      <c r="A481" t="inlineStr">
        <is>
          <t>A 58688-2025</t>
        </is>
      </c>
      <c r="B481" s="1" t="n">
        <v>45986.57354166666</v>
      </c>
      <c r="C481" s="1" t="n">
        <v>46033</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1086-2026</t>
        </is>
      </c>
      <c r="B482" s="1" t="n">
        <v>46030.65734953704</v>
      </c>
      <c r="C482" s="1" t="n">
        <v>46033</v>
      </c>
      <c r="D482" t="inlineStr">
        <is>
          <t>NORRBOTTENS LÄN</t>
        </is>
      </c>
      <c r="E482" t="inlineStr">
        <is>
          <t>GÄLLIVARE</t>
        </is>
      </c>
      <c r="G482" t="n">
        <v>4.9</v>
      </c>
      <c r="H482" t="n">
        <v>0</v>
      </c>
      <c r="I482" t="n">
        <v>0</v>
      </c>
      <c r="J482" t="n">
        <v>0</v>
      </c>
      <c r="K482" t="n">
        <v>0</v>
      </c>
      <c r="L482" t="n">
        <v>0</v>
      </c>
      <c r="M482" t="n">
        <v>0</v>
      </c>
      <c r="N482" t="n">
        <v>0</v>
      </c>
      <c r="O482" t="n">
        <v>0</v>
      </c>
      <c r="P482" t="n">
        <v>0</v>
      </c>
      <c r="Q482" t="n">
        <v>0</v>
      </c>
      <c r="R482" s="2" t="inlineStr"/>
    </row>
    <row r="483" ht="15" customHeight="1">
      <c r="A483" t="inlineStr">
        <is>
          <t>A 1087-2026</t>
        </is>
      </c>
      <c r="B483" s="1" t="n">
        <v>46030.65747685185</v>
      </c>
      <c r="C483" s="1" t="n">
        <v>46033</v>
      </c>
      <c r="D483" t="inlineStr">
        <is>
          <t>NORRBOTTENS LÄN</t>
        </is>
      </c>
      <c r="E483" t="inlineStr">
        <is>
          <t>GÄLLIVARE</t>
        </is>
      </c>
      <c r="G483" t="n">
        <v>1.5</v>
      </c>
      <c r="H483" t="n">
        <v>0</v>
      </c>
      <c r="I483" t="n">
        <v>0</v>
      </c>
      <c r="J483" t="n">
        <v>0</v>
      </c>
      <c r="K483" t="n">
        <v>0</v>
      </c>
      <c r="L483" t="n">
        <v>0</v>
      </c>
      <c r="M483" t="n">
        <v>0</v>
      </c>
      <c r="N483" t="n">
        <v>0</v>
      </c>
      <c r="O483" t="n">
        <v>0</v>
      </c>
      <c r="P483" t="n">
        <v>0</v>
      </c>
      <c r="Q483" t="n">
        <v>0</v>
      </c>
      <c r="R483" s="2" t="inlineStr"/>
    </row>
    <row r="484" ht="15" customHeight="1">
      <c r="A484" t="inlineStr">
        <is>
          <t>A 53909-2024</t>
        </is>
      </c>
      <c r="B484" s="1" t="n">
        <v>45615.7202662037</v>
      </c>
      <c r="C484" s="1" t="n">
        <v>46033</v>
      </c>
      <c r="D484" t="inlineStr">
        <is>
          <t>NORRBOTTENS LÄN</t>
        </is>
      </c>
      <c r="E484" t="inlineStr">
        <is>
          <t>GÄLLIVARE</t>
        </is>
      </c>
      <c r="G484" t="n">
        <v>3.8</v>
      </c>
      <c r="H484" t="n">
        <v>0</v>
      </c>
      <c r="I484" t="n">
        <v>0</v>
      </c>
      <c r="J484" t="n">
        <v>0</v>
      </c>
      <c r="K484" t="n">
        <v>0</v>
      </c>
      <c r="L484" t="n">
        <v>0</v>
      </c>
      <c r="M484" t="n">
        <v>0</v>
      </c>
      <c r="N484" t="n">
        <v>0</v>
      </c>
      <c r="O484" t="n">
        <v>0</v>
      </c>
      <c r="P484" t="n">
        <v>0</v>
      </c>
      <c r="Q484" t="n">
        <v>0</v>
      </c>
      <c r="R484" s="2" t="inlineStr"/>
    </row>
    <row r="485" ht="15" customHeight="1">
      <c r="A485" t="inlineStr">
        <is>
          <t>A 53622-2025</t>
        </is>
      </c>
      <c r="B485" s="1" t="n">
        <v>45960</v>
      </c>
      <c r="C485" s="1" t="n">
        <v>46033</v>
      </c>
      <c r="D485" t="inlineStr">
        <is>
          <t>NORRBOTTENS LÄN</t>
        </is>
      </c>
      <c r="E485" t="inlineStr">
        <is>
          <t>GÄLLIVARE</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53634-2025</t>
        </is>
      </c>
      <c r="B486" s="1" t="n">
        <v>45960</v>
      </c>
      <c r="C486" s="1" t="n">
        <v>46033</v>
      </c>
      <c r="D486" t="inlineStr">
        <is>
          <t>NORRBOTTENS LÄN</t>
        </is>
      </c>
      <c r="E486" t="inlineStr">
        <is>
          <t>GÄLLIVARE</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14975-2025</t>
        </is>
      </c>
      <c r="B487" s="1" t="n">
        <v>45743</v>
      </c>
      <c r="C487" s="1" t="n">
        <v>46033</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8190-2025</t>
        </is>
      </c>
      <c r="B488" s="1" t="n">
        <v>45708.40659722222</v>
      </c>
      <c r="C488" s="1" t="n">
        <v>46033</v>
      </c>
      <c r="D488" t="inlineStr">
        <is>
          <t>NORRBOTTENS LÄN</t>
        </is>
      </c>
      <c r="E488" t="inlineStr">
        <is>
          <t>GÄLLIVARE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46033</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53635-2025</t>
        </is>
      </c>
      <c r="B490" s="1" t="n">
        <v>45960</v>
      </c>
      <c r="C490" s="1" t="n">
        <v>46033</v>
      </c>
      <c r="D490" t="inlineStr">
        <is>
          <t>NORRBOTTENS LÄN</t>
        </is>
      </c>
      <c r="E490" t="inlineStr">
        <is>
          <t>GÄLLIVARE</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53636-2025</t>
        </is>
      </c>
      <c r="B491" s="1" t="n">
        <v>45960</v>
      </c>
      <c r="C491" s="1" t="n">
        <v>46033</v>
      </c>
      <c r="D491" t="inlineStr">
        <is>
          <t>NORRBOTTENS LÄN</t>
        </is>
      </c>
      <c r="E491" t="inlineStr">
        <is>
          <t>GÄLLIVARE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53626-2025</t>
        </is>
      </c>
      <c r="B492" s="1" t="n">
        <v>45960</v>
      </c>
      <c r="C492" s="1" t="n">
        <v>46033</v>
      </c>
      <c r="D492" t="inlineStr">
        <is>
          <t>NORRBOTTENS LÄN</t>
        </is>
      </c>
      <c r="E492" t="inlineStr">
        <is>
          <t>GÄLLIVARE</t>
        </is>
      </c>
      <c r="F492" t="inlineStr">
        <is>
          <t>Sveaskog</t>
        </is>
      </c>
      <c r="G492" t="n">
        <v>2.7</v>
      </c>
      <c r="H492" t="n">
        <v>0</v>
      </c>
      <c r="I492" t="n">
        <v>0</v>
      </c>
      <c r="J492" t="n">
        <v>0</v>
      </c>
      <c r="K492" t="n">
        <v>0</v>
      </c>
      <c r="L492" t="n">
        <v>0</v>
      </c>
      <c r="M492" t="n">
        <v>0</v>
      </c>
      <c r="N492" t="n">
        <v>0</v>
      </c>
      <c r="O492" t="n">
        <v>0</v>
      </c>
      <c r="P492" t="n">
        <v>0</v>
      </c>
      <c r="Q492" t="n">
        <v>0</v>
      </c>
      <c r="R492" s="2" t="inlineStr"/>
    </row>
    <row r="493" ht="15" customHeight="1">
      <c r="A493" t="inlineStr">
        <is>
          <t>A 53637-2025</t>
        </is>
      </c>
      <c r="B493" s="1" t="n">
        <v>45960</v>
      </c>
      <c r="C493" s="1" t="n">
        <v>46033</v>
      </c>
      <c r="D493" t="inlineStr">
        <is>
          <t>NORRBOTTENS LÄN</t>
        </is>
      </c>
      <c r="E493" t="inlineStr">
        <is>
          <t>GÄLLIVARE</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48007-2024</t>
        </is>
      </c>
      <c r="B494" s="1" t="n">
        <v>45589</v>
      </c>
      <c r="C494" s="1" t="n">
        <v>46033</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1304-2026</t>
        </is>
      </c>
      <c r="B495" s="1" t="n">
        <v>46031</v>
      </c>
      <c r="C495" s="1" t="n">
        <v>46033</v>
      </c>
      <c r="D495" t="inlineStr">
        <is>
          <t>NORRBOTTENS LÄN</t>
        </is>
      </c>
      <c r="E495" t="inlineStr">
        <is>
          <t>GÄLLIVARE</t>
        </is>
      </c>
      <c r="G495" t="n">
        <v>17</v>
      </c>
      <c r="H495" t="n">
        <v>0</v>
      </c>
      <c r="I495" t="n">
        <v>0</v>
      </c>
      <c r="J495" t="n">
        <v>0</v>
      </c>
      <c r="K495" t="n">
        <v>0</v>
      </c>
      <c r="L495" t="n">
        <v>0</v>
      </c>
      <c r="M495" t="n">
        <v>0</v>
      </c>
      <c r="N495" t="n">
        <v>0</v>
      </c>
      <c r="O495" t="n">
        <v>0</v>
      </c>
      <c r="P495" t="n">
        <v>0</v>
      </c>
      <c r="Q495" t="n">
        <v>0</v>
      </c>
      <c r="R495" s="2" t="inlineStr"/>
    </row>
    <row r="496" ht="15" customHeight="1">
      <c r="A496" t="inlineStr">
        <is>
          <t>A 1088-2026</t>
        </is>
      </c>
      <c r="B496" s="1" t="n">
        <v>46030.65751157407</v>
      </c>
      <c r="C496" s="1" t="n">
        <v>46033</v>
      </c>
      <c r="D496" t="inlineStr">
        <is>
          <t>NORRBOTTENS LÄN</t>
        </is>
      </c>
      <c r="E496" t="inlineStr">
        <is>
          <t>GÄLLIVARE</t>
        </is>
      </c>
      <c r="G496" t="n">
        <v>0.9</v>
      </c>
      <c r="H496" t="n">
        <v>0</v>
      </c>
      <c r="I496" t="n">
        <v>0</v>
      </c>
      <c r="J496" t="n">
        <v>0</v>
      </c>
      <c r="K496" t="n">
        <v>0</v>
      </c>
      <c r="L496" t="n">
        <v>0</v>
      </c>
      <c r="M496" t="n">
        <v>0</v>
      </c>
      <c r="N496" t="n">
        <v>0</v>
      </c>
      <c r="O496" t="n">
        <v>0</v>
      </c>
      <c r="P496" t="n">
        <v>0</v>
      </c>
      <c r="Q496" t="n">
        <v>0</v>
      </c>
      <c r="R496" s="2" t="inlineStr"/>
    </row>
    <row r="497" ht="15" customHeight="1">
      <c r="A497" t="inlineStr">
        <is>
          <t>A 1089-2026</t>
        </is>
      </c>
      <c r="B497" s="1" t="n">
        <v>46030.65762731482</v>
      </c>
      <c r="C497" s="1" t="n">
        <v>46033</v>
      </c>
      <c r="D497" t="inlineStr">
        <is>
          <t>NORRBOTTENS LÄN</t>
        </is>
      </c>
      <c r="E497" t="inlineStr">
        <is>
          <t>GÄLLIVARE</t>
        </is>
      </c>
      <c r="G497" t="n">
        <v>0.8</v>
      </c>
      <c r="H497" t="n">
        <v>0</v>
      </c>
      <c r="I497" t="n">
        <v>0</v>
      </c>
      <c r="J497" t="n">
        <v>0</v>
      </c>
      <c r="K497" t="n">
        <v>0</v>
      </c>
      <c r="L497" t="n">
        <v>0</v>
      </c>
      <c r="M497" t="n">
        <v>0</v>
      </c>
      <c r="N497" t="n">
        <v>0</v>
      </c>
      <c r="O497" t="n">
        <v>0</v>
      </c>
      <c r="P497" t="n">
        <v>0</v>
      </c>
      <c r="Q497" t="n">
        <v>0</v>
      </c>
      <c r="R497" s="2" t="inlineStr"/>
    </row>
    <row r="498" ht="15" customHeight="1">
      <c r="A498" t="inlineStr">
        <is>
          <t>A 58922-2025</t>
        </is>
      </c>
      <c r="B498" s="1" t="n">
        <v>45986</v>
      </c>
      <c r="C498" s="1" t="n">
        <v>46033</v>
      </c>
      <c r="D498" t="inlineStr">
        <is>
          <t>NORRBOTTENS LÄN</t>
        </is>
      </c>
      <c r="E498" t="inlineStr">
        <is>
          <t>GÄLLIVARE</t>
        </is>
      </c>
      <c r="F498" t="inlineStr">
        <is>
          <t>Allmännings- och besparingsskogar</t>
        </is>
      </c>
      <c r="G498" t="n">
        <v>7.1</v>
      </c>
      <c r="H498" t="n">
        <v>0</v>
      </c>
      <c r="I498" t="n">
        <v>0</v>
      </c>
      <c r="J498" t="n">
        <v>0</v>
      </c>
      <c r="K498" t="n">
        <v>0</v>
      </c>
      <c r="L498" t="n">
        <v>0</v>
      </c>
      <c r="M498" t="n">
        <v>0</v>
      </c>
      <c r="N498" t="n">
        <v>0</v>
      </c>
      <c r="O498" t="n">
        <v>0</v>
      </c>
      <c r="P498" t="n">
        <v>0</v>
      </c>
      <c r="Q498" t="n">
        <v>0</v>
      </c>
      <c r="R498" s="2" t="inlineStr"/>
    </row>
    <row r="499" ht="15" customHeight="1">
      <c r="A499" t="inlineStr">
        <is>
          <t>A 705-2026</t>
        </is>
      </c>
      <c r="B499" s="1" t="n">
        <v>46029</v>
      </c>
      <c r="C499" s="1" t="n">
        <v>46033</v>
      </c>
      <c r="D499" t="inlineStr">
        <is>
          <t>NORRBOTTENS LÄN</t>
        </is>
      </c>
      <c r="E499" t="inlineStr">
        <is>
          <t>GÄLLIVARE</t>
        </is>
      </c>
      <c r="G499" t="n">
        <v>14</v>
      </c>
      <c r="H499" t="n">
        <v>0</v>
      </c>
      <c r="I499" t="n">
        <v>0</v>
      </c>
      <c r="J499" t="n">
        <v>0</v>
      </c>
      <c r="K499" t="n">
        <v>0</v>
      </c>
      <c r="L499" t="n">
        <v>0</v>
      </c>
      <c r="M499" t="n">
        <v>0</v>
      </c>
      <c r="N499" t="n">
        <v>0</v>
      </c>
      <c r="O499" t="n">
        <v>0</v>
      </c>
      <c r="P499" t="n">
        <v>0</v>
      </c>
      <c r="Q499" t="n">
        <v>0</v>
      </c>
      <c r="R499" s="2" t="inlineStr"/>
    </row>
    <row r="500" ht="15" customHeight="1">
      <c r="A500" t="inlineStr">
        <is>
          <t>A 40974-2023</t>
        </is>
      </c>
      <c r="B500" s="1" t="n">
        <v>45173</v>
      </c>
      <c r="C500" s="1" t="n">
        <v>46033</v>
      </c>
      <c r="D500" t="inlineStr">
        <is>
          <t>NORRBOTTENS LÄN</t>
        </is>
      </c>
      <c r="E500" t="inlineStr">
        <is>
          <t>GÄLLIVARE</t>
        </is>
      </c>
      <c r="G500" t="n">
        <v>3</v>
      </c>
      <c r="H500" t="n">
        <v>0</v>
      </c>
      <c r="I500" t="n">
        <v>0</v>
      </c>
      <c r="J500" t="n">
        <v>0</v>
      </c>
      <c r="K500" t="n">
        <v>0</v>
      </c>
      <c r="L500" t="n">
        <v>0</v>
      </c>
      <c r="M500" t="n">
        <v>0</v>
      </c>
      <c r="N500" t="n">
        <v>0</v>
      </c>
      <c r="O500" t="n">
        <v>0</v>
      </c>
      <c r="P500" t="n">
        <v>0</v>
      </c>
      <c r="Q500" t="n">
        <v>0</v>
      </c>
      <c r="R500" s="2" t="inlineStr"/>
    </row>
    <row r="501" ht="15" customHeight="1">
      <c r="A501" t="inlineStr">
        <is>
          <t>A 55466-2023</t>
        </is>
      </c>
      <c r="B501" s="1" t="n">
        <v>45238</v>
      </c>
      <c r="C501" s="1" t="n">
        <v>46033</v>
      </c>
      <c r="D501" t="inlineStr">
        <is>
          <t>NORRBOTTENS LÄN</t>
        </is>
      </c>
      <c r="E501" t="inlineStr">
        <is>
          <t>GÄLLIVARE</t>
        </is>
      </c>
      <c r="G501" t="n">
        <v>5.1</v>
      </c>
      <c r="H501" t="n">
        <v>0</v>
      </c>
      <c r="I501" t="n">
        <v>0</v>
      </c>
      <c r="J501" t="n">
        <v>0</v>
      </c>
      <c r="K501" t="n">
        <v>0</v>
      </c>
      <c r="L501" t="n">
        <v>0</v>
      </c>
      <c r="M501" t="n">
        <v>0</v>
      </c>
      <c r="N501" t="n">
        <v>0</v>
      </c>
      <c r="O501" t="n">
        <v>0</v>
      </c>
      <c r="P501" t="n">
        <v>0</v>
      </c>
      <c r="Q501" t="n">
        <v>0</v>
      </c>
      <c r="R501" s="2" t="inlineStr"/>
    </row>
    <row r="502" ht="15" customHeight="1">
      <c r="A502" t="inlineStr">
        <is>
          <t>A 29140-2022</t>
        </is>
      </c>
      <c r="B502" s="1" t="n">
        <v>44750</v>
      </c>
      <c r="C502" s="1" t="n">
        <v>46033</v>
      </c>
      <c r="D502" t="inlineStr">
        <is>
          <t>NORRBOTTENS LÄN</t>
        </is>
      </c>
      <c r="E502" t="inlineStr">
        <is>
          <t>GÄLLIVARE</t>
        </is>
      </c>
      <c r="G502" t="n">
        <v>13.6</v>
      </c>
      <c r="H502" t="n">
        <v>0</v>
      </c>
      <c r="I502" t="n">
        <v>0</v>
      </c>
      <c r="J502" t="n">
        <v>0</v>
      </c>
      <c r="K502" t="n">
        <v>0</v>
      </c>
      <c r="L502" t="n">
        <v>0</v>
      </c>
      <c r="M502" t="n">
        <v>0</v>
      </c>
      <c r="N502" t="n">
        <v>0</v>
      </c>
      <c r="O502" t="n">
        <v>0</v>
      </c>
      <c r="P502" t="n">
        <v>0</v>
      </c>
      <c r="Q502" t="n">
        <v>0</v>
      </c>
      <c r="R502" s="2" t="inlineStr"/>
    </row>
    <row r="503" ht="15" customHeight="1">
      <c r="A503" t="inlineStr">
        <is>
          <t>A 2244-2023</t>
        </is>
      </c>
      <c r="B503" s="1" t="n">
        <v>44942</v>
      </c>
      <c r="C503" s="1" t="n">
        <v>46033</v>
      </c>
      <c r="D503" t="inlineStr">
        <is>
          <t>NORRBOTTENS LÄN</t>
        </is>
      </c>
      <c r="E503" t="inlineStr">
        <is>
          <t>GÄLLIVARE</t>
        </is>
      </c>
      <c r="G503" t="n">
        <v>21.1</v>
      </c>
      <c r="H503" t="n">
        <v>0</v>
      </c>
      <c r="I503" t="n">
        <v>0</v>
      </c>
      <c r="J503" t="n">
        <v>0</v>
      </c>
      <c r="K503" t="n">
        <v>0</v>
      </c>
      <c r="L503" t="n">
        <v>0</v>
      </c>
      <c r="M503" t="n">
        <v>0</v>
      </c>
      <c r="N503" t="n">
        <v>0</v>
      </c>
      <c r="O503" t="n">
        <v>0</v>
      </c>
      <c r="P503" t="n">
        <v>0</v>
      </c>
      <c r="Q503" t="n">
        <v>0</v>
      </c>
      <c r="R503" s="2" t="inlineStr"/>
    </row>
    <row r="504" ht="15" customHeight="1">
      <c r="A504" t="inlineStr">
        <is>
          <t>A 404-2023</t>
        </is>
      </c>
      <c r="B504" s="1" t="n">
        <v>44923</v>
      </c>
      <c r="C504" s="1" t="n">
        <v>46033</v>
      </c>
      <c r="D504" t="inlineStr">
        <is>
          <t>NORRBOTTENS LÄN</t>
        </is>
      </c>
      <c r="E504" t="inlineStr">
        <is>
          <t>GÄLLIVARE</t>
        </is>
      </c>
      <c r="G504" t="n">
        <v>1</v>
      </c>
      <c r="H504" t="n">
        <v>0</v>
      </c>
      <c r="I504" t="n">
        <v>0</v>
      </c>
      <c r="J504" t="n">
        <v>0</v>
      </c>
      <c r="K504" t="n">
        <v>0</v>
      </c>
      <c r="L504" t="n">
        <v>0</v>
      </c>
      <c r="M504" t="n">
        <v>0</v>
      </c>
      <c r="N504" t="n">
        <v>0</v>
      </c>
      <c r="O504" t="n">
        <v>0</v>
      </c>
      <c r="P504" t="n">
        <v>0</v>
      </c>
      <c r="Q504" t="n">
        <v>0</v>
      </c>
      <c r="R504" s="2" t="inlineStr"/>
    </row>
    <row r="505" ht="15" customHeight="1">
      <c r="A505" t="inlineStr">
        <is>
          <t>A 31450-2024</t>
        </is>
      </c>
      <c r="B505" s="1" t="n">
        <v>45505</v>
      </c>
      <c r="C505" s="1" t="n">
        <v>46033</v>
      </c>
      <c r="D505" t="inlineStr">
        <is>
          <t>NORRBOTTENS LÄN</t>
        </is>
      </c>
      <c r="E505" t="inlineStr">
        <is>
          <t>GÄLLIVARE</t>
        </is>
      </c>
      <c r="G505" t="n">
        <v>5.5</v>
      </c>
      <c r="H505" t="n">
        <v>0</v>
      </c>
      <c r="I505" t="n">
        <v>0</v>
      </c>
      <c r="J505" t="n">
        <v>0</v>
      </c>
      <c r="K505" t="n">
        <v>0</v>
      </c>
      <c r="L505" t="n">
        <v>0</v>
      </c>
      <c r="M505" t="n">
        <v>0</v>
      </c>
      <c r="N505" t="n">
        <v>0</v>
      </c>
      <c r="O505" t="n">
        <v>0</v>
      </c>
      <c r="P505" t="n">
        <v>0</v>
      </c>
      <c r="Q505" t="n">
        <v>0</v>
      </c>
      <c r="R505" s="2" t="inlineStr"/>
    </row>
    <row r="506" ht="15" customHeight="1">
      <c r="A506" t="inlineStr">
        <is>
          <t>A 16973-2023</t>
        </is>
      </c>
      <c r="B506" s="1" t="n">
        <v>45033</v>
      </c>
      <c r="C506" s="1" t="n">
        <v>46033</v>
      </c>
      <c r="D506" t="inlineStr">
        <is>
          <t>NORRBOTTENS LÄN</t>
        </is>
      </c>
      <c r="E506" t="inlineStr">
        <is>
          <t>GÄLLIVARE</t>
        </is>
      </c>
      <c r="G506" t="n">
        <v>1</v>
      </c>
      <c r="H506" t="n">
        <v>0</v>
      </c>
      <c r="I506" t="n">
        <v>0</v>
      </c>
      <c r="J506" t="n">
        <v>0</v>
      </c>
      <c r="K506" t="n">
        <v>0</v>
      </c>
      <c r="L506" t="n">
        <v>0</v>
      </c>
      <c r="M506" t="n">
        <v>0</v>
      </c>
      <c r="N506" t="n">
        <v>0</v>
      </c>
      <c r="O506" t="n">
        <v>0</v>
      </c>
      <c r="P506" t="n">
        <v>0</v>
      </c>
      <c r="Q506" t="n">
        <v>0</v>
      </c>
      <c r="R506" s="2" t="inlineStr"/>
    </row>
    <row r="507" ht="15" customHeight="1">
      <c r="A507" t="inlineStr">
        <is>
          <t>A 5776-2025</t>
        </is>
      </c>
      <c r="B507" s="1" t="n">
        <v>45694</v>
      </c>
      <c r="C507" s="1" t="n">
        <v>46033</v>
      </c>
      <c r="D507" t="inlineStr">
        <is>
          <t>NORRBOTTENS LÄN</t>
        </is>
      </c>
      <c r="E507" t="inlineStr">
        <is>
          <t>GÄLLIVARE</t>
        </is>
      </c>
      <c r="F507" t="inlineStr">
        <is>
          <t>SCA</t>
        </is>
      </c>
      <c r="G507" t="n">
        <v>14.5</v>
      </c>
      <c r="H507" t="n">
        <v>0</v>
      </c>
      <c r="I507" t="n">
        <v>0</v>
      </c>
      <c r="J507" t="n">
        <v>0</v>
      </c>
      <c r="K507" t="n">
        <v>0</v>
      </c>
      <c r="L507" t="n">
        <v>0</v>
      </c>
      <c r="M507" t="n">
        <v>0</v>
      </c>
      <c r="N507" t="n">
        <v>0</v>
      </c>
      <c r="O507" t="n">
        <v>0</v>
      </c>
      <c r="P507" t="n">
        <v>0</v>
      </c>
      <c r="Q507" t="n">
        <v>0</v>
      </c>
      <c r="R507" s="2" t="inlineStr"/>
    </row>
    <row r="508" ht="15" customHeight="1">
      <c r="A508" t="inlineStr">
        <is>
          <t>A 57442-2022</t>
        </is>
      </c>
      <c r="B508" s="1" t="n">
        <v>44896</v>
      </c>
      <c r="C508" s="1" t="n">
        <v>46033</v>
      </c>
      <c r="D508" t="inlineStr">
        <is>
          <t>NORRBOTTENS LÄN</t>
        </is>
      </c>
      <c r="E508" t="inlineStr">
        <is>
          <t>GÄLLIVARE</t>
        </is>
      </c>
      <c r="G508" t="n">
        <v>1.7</v>
      </c>
      <c r="H508" t="n">
        <v>0</v>
      </c>
      <c r="I508" t="n">
        <v>0</v>
      </c>
      <c r="J508" t="n">
        <v>0</v>
      </c>
      <c r="K508" t="n">
        <v>0</v>
      </c>
      <c r="L508" t="n">
        <v>0</v>
      </c>
      <c r="M508" t="n">
        <v>0</v>
      </c>
      <c r="N508" t="n">
        <v>0</v>
      </c>
      <c r="O508" t="n">
        <v>0</v>
      </c>
      <c r="P508" t="n">
        <v>0</v>
      </c>
      <c r="Q508" t="n">
        <v>0</v>
      </c>
      <c r="R508" s="2" t="inlineStr"/>
    </row>
    <row r="509" ht="15" customHeight="1">
      <c r="A509" t="inlineStr">
        <is>
          <t>A 59232-2024</t>
        </is>
      </c>
      <c r="B509" s="1" t="n">
        <v>45637</v>
      </c>
      <c r="C509" s="1" t="n">
        <v>46033</v>
      </c>
      <c r="D509" t="inlineStr">
        <is>
          <t>NORRBOTTENS LÄN</t>
        </is>
      </c>
      <c r="E509" t="inlineStr">
        <is>
          <t>GÄLLIVARE</t>
        </is>
      </c>
      <c r="G509" t="n">
        <v>2.5</v>
      </c>
      <c r="H509" t="n">
        <v>0</v>
      </c>
      <c r="I509" t="n">
        <v>0</v>
      </c>
      <c r="J509" t="n">
        <v>0</v>
      </c>
      <c r="K509" t="n">
        <v>0</v>
      </c>
      <c r="L509" t="n">
        <v>0</v>
      </c>
      <c r="M509" t="n">
        <v>0</v>
      </c>
      <c r="N509" t="n">
        <v>0</v>
      </c>
      <c r="O509" t="n">
        <v>0</v>
      </c>
      <c r="P509" t="n">
        <v>0</v>
      </c>
      <c r="Q509" t="n">
        <v>0</v>
      </c>
      <c r="R509" s="2" t="inlineStr"/>
    </row>
    <row r="510" ht="15" customHeight="1">
      <c r="A510" t="inlineStr">
        <is>
          <t>A 36983-2023</t>
        </is>
      </c>
      <c r="B510" s="1" t="n">
        <v>45154.95504629629</v>
      </c>
      <c r="C510" s="1" t="n">
        <v>46033</v>
      </c>
      <c r="D510" t="inlineStr">
        <is>
          <t>NORRBOTTENS LÄN</t>
        </is>
      </c>
      <c r="E510" t="inlineStr">
        <is>
          <t>GÄLLIVARE</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47862-2024</t>
        </is>
      </c>
      <c r="B511" s="1" t="n">
        <v>45588</v>
      </c>
      <c r="C511" s="1" t="n">
        <v>46033</v>
      </c>
      <c r="D511" t="inlineStr">
        <is>
          <t>NORRBOTTENS LÄN</t>
        </is>
      </c>
      <c r="E511" t="inlineStr">
        <is>
          <t>GÄLLIVARE</t>
        </is>
      </c>
      <c r="F511" t="inlineStr">
        <is>
          <t>Allmännings- och besparingsskogar</t>
        </is>
      </c>
      <c r="G511" t="n">
        <v>5.8</v>
      </c>
      <c r="H511" t="n">
        <v>0</v>
      </c>
      <c r="I511" t="n">
        <v>0</v>
      </c>
      <c r="J511" t="n">
        <v>0</v>
      </c>
      <c r="K511" t="n">
        <v>0</v>
      </c>
      <c r="L511" t="n">
        <v>0</v>
      </c>
      <c r="M511" t="n">
        <v>0</v>
      </c>
      <c r="N511" t="n">
        <v>0</v>
      </c>
      <c r="O511" t="n">
        <v>0</v>
      </c>
      <c r="P511" t="n">
        <v>0</v>
      </c>
      <c r="Q511" t="n">
        <v>0</v>
      </c>
      <c r="R511" s="2" t="inlineStr"/>
    </row>
    <row r="512" ht="15" customHeight="1">
      <c r="A512" t="inlineStr">
        <is>
          <t>A 41653-2023</t>
        </is>
      </c>
      <c r="B512" s="1" t="n">
        <v>45175.95738425926</v>
      </c>
      <c r="C512" s="1" t="n">
        <v>46033</v>
      </c>
      <c r="D512" t="inlineStr">
        <is>
          <t>NORRBOTTENS LÄN</t>
        </is>
      </c>
      <c r="E512" t="inlineStr">
        <is>
          <t>GÄLLIVARE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14974-2025</t>
        </is>
      </c>
      <c r="B513" s="1" t="n">
        <v>45743</v>
      </c>
      <c r="C513" s="1" t="n">
        <v>46033</v>
      </c>
      <c r="D513" t="inlineStr">
        <is>
          <t>NORRBOTTENS LÄN</t>
        </is>
      </c>
      <c r="E513" t="inlineStr">
        <is>
          <t>GÄLLIVARE</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44340-2024</t>
        </is>
      </c>
      <c r="B514" s="1" t="n">
        <v>45573</v>
      </c>
      <c r="C514" s="1" t="n">
        <v>46033</v>
      </c>
      <c r="D514" t="inlineStr">
        <is>
          <t>NORRBOTTENS LÄN</t>
        </is>
      </c>
      <c r="E514" t="inlineStr">
        <is>
          <t>GÄLLIVARE</t>
        </is>
      </c>
      <c r="G514" t="n">
        <v>3.5</v>
      </c>
      <c r="H514" t="n">
        <v>0</v>
      </c>
      <c r="I514" t="n">
        <v>0</v>
      </c>
      <c r="J514" t="n">
        <v>0</v>
      </c>
      <c r="K514" t="n">
        <v>0</v>
      </c>
      <c r="L514" t="n">
        <v>0</v>
      </c>
      <c r="M514" t="n">
        <v>0</v>
      </c>
      <c r="N514" t="n">
        <v>0</v>
      </c>
      <c r="O514" t="n">
        <v>0</v>
      </c>
      <c r="P514" t="n">
        <v>0</v>
      </c>
      <c r="Q514" t="n">
        <v>0</v>
      </c>
      <c r="R514" s="2" t="inlineStr"/>
    </row>
    <row r="515" ht="15" customHeight="1">
      <c r="A515" t="inlineStr">
        <is>
          <t>A 46857-2023</t>
        </is>
      </c>
      <c r="B515" s="1" t="n">
        <v>45199.97033564815</v>
      </c>
      <c r="C515" s="1" t="n">
        <v>46033</v>
      </c>
      <c r="D515" t="inlineStr">
        <is>
          <t>NORRBOTTENS LÄN</t>
        </is>
      </c>
      <c r="E515" t="inlineStr">
        <is>
          <t>GÄLLIVARE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59704-2024</t>
        </is>
      </c>
      <c r="B516" s="1" t="n">
        <v>45639</v>
      </c>
      <c r="C516" s="1" t="n">
        <v>46033</v>
      </c>
      <c r="D516" t="inlineStr">
        <is>
          <t>NORRBOTTENS LÄN</t>
        </is>
      </c>
      <c r="E516" t="inlineStr">
        <is>
          <t>GÄLLIVARE</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61795-2022</t>
        </is>
      </c>
      <c r="B517" s="1" t="n">
        <v>44911</v>
      </c>
      <c r="C517" s="1" t="n">
        <v>46033</v>
      </c>
      <c r="D517" t="inlineStr">
        <is>
          <t>NORRBOTTENS LÄN</t>
        </is>
      </c>
      <c r="E517" t="inlineStr">
        <is>
          <t>GÄLLIVARE</t>
        </is>
      </c>
      <c r="G517" t="n">
        <v>2.5</v>
      </c>
      <c r="H517" t="n">
        <v>0</v>
      </c>
      <c r="I517" t="n">
        <v>0</v>
      </c>
      <c r="J517" t="n">
        <v>0</v>
      </c>
      <c r="K517" t="n">
        <v>0</v>
      </c>
      <c r="L517" t="n">
        <v>0</v>
      </c>
      <c r="M517" t="n">
        <v>0</v>
      </c>
      <c r="N517" t="n">
        <v>0</v>
      </c>
      <c r="O517" t="n">
        <v>0</v>
      </c>
      <c r="P517" t="n">
        <v>0</v>
      </c>
      <c r="Q517" t="n">
        <v>0</v>
      </c>
      <c r="R517" s="2" t="inlineStr"/>
    </row>
    <row r="518" ht="15" customHeight="1">
      <c r="A518" t="inlineStr">
        <is>
          <t>A 51243-2023</t>
        </is>
      </c>
      <c r="B518" s="1" t="n">
        <v>45212</v>
      </c>
      <c r="C518" s="1" t="n">
        <v>46033</v>
      </c>
      <c r="D518" t="inlineStr">
        <is>
          <t>NORRBOTTENS LÄN</t>
        </is>
      </c>
      <c r="E518" t="inlineStr">
        <is>
          <t>GÄLLIVARE</t>
        </is>
      </c>
      <c r="G518" t="n">
        <v>3.2</v>
      </c>
      <c r="H518" t="n">
        <v>0</v>
      </c>
      <c r="I518" t="n">
        <v>0</v>
      </c>
      <c r="J518" t="n">
        <v>0</v>
      </c>
      <c r="K518" t="n">
        <v>0</v>
      </c>
      <c r="L518" t="n">
        <v>0</v>
      </c>
      <c r="M518" t="n">
        <v>0</v>
      </c>
      <c r="N518" t="n">
        <v>0</v>
      </c>
      <c r="O518" t="n">
        <v>0</v>
      </c>
      <c r="P518" t="n">
        <v>0</v>
      </c>
      <c r="Q518" t="n">
        <v>0</v>
      </c>
      <c r="R518" s="2" t="inlineStr"/>
    </row>
    <row r="519" ht="15" customHeight="1">
      <c r="A519" t="inlineStr">
        <is>
          <t>A 53828-2024</t>
        </is>
      </c>
      <c r="B519" s="1" t="n">
        <v>45615.61438657407</v>
      </c>
      <c r="C519" s="1" t="n">
        <v>46033</v>
      </c>
      <c r="D519" t="inlineStr">
        <is>
          <t>NORRBOTTENS LÄN</t>
        </is>
      </c>
      <c r="E519" t="inlineStr">
        <is>
          <t>GÄLLIVARE</t>
        </is>
      </c>
      <c r="G519" t="n">
        <v>1.3</v>
      </c>
      <c r="H519" t="n">
        <v>0</v>
      </c>
      <c r="I519" t="n">
        <v>0</v>
      </c>
      <c r="J519" t="n">
        <v>0</v>
      </c>
      <c r="K519" t="n">
        <v>0</v>
      </c>
      <c r="L519" t="n">
        <v>0</v>
      </c>
      <c r="M519" t="n">
        <v>0</v>
      </c>
      <c r="N519" t="n">
        <v>0</v>
      </c>
      <c r="O519" t="n">
        <v>0</v>
      </c>
      <c r="P519" t="n">
        <v>0</v>
      </c>
      <c r="Q519" t="n">
        <v>0</v>
      </c>
      <c r="R519" s="2" t="inlineStr"/>
    </row>
    <row r="520" ht="15" customHeight="1">
      <c r="A520" t="inlineStr">
        <is>
          <t>A 4756-2023</t>
        </is>
      </c>
      <c r="B520" s="1" t="n">
        <v>44953</v>
      </c>
      <c r="C520" s="1" t="n">
        <v>46033</v>
      </c>
      <c r="D520" t="inlineStr">
        <is>
          <t>NORRBOTTENS LÄN</t>
        </is>
      </c>
      <c r="E520" t="inlineStr">
        <is>
          <t>GÄLLIVARE</t>
        </is>
      </c>
      <c r="G520" t="n">
        <v>4.2</v>
      </c>
      <c r="H520" t="n">
        <v>0</v>
      </c>
      <c r="I520" t="n">
        <v>0</v>
      </c>
      <c r="J520" t="n">
        <v>0</v>
      </c>
      <c r="K520" t="n">
        <v>0</v>
      </c>
      <c r="L520" t="n">
        <v>0</v>
      </c>
      <c r="M520" t="n">
        <v>0</v>
      </c>
      <c r="N520" t="n">
        <v>0</v>
      </c>
      <c r="O520" t="n">
        <v>0</v>
      </c>
      <c r="P520" t="n">
        <v>0</v>
      </c>
      <c r="Q520" t="n">
        <v>0</v>
      </c>
      <c r="R520" s="2" t="inlineStr"/>
    </row>
    <row r="521" ht="15" customHeight="1">
      <c r="A521" t="inlineStr">
        <is>
          <t>A 32720-2022</t>
        </is>
      </c>
      <c r="B521" s="1" t="n">
        <v>44783</v>
      </c>
      <c r="C521" s="1" t="n">
        <v>46033</v>
      </c>
      <c r="D521" t="inlineStr">
        <is>
          <t>NORRBOTTENS LÄN</t>
        </is>
      </c>
      <c r="E521" t="inlineStr">
        <is>
          <t>GÄLLIVARE</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55050-2023</t>
        </is>
      </c>
      <c r="B522" s="1" t="n">
        <v>45237</v>
      </c>
      <c r="C522" s="1" t="n">
        <v>46033</v>
      </c>
      <c r="D522" t="inlineStr">
        <is>
          <t>NORRBOTTENS LÄN</t>
        </is>
      </c>
      <c r="E522" t="inlineStr">
        <is>
          <t>GÄLLIVARE</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53821-2024</t>
        </is>
      </c>
      <c r="B523" s="1" t="n">
        <v>45615</v>
      </c>
      <c r="C523" s="1" t="n">
        <v>46033</v>
      </c>
      <c r="D523" t="inlineStr">
        <is>
          <t>NORRBOTTENS LÄN</t>
        </is>
      </c>
      <c r="E523" t="inlineStr">
        <is>
          <t>GÄLLIVARE</t>
        </is>
      </c>
      <c r="G523" t="n">
        <v>1</v>
      </c>
      <c r="H523" t="n">
        <v>0</v>
      </c>
      <c r="I523" t="n">
        <v>0</v>
      </c>
      <c r="J523" t="n">
        <v>0</v>
      </c>
      <c r="K523" t="n">
        <v>0</v>
      </c>
      <c r="L523" t="n">
        <v>0</v>
      </c>
      <c r="M523" t="n">
        <v>0</v>
      </c>
      <c r="N523" t="n">
        <v>0</v>
      </c>
      <c r="O523" t="n">
        <v>0</v>
      </c>
      <c r="P523" t="n">
        <v>0</v>
      </c>
      <c r="Q523" t="n">
        <v>0</v>
      </c>
      <c r="R523" s="2" t="inlineStr"/>
    </row>
    <row r="524" ht="15" customHeight="1">
      <c r="A524" t="inlineStr">
        <is>
          <t>A 50554-2024</t>
        </is>
      </c>
      <c r="B524" s="1" t="n">
        <v>45601.59497685185</v>
      </c>
      <c r="C524" s="1" t="n">
        <v>46033</v>
      </c>
      <c r="D524" t="inlineStr">
        <is>
          <t>NORRBOTTENS LÄN</t>
        </is>
      </c>
      <c r="E524" t="inlineStr">
        <is>
          <t>GÄLLIVARE</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59194-2022</t>
        </is>
      </c>
      <c r="B525" s="1" t="n">
        <v>44904</v>
      </c>
      <c r="C525" s="1" t="n">
        <v>46033</v>
      </c>
      <c r="D525" t="inlineStr">
        <is>
          <t>NORRBOTTENS LÄN</t>
        </is>
      </c>
      <c r="E525" t="inlineStr">
        <is>
          <t>GÄLLIVARE</t>
        </is>
      </c>
      <c r="G525" t="n">
        <v>3.4</v>
      </c>
      <c r="H525" t="n">
        <v>0</v>
      </c>
      <c r="I525" t="n">
        <v>0</v>
      </c>
      <c r="J525" t="n">
        <v>0</v>
      </c>
      <c r="K525" t="n">
        <v>0</v>
      </c>
      <c r="L525" t="n">
        <v>0</v>
      </c>
      <c r="M525" t="n">
        <v>0</v>
      </c>
      <c r="N525" t="n">
        <v>0</v>
      </c>
      <c r="O525" t="n">
        <v>0</v>
      </c>
      <c r="P525" t="n">
        <v>0</v>
      </c>
      <c r="Q525" t="n">
        <v>0</v>
      </c>
      <c r="R525" s="2" t="inlineStr"/>
    </row>
    <row r="526" ht="15" customHeight="1">
      <c r="A526" t="inlineStr">
        <is>
          <t>A 25488-2024</t>
        </is>
      </c>
      <c r="B526" s="1" t="n">
        <v>45463</v>
      </c>
      <c r="C526" s="1" t="n">
        <v>46033</v>
      </c>
      <c r="D526" t="inlineStr">
        <is>
          <t>NORRBOTTENS LÄN</t>
        </is>
      </c>
      <c r="E526" t="inlineStr">
        <is>
          <t>GÄLLIVARE</t>
        </is>
      </c>
      <c r="G526" t="n">
        <v>13.6</v>
      </c>
      <c r="H526" t="n">
        <v>0</v>
      </c>
      <c r="I526" t="n">
        <v>0</v>
      </c>
      <c r="J526" t="n">
        <v>0</v>
      </c>
      <c r="K526" t="n">
        <v>0</v>
      </c>
      <c r="L526" t="n">
        <v>0</v>
      </c>
      <c r="M526" t="n">
        <v>0</v>
      </c>
      <c r="N526" t="n">
        <v>0</v>
      </c>
      <c r="O526" t="n">
        <v>0</v>
      </c>
      <c r="P526" t="n">
        <v>0</v>
      </c>
      <c r="Q526" t="n">
        <v>0</v>
      </c>
      <c r="R526" s="2" t="inlineStr"/>
    </row>
    <row r="527" ht="15" customHeight="1">
      <c r="A527" t="inlineStr">
        <is>
          <t>A 2276-2023</t>
        </is>
      </c>
      <c r="B527" s="1" t="n">
        <v>44942</v>
      </c>
      <c r="C527" s="1" t="n">
        <v>46033</v>
      </c>
      <c r="D527" t="inlineStr">
        <is>
          <t>NORRBOTTENS LÄN</t>
        </is>
      </c>
      <c r="E527" t="inlineStr">
        <is>
          <t>GÄLLIVARE</t>
        </is>
      </c>
      <c r="G527" t="n">
        <v>2.8</v>
      </c>
      <c r="H527" t="n">
        <v>0</v>
      </c>
      <c r="I527" t="n">
        <v>0</v>
      </c>
      <c r="J527" t="n">
        <v>0</v>
      </c>
      <c r="K527" t="n">
        <v>0</v>
      </c>
      <c r="L527" t="n">
        <v>0</v>
      </c>
      <c r="M527" t="n">
        <v>0</v>
      </c>
      <c r="N527" t="n">
        <v>0</v>
      </c>
      <c r="O527" t="n">
        <v>0</v>
      </c>
      <c r="P527" t="n">
        <v>0</v>
      </c>
      <c r="Q527" t="n">
        <v>0</v>
      </c>
      <c r="R527" s="2" t="inlineStr"/>
    </row>
    <row r="528" ht="15" customHeight="1">
      <c r="A528" t="inlineStr">
        <is>
          <t>A 35730-2023</t>
        </is>
      </c>
      <c r="B528" s="1" t="n">
        <v>45147</v>
      </c>
      <c r="C528" s="1" t="n">
        <v>46033</v>
      </c>
      <c r="D528" t="inlineStr">
        <is>
          <t>NORRBOTTENS LÄN</t>
        </is>
      </c>
      <c r="E528" t="inlineStr">
        <is>
          <t>GÄLLIVARE</t>
        </is>
      </c>
      <c r="G528" t="n">
        <v>0.4</v>
      </c>
      <c r="H528" t="n">
        <v>0</v>
      </c>
      <c r="I528" t="n">
        <v>0</v>
      </c>
      <c r="J528" t="n">
        <v>0</v>
      </c>
      <c r="K528" t="n">
        <v>0</v>
      </c>
      <c r="L528" t="n">
        <v>0</v>
      </c>
      <c r="M528" t="n">
        <v>0</v>
      </c>
      <c r="N528" t="n">
        <v>0</v>
      </c>
      <c r="O528" t="n">
        <v>0</v>
      </c>
      <c r="P528" t="n">
        <v>0</v>
      </c>
      <c r="Q528" t="n">
        <v>0</v>
      </c>
      <c r="R528" s="2" t="inlineStr"/>
    </row>
    <row r="529" ht="15" customHeight="1">
      <c r="A529" t="inlineStr">
        <is>
          <t>A 36984-2023</t>
        </is>
      </c>
      <c r="B529" s="1" t="n">
        <v>45154.95511574074</v>
      </c>
      <c r="C529" s="1" t="n">
        <v>46033</v>
      </c>
      <c r="D529" t="inlineStr">
        <is>
          <t>NORRBOTTENS LÄN</t>
        </is>
      </c>
      <c r="E529" t="inlineStr">
        <is>
          <t>GÄLLIVARE</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60584-2023</t>
        </is>
      </c>
      <c r="B530" s="1" t="n">
        <v>45259</v>
      </c>
      <c r="C530" s="1" t="n">
        <v>46033</v>
      </c>
      <c r="D530" t="inlineStr">
        <is>
          <t>NORRBOTTENS LÄN</t>
        </is>
      </c>
      <c r="E530" t="inlineStr">
        <is>
          <t>GÄLLIVARE</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6272-2024</t>
        </is>
      </c>
      <c r="B531" s="1" t="n">
        <v>45337</v>
      </c>
      <c r="C531" s="1" t="n">
        <v>46033</v>
      </c>
      <c r="D531" t="inlineStr">
        <is>
          <t>NORRBOTTENS LÄN</t>
        </is>
      </c>
      <c r="E531" t="inlineStr">
        <is>
          <t>GÄLLIVARE</t>
        </is>
      </c>
      <c r="G531" t="n">
        <v>5.3</v>
      </c>
      <c r="H531" t="n">
        <v>0</v>
      </c>
      <c r="I531" t="n">
        <v>0</v>
      </c>
      <c r="J531" t="n">
        <v>0</v>
      </c>
      <c r="K531" t="n">
        <v>0</v>
      </c>
      <c r="L531" t="n">
        <v>0</v>
      </c>
      <c r="M531" t="n">
        <v>0</v>
      </c>
      <c r="N531" t="n">
        <v>0</v>
      </c>
      <c r="O531" t="n">
        <v>0</v>
      </c>
      <c r="P531" t="n">
        <v>0</v>
      </c>
      <c r="Q531" t="n">
        <v>0</v>
      </c>
      <c r="R531" s="2" t="inlineStr"/>
    </row>
    <row r="532" ht="15" customHeight="1">
      <c r="A532" t="inlineStr">
        <is>
          <t>A 53824-2024</t>
        </is>
      </c>
      <c r="B532" s="1" t="n">
        <v>45615.61038194445</v>
      </c>
      <c r="C532" s="1" t="n">
        <v>46033</v>
      </c>
      <c r="D532" t="inlineStr">
        <is>
          <t>NORRBOTTENS LÄN</t>
        </is>
      </c>
      <c r="E532" t="inlineStr">
        <is>
          <t>GÄLLIVARE</t>
        </is>
      </c>
      <c r="G532" t="n">
        <v>2</v>
      </c>
      <c r="H532" t="n">
        <v>0</v>
      </c>
      <c r="I532" t="n">
        <v>0</v>
      </c>
      <c r="J532" t="n">
        <v>0</v>
      </c>
      <c r="K532" t="n">
        <v>0</v>
      </c>
      <c r="L532" t="n">
        <v>0</v>
      </c>
      <c r="M532" t="n">
        <v>0</v>
      </c>
      <c r="N532" t="n">
        <v>0</v>
      </c>
      <c r="O532" t="n">
        <v>0</v>
      </c>
      <c r="P532" t="n">
        <v>0</v>
      </c>
      <c r="Q532" t="n">
        <v>0</v>
      </c>
      <c r="R532" s="2" t="inlineStr"/>
    </row>
    <row r="533" ht="15" customHeight="1">
      <c r="A533" t="inlineStr">
        <is>
          <t>A 29011-2024</t>
        </is>
      </c>
      <c r="B533" s="1" t="n">
        <v>45481</v>
      </c>
      <c r="C533" s="1" t="n">
        <v>46033</v>
      </c>
      <c r="D533" t="inlineStr">
        <is>
          <t>NORRBOTTENS LÄN</t>
        </is>
      </c>
      <c r="E533" t="inlineStr">
        <is>
          <t>GÄLLIVARE</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29196-2021</t>
        </is>
      </c>
      <c r="B534" s="1" t="n">
        <v>44358</v>
      </c>
      <c r="C534" s="1" t="n">
        <v>46033</v>
      </c>
      <c r="D534" t="inlineStr">
        <is>
          <t>NORRBOTTENS LÄN</t>
        </is>
      </c>
      <c r="E534" t="inlineStr">
        <is>
          <t>GÄLLIVARE</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4390-2025</t>
        </is>
      </c>
      <c r="B535" s="1" t="n">
        <v>45686.41289351852</v>
      </c>
      <c r="C535" s="1" t="n">
        <v>46033</v>
      </c>
      <c r="D535" t="inlineStr">
        <is>
          <t>NORRBOTTENS LÄN</t>
        </is>
      </c>
      <c r="E535" t="inlineStr">
        <is>
          <t>GÄLLIVARE</t>
        </is>
      </c>
      <c r="F535" t="inlineStr">
        <is>
          <t>Sveaskog</t>
        </is>
      </c>
      <c r="G535" t="n">
        <v>12.7</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46033</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41927-2024</t>
        </is>
      </c>
      <c r="B537" s="1" t="n">
        <v>45561.55981481481</v>
      </c>
      <c r="C537" s="1" t="n">
        <v>46033</v>
      </c>
      <c r="D537" t="inlineStr">
        <is>
          <t>NORRBOTTENS LÄN</t>
        </is>
      </c>
      <c r="E537" t="inlineStr">
        <is>
          <t>GÄLLIVARE</t>
        </is>
      </c>
      <c r="G537" t="n">
        <v>11.2</v>
      </c>
      <c r="H537" t="n">
        <v>0</v>
      </c>
      <c r="I537" t="n">
        <v>0</v>
      </c>
      <c r="J537" t="n">
        <v>0</v>
      </c>
      <c r="K537" t="n">
        <v>0</v>
      </c>
      <c r="L537" t="n">
        <v>0</v>
      </c>
      <c r="M537" t="n">
        <v>0</v>
      </c>
      <c r="N537" t="n">
        <v>0</v>
      </c>
      <c r="O537" t="n">
        <v>0</v>
      </c>
      <c r="P537" t="n">
        <v>0</v>
      </c>
      <c r="Q537" t="n">
        <v>0</v>
      </c>
      <c r="R537" s="2" t="inlineStr"/>
    </row>
    <row r="538" ht="15" customHeight="1">
      <c r="A538" t="inlineStr">
        <is>
          <t>A 45026-2023</t>
        </is>
      </c>
      <c r="B538" s="1" t="n">
        <v>45190.96262731482</v>
      </c>
      <c r="C538" s="1" t="n">
        <v>46033</v>
      </c>
      <c r="D538" t="inlineStr">
        <is>
          <t>NORRBOTTENS LÄN</t>
        </is>
      </c>
      <c r="E538" t="inlineStr">
        <is>
          <t>GÄLLIVARE</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8018-2022</t>
        </is>
      </c>
      <c r="B539" s="1" t="n">
        <v>44609</v>
      </c>
      <c r="C539" s="1" t="n">
        <v>46033</v>
      </c>
      <c r="D539" t="inlineStr">
        <is>
          <t>NORRBOTTENS LÄN</t>
        </is>
      </c>
      <c r="E539" t="inlineStr">
        <is>
          <t>GÄLLIVARE</t>
        </is>
      </c>
      <c r="G539" t="n">
        <v>1.8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45154.95400462963</v>
      </c>
      <c r="C540" s="1" t="n">
        <v>46033</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11290-2023</t>
        </is>
      </c>
      <c r="B541" s="1" t="n">
        <v>44992</v>
      </c>
      <c r="C541" s="1" t="n">
        <v>46033</v>
      </c>
      <c r="D541" t="inlineStr">
        <is>
          <t>NORRBOTTENS LÄN</t>
        </is>
      </c>
      <c r="E541" t="inlineStr">
        <is>
          <t>GÄLLIVARE</t>
        </is>
      </c>
      <c r="G541" t="n">
        <v>2</v>
      </c>
      <c r="H541" t="n">
        <v>0</v>
      </c>
      <c r="I541" t="n">
        <v>0</v>
      </c>
      <c r="J541" t="n">
        <v>0</v>
      </c>
      <c r="K541" t="n">
        <v>0</v>
      </c>
      <c r="L541" t="n">
        <v>0</v>
      </c>
      <c r="M541" t="n">
        <v>0</v>
      </c>
      <c r="N541" t="n">
        <v>0</v>
      </c>
      <c r="O541" t="n">
        <v>0</v>
      </c>
      <c r="P541" t="n">
        <v>0</v>
      </c>
      <c r="Q541" t="n">
        <v>0</v>
      </c>
      <c r="R541" s="2" t="inlineStr"/>
    </row>
    <row r="542" ht="15" customHeight="1">
      <c r="A542" t="inlineStr">
        <is>
          <t>A 10948-2025</t>
        </is>
      </c>
      <c r="B542" s="1" t="n">
        <v>45723.34453703704</v>
      </c>
      <c r="C542" s="1" t="n">
        <v>46033</v>
      </c>
      <c r="D542" t="inlineStr">
        <is>
          <t>NORRBOTTENS LÄN</t>
        </is>
      </c>
      <c r="E542" t="inlineStr">
        <is>
          <t>GÄLLIVARE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59675-2024</t>
        </is>
      </c>
      <c r="B543" s="1" t="n">
        <v>45639</v>
      </c>
      <c r="C543" s="1" t="n">
        <v>46033</v>
      </c>
      <c r="D543" t="inlineStr">
        <is>
          <t>NORRBOTTENS LÄN</t>
        </is>
      </c>
      <c r="E543" t="inlineStr">
        <is>
          <t>GÄLLIVARE</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48760-2023</t>
        </is>
      </c>
      <c r="B544" s="1" t="n">
        <v>45208.92326388889</v>
      </c>
      <c r="C544" s="1" t="n">
        <v>46033</v>
      </c>
      <c r="D544" t="inlineStr">
        <is>
          <t>NORRBOTTENS LÄN</t>
        </is>
      </c>
      <c r="E544" t="inlineStr">
        <is>
          <t>GÄLLIVARE</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16068-2023</t>
        </is>
      </c>
      <c r="B545" s="1" t="n">
        <v>45027</v>
      </c>
      <c r="C545" s="1" t="n">
        <v>46033</v>
      </c>
      <c r="D545" t="inlineStr">
        <is>
          <t>NORRBOTTENS LÄN</t>
        </is>
      </c>
      <c r="E545" t="inlineStr">
        <is>
          <t>GÄLLIVARE</t>
        </is>
      </c>
      <c r="G545" t="n">
        <v>4.1</v>
      </c>
      <c r="H545" t="n">
        <v>0</v>
      </c>
      <c r="I545" t="n">
        <v>0</v>
      </c>
      <c r="J545" t="n">
        <v>0</v>
      </c>
      <c r="K545" t="n">
        <v>0</v>
      </c>
      <c r="L545" t="n">
        <v>0</v>
      </c>
      <c r="M545" t="n">
        <v>0</v>
      </c>
      <c r="N545" t="n">
        <v>0</v>
      </c>
      <c r="O545" t="n">
        <v>0</v>
      </c>
      <c r="P545" t="n">
        <v>0</v>
      </c>
      <c r="Q545" t="n">
        <v>0</v>
      </c>
      <c r="R545" s="2" t="inlineStr"/>
    </row>
    <row r="546" ht="15" customHeight="1">
      <c r="A546" t="inlineStr">
        <is>
          <t>A 50095-2024</t>
        </is>
      </c>
      <c r="B546" s="1" t="n">
        <v>45600</v>
      </c>
      <c r="C546" s="1" t="n">
        <v>46033</v>
      </c>
      <c r="D546" t="inlineStr">
        <is>
          <t>NORRBOTTENS LÄN</t>
        </is>
      </c>
      <c r="E546" t="inlineStr">
        <is>
          <t>GÄLLIVARE</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61190-2023</t>
        </is>
      </c>
      <c r="B547" s="1" t="n">
        <v>45264</v>
      </c>
      <c r="C547" s="1" t="n">
        <v>46033</v>
      </c>
      <c r="D547" t="inlineStr">
        <is>
          <t>NORRBOTTENS LÄN</t>
        </is>
      </c>
      <c r="E547" t="inlineStr">
        <is>
          <t>GÄLLIVARE</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8075-2025</t>
        </is>
      </c>
      <c r="B548" s="1" t="n">
        <v>45707</v>
      </c>
      <c r="C548" s="1" t="n">
        <v>46033</v>
      </c>
      <c r="D548" t="inlineStr">
        <is>
          <t>NORRBOTTENS LÄN</t>
        </is>
      </c>
      <c r="E548" t="inlineStr">
        <is>
          <t>GÄLLIVARE</t>
        </is>
      </c>
      <c r="F548" t="inlineStr">
        <is>
          <t>Sveaskog</t>
        </is>
      </c>
      <c r="G548" t="n">
        <v>43.4</v>
      </c>
      <c r="H548" t="n">
        <v>0</v>
      </c>
      <c r="I548" t="n">
        <v>0</v>
      </c>
      <c r="J548" t="n">
        <v>0</v>
      </c>
      <c r="K548" t="n">
        <v>0</v>
      </c>
      <c r="L548" t="n">
        <v>0</v>
      </c>
      <c r="M548" t="n">
        <v>0</v>
      </c>
      <c r="N548" t="n">
        <v>0</v>
      </c>
      <c r="O548" t="n">
        <v>0</v>
      </c>
      <c r="P548" t="n">
        <v>0</v>
      </c>
      <c r="Q548" t="n">
        <v>0</v>
      </c>
      <c r="R548" s="2" t="inlineStr"/>
    </row>
    <row r="549" ht="15" customHeight="1">
      <c r="A549" t="inlineStr">
        <is>
          <t>A 64360-2023</t>
        </is>
      </c>
      <c r="B549" s="1" t="n">
        <v>45280</v>
      </c>
      <c r="C549" s="1" t="n">
        <v>46033</v>
      </c>
      <c r="D549" t="inlineStr">
        <is>
          <t>NORRBOTTENS LÄN</t>
        </is>
      </c>
      <c r="E549" t="inlineStr">
        <is>
          <t>GÄLLIVARE</t>
        </is>
      </c>
      <c r="G549" t="n">
        <v>2.1</v>
      </c>
      <c r="H549" t="n">
        <v>0</v>
      </c>
      <c r="I549" t="n">
        <v>0</v>
      </c>
      <c r="J549" t="n">
        <v>0</v>
      </c>
      <c r="K549" t="n">
        <v>0</v>
      </c>
      <c r="L549" t="n">
        <v>0</v>
      </c>
      <c r="M549" t="n">
        <v>0</v>
      </c>
      <c r="N549" t="n">
        <v>0</v>
      </c>
      <c r="O549" t="n">
        <v>0</v>
      </c>
      <c r="P549" t="n">
        <v>0</v>
      </c>
      <c r="Q549" t="n">
        <v>0</v>
      </c>
      <c r="R549" s="2" t="inlineStr"/>
    </row>
    <row r="550" ht="15" customHeight="1">
      <c r="A550" t="inlineStr">
        <is>
          <t>A 36881-2023</t>
        </is>
      </c>
      <c r="B550" s="1" t="n">
        <v>45154</v>
      </c>
      <c r="C550" s="1" t="n">
        <v>46033</v>
      </c>
      <c r="D550" t="inlineStr">
        <is>
          <t>NORRBOTTENS LÄN</t>
        </is>
      </c>
      <c r="E550" t="inlineStr">
        <is>
          <t>GÄLLIVARE</t>
        </is>
      </c>
      <c r="G550" t="n">
        <v>3.8</v>
      </c>
      <c r="H550" t="n">
        <v>0</v>
      </c>
      <c r="I550" t="n">
        <v>0</v>
      </c>
      <c r="J550" t="n">
        <v>0</v>
      </c>
      <c r="K550" t="n">
        <v>0</v>
      </c>
      <c r="L550" t="n">
        <v>0</v>
      </c>
      <c r="M550" t="n">
        <v>0</v>
      </c>
      <c r="N550" t="n">
        <v>0</v>
      </c>
      <c r="O550" t="n">
        <v>0</v>
      </c>
      <c r="P550" t="n">
        <v>0</v>
      </c>
      <c r="Q550" t="n">
        <v>0</v>
      </c>
      <c r="R550" s="2" t="inlineStr"/>
    </row>
    <row r="551" ht="15" customHeight="1">
      <c r="A551" t="inlineStr">
        <is>
          <t>A 25493-2024</t>
        </is>
      </c>
      <c r="B551" s="1" t="n">
        <v>45463</v>
      </c>
      <c r="C551" s="1" t="n">
        <v>46033</v>
      </c>
      <c r="D551" t="inlineStr">
        <is>
          <t>NORRBOTTENS LÄN</t>
        </is>
      </c>
      <c r="E551" t="inlineStr">
        <is>
          <t>GÄLLIVARE</t>
        </is>
      </c>
      <c r="G551" t="n">
        <v>5.5</v>
      </c>
      <c r="H551" t="n">
        <v>0</v>
      </c>
      <c r="I551" t="n">
        <v>0</v>
      </c>
      <c r="J551" t="n">
        <v>0</v>
      </c>
      <c r="K551" t="n">
        <v>0</v>
      </c>
      <c r="L551" t="n">
        <v>0</v>
      </c>
      <c r="M551" t="n">
        <v>0</v>
      </c>
      <c r="N551" t="n">
        <v>0</v>
      </c>
      <c r="O551" t="n">
        <v>0</v>
      </c>
      <c r="P551" t="n">
        <v>0</v>
      </c>
      <c r="Q551" t="n">
        <v>0</v>
      </c>
      <c r="R551" s="2" t="inlineStr"/>
    </row>
    <row r="552" ht="15" customHeight="1">
      <c r="A552" t="inlineStr">
        <is>
          <t>A 39559-2022</t>
        </is>
      </c>
      <c r="B552" s="1" t="n">
        <v>44818</v>
      </c>
      <c r="C552" s="1" t="n">
        <v>46033</v>
      </c>
      <c r="D552" t="inlineStr">
        <is>
          <t>NORRBOTTENS LÄN</t>
        </is>
      </c>
      <c r="E552" t="inlineStr">
        <is>
          <t>GÄLLIVARE</t>
        </is>
      </c>
      <c r="F552" t="inlineStr">
        <is>
          <t>Sveaskog</t>
        </is>
      </c>
      <c r="G552" t="n">
        <v>11.6</v>
      </c>
      <c r="H552" t="n">
        <v>0</v>
      </c>
      <c r="I552" t="n">
        <v>0</v>
      </c>
      <c r="J552" t="n">
        <v>0</v>
      </c>
      <c r="K552" t="n">
        <v>0</v>
      </c>
      <c r="L552" t="n">
        <v>0</v>
      </c>
      <c r="M552" t="n">
        <v>0</v>
      </c>
      <c r="N552" t="n">
        <v>0</v>
      </c>
      <c r="O552" t="n">
        <v>0</v>
      </c>
      <c r="P552" t="n">
        <v>0</v>
      </c>
      <c r="Q552" t="n">
        <v>0</v>
      </c>
      <c r="R552" s="2" t="inlineStr"/>
    </row>
    <row r="553" ht="15" customHeight="1">
      <c r="A553" t="inlineStr">
        <is>
          <t>A 44328-2024</t>
        </is>
      </c>
      <c r="B553" s="1" t="n">
        <v>45573</v>
      </c>
      <c r="C553" s="1" t="n">
        <v>46033</v>
      </c>
      <c r="D553" t="inlineStr">
        <is>
          <t>NORRBOTTENS LÄN</t>
        </is>
      </c>
      <c r="E553" t="inlineStr">
        <is>
          <t>GÄLLIVARE</t>
        </is>
      </c>
      <c r="G553" t="n">
        <v>1.8</v>
      </c>
      <c r="H553" t="n">
        <v>0</v>
      </c>
      <c r="I553" t="n">
        <v>0</v>
      </c>
      <c r="J553" t="n">
        <v>0</v>
      </c>
      <c r="K553" t="n">
        <v>0</v>
      </c>
      <c r="L553" t="n">
        <v>0</v>
      </c>
      <c r="M553" t="n">
        <v>0</v>
      </c>
      <c r="N553" t="n">
        <v>0</v>
      </c>
      <c r="O553" t="n">
        <v>0</v>
      </c>
      <c r="P553" t="n">
        <v>0</v>
      </c>
      <c r="Q553" t="n">
        <v>0</v>
      </c>
      <c r="R553" s="2" t="inlineStr"/>
    </row>
    <row r="554" ht="15" customHeight="1">
      <c r="A554" t="inlineStr">
        <is>
          <t>A 9650-2024</t>
        </is>
      </c>
      <c r="B554" s="1" t="n">
        <v>45362</v>
      </c>
      <c r="C554" s="1" t="n">
        <v>46033</v>
      </c>
      <c r="D554" t="inlineStr">
        <is>
          <t>NORRBOTTENS LÄN</t>
        </is>
      </c>
      <c r="E554" t="inlineStr">
        <is>
          <t>GÄLLIVARE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41713-2024</t>
        </is>
      </c>
      <c r="B555" s="1" t="n">
        <v>45560.71907407408</v>
      </c>
      <c r="C555" s="1" t="n">
        <v>46033</v>
      </c>
      <c r="D555" t="inlineStr">
        <is>
          <t>NORRBOTTENS LÄN</t>
        </is>
      </c>
      <c r="E555" t="inlineStr">
        <is>
          <t>GÄLLIVARE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53794-2024</t>
        </is>
      </c>
      <c r="B556" s="1" t="n">
        <v>45615.57726851852</v>
      </c>
      <c r="C556" s="1" t="n">
        <v>46033</v>
      </c>
      <c r="D556" t="inlineStr">
        <is>
          <t>NORRBOTTENS LÄN</t>
        </is>
      </c>
      <c r="E556" t="inlineStr">
        <is>
          <t>GÄLLIVARE</t>
        </is>
      </c>
      <c r="G556" t="n">
        <v>2.1</v>
      </c>
      <c r="H556" t="n">
        <v>0</v>
      </c>
      <c r="I556" t="n">
        <v>0</v>
      </c>
      <c r="J556" t="n">
        <v>0</v>
      </c>
      <c r="K556" t="n">
        <v>0</v>
      </c>
      <c r="L556" t="n">
        <v>0</v>
      </c>
      <c r="M556" t="n">
        <v>0</v>
      </c>
      <c r="N556" t="n">
        <v>0</v>
      </c>
      <c r="O556" t="n">
        <v>0</v>
      </c>
      <c r="P556" t="n">
        <v>0</v>
      </c>
      <c r="Q556" t="n">
        <v>0</v>
      </c>
      <c r="R556" s="2" t="inlineStr"/>
    </row>
    <row r="557" ht="15" customHeight="1">
      <c r="A557" t="inlineStr">
        <is>
          <t>A 10298-2023</t>
        </is>
      </c>
      <c r="B557" s="1" t="n">
        <v>44986</v>
      </c>
      <c r="C557" s="1" t="n">
        <v>46033</v>
      </c>
      <c r="D557" t="inlineStr">
        <is>
          <t>NORRBOTTENS LÄN</t>
        </is>
      </c>
      <c r="E557" t="inlineStr">
        <is>
          <t>GÄLLIVARE</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38751-2024</t>
        </is>
      </c>
      <c r="B558" s="1" t="n">
        <v>45547.42896990741</v>
      </c>
      <c r="C558" s="1" t="n">
        <v>46033</v>
      </c>
      <c r="D558" t="inlineStr">
        <is>
          <t>NORRBOTTENS LÄN</t>
        </is>
      </c>
      <c r="E558" t="inlineStr">
        <is>
          <t>GÄLLIVARE</t>
        </is>
      </c>
      <c r="G558" t="n">
        <v>2.3</v>
      </c>
      <c r="H558" t="n">
        <v>0</v>
      </c>
      <c r="I558" t="n">
        <v>0</v>
      </c>
      <c r="J558" t="n">
        <v>0</v>
      </c>
      <c r="K558" t="n">
        <v>0</v>
      </c>
      <c r="L558" t="n">
        <v>0</v>
      </c>
      <c r="M558" t="n">
        <v>0</v>
      </c>
      <c r="N558" t="n">
        <v>0</v>
      </c>
      <c r="O558" t="n">
        <v>0</v>
      </c>
      <c r="P558" t="n">
        <v>0</v>
      </c>
      <c r="Q558" t="n">
        <v>0</v>
      </c>
      <c r="R558" s="2" t="inlineStr"/>
    </row>
    <row r="559" ht="15" customHeight="1">
      <c r="A559" t="inlineStr">
        <is>
          <t>A 29728-2021</t>
        </is>
      </c>
      <c r="B559" s="1" t="n">
        <v>44362</v>
      </c>
      <c r="C559" s="1" t="n">
        <v>46033</v>
      </c>
      <c r="D559" t="inlineStr">
        <is>
          <t>NORRBOTTENS LÄN</t>
        </is>
      </c>
      <c r="E559" t="inlineStr">
        <is>
          <t>GÄLLIVARE</t>
        </is>
      </c>
      <c r="F559" t="inlineStr">
        <is>
          <t>Övriga statliga verk och myndigheter</t>
        </is>
      </c>
      <c r="G559" t="n">
        <v>21.2</v>
      </c>
      <c r="H559" t="n">
        <v>0</v>
      </c>
      <c r="I559" t="n">
        <v>0</v>
      </c>
      <c r="J559" t="n">
        <v>0</v>
      </c>
      <c r="K559" t="n">
        <v>0</v>
      </c>
      <c r="L559" t="n">
        <v>0</v>
      </c>
      <c r="M559" t="n">
        <v>0</v>
      </c>
      <c r="N559" t="n">
        <v>0</v>
      </c>
      <c r="O559" t="n">
        <v>0</v>
      </c>
      <c r="P559" t="n">
        <v>0</v>
      </c>
      <c r="Q559" t="n">
        <v>0</v>
      </c>
      <c r="R559" s="2" t="inlineStr"/>
    </row>
    <row r="560" ht="15" customHeight="1">
      <c r="A560" t="inlineStr">
        <is>
          <t>A 47048-2023</t>
        </is>
      </c>
      <c r="B560" s="1" t="n">
        <v>45201</v>
      </c>
      <c r="C560" s="1" t="n">
        <v>46033</v>
      </c>
      <c r="D560" t="inlineStr">
        <is>
          <t>NORRBOTTENS LÄN</t>
        </is>
      </c>
      <c r="E560" t="inlineStr">
        <is>
          <t>GÄLLIVARE</t>
        </is>
      </c>
      <c r="G560" t="n">
        <v>2.6</v>
      </c>
      <c r="H560" t="n">
        <v>0</v>
      </c>
      <c r="I560" t="n">
        <v>0</v>
      </c>
      <c r="J560" t="n">
        <v>0</v>
      </c>
      <c r="K560" t="n">
        <v>0</v>
      </c>
      <c r="L560" t="n">
        <v>0</v>
      </c>
      <c r="M560" t="n">
        <v>0</v>
      </c>
      <c r="N560" t="n">
        <v>0</v>
      </c>
      <c r="O560" t="n">
        <v>0</v>
      </c>
      <c r="P560" t="n">
        <v>0</v>
      </c>
      <c r="Q560" t="n">
        <v>0</v>
      </c>
      <c r="R560" s="2" t="inlineStr"/>
    </row>
    <row r="561" ht="15" customHeight="1">
      <c r="A561" t="inlineStr">
        <is>
          <t>A 59703-2024</t>
        </is>
      </c>
      <c r="B561" s="1" t="n">
        <v>45639</v>
      </c>
      <c r="C561" s="1" t="n">
        <v>46033</v>
      </c>
      <c r="D561" t="inlineStr">
        <is>
          <t>NORRBOTTENS LÄN</t>
        </is>
      </c>
      <c r="E561" t="inlineStr">
        <is>
          <t>GÄLLIVARE</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55221-2022</t>
        </is>
      </c>
      <c r="B562" s="1" t="n">
        <v>44886</v>
      </c>
      <c r="C562" s="1" t="n">
        <v>46033</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55223-2022</t>
        </is>
      </c>
      <c r="B563" s="1" t="n">
        <v>44886</v>
      </c>
      <c r="C563" s="1" t="n">
        <v>46033</v>
      </c>
      <c r="D563" t="inlineStr">
        <is>
          <t>NORRBOTTENS LÄN</t>
        </is>
      </c>
      <c r="E563" t="inlineStr">
        <is>
          <t>GÄLLIVARE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2538-2021</t>
        </is>
      </c>
      <c r="B564" s="1" t="n">
        <v>44214</v>
      </c>
      <c r="C564" s="1" t="n">
        <v>46033</v>
      </c>
      <c r="D564" t="inlineStr">
        <is>
          <t>NORRBOTTENS LÄN</t>
        </is>
      </c>
      <c r="E564" t="inlineStr">
        <is>
          <t>GÄLLIVARE</t>
        </is>
      </c>
      <c r="F564" t="inlineStr">
        <is>
          <t>Kommuner</t>
        </is>
      </c>
      <c r="G564" t="n">
        <v>2.7</v>
      </c>
      <c r="H564" t="n">
        <v>0</v>
      </c>
      <c r="I564" t="n">
        <v>0</v>
      </c>
      <c r="J564" t="n">
        <v>0</v>
      </c>
      <c r="K564" t="n">
        <v>0</v>
      </c>
      <c r="L564" t="n">
        <v>0</v>
      </c>
      <c r="M564" t="n">
        <v>0</v>
      </c>
      <c r="N564" t="n">
        <v>0</v>
      </c>
      <c r="O564" t="n">
        <v>0</v>
      </c>
      <c r="P564" t="n">
        <v>0</v>
      </c>
      <c r="Q564" t="n">
        <v>0</v>
      </c>
      <c r="R564" s="2" t="inlineStr"/>
    </row>
    <row r="565" ht="15" customHeight="1">
      <c r="A565" t="inlineStr">
        <is>
          <t>A 44398-2023</t>
        </is>
      </c>
      <c r="B565" s="1" t="n">
        <v>45188</v>
      </c>
      <c r="C565" s="1" t="n">
        <v>46033</v>
      </c>
      <c r="D565" t="inlineStr">
        <is>
          <t>NORRBOTTENS LÄN</t>
        </is>
      </c>
      <c r="E565" t="inlineStr">
        <is>
          <t>GÄLLIVARE</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17205-2024</t>
        </is>
      </c>
      <c r="B566" s="1" t="n">
        <v>45413.65241898148</v>
      </c>
      <c r="C566" s="1" t="n">
        <v>46033</v>
      </c>
      <c r="D566" t="inlineStr">
        <is>
          <t>NORRBOTTENS LÄN</t>
        </is>
      </c>
      <c r="E566" t="inlineStr">
        <is>
          <t>GÄLLIVARE</t>
        </is>
      </c>
      <c r="G566" t="n">
        <v>1.1</v>
      </c>
      <c r="H566" t="n">
        <v>0</v>
      </c>
      <c r="I566" t="n">
        <v>0</v>
      </c>
      <c r="J566" t="n">
        <v>0</v>
      </c>
      <c r="K566" t="n">
        <v>0</v>
      </c>
      <c r="L566" t="n">
        <v>0</v>
      </c>
      <c r="M566" t="n">
        <v>0</v>
      </c>
      <c r="N566" t="n">
        <v>0</v>
      </c>
      <c r="O566" t="n">
        <v>0</v>
      </c>
      <c r="P566" t="n">
        <v>0</v>
      </c>
      <c r="Q566" t="n">
        <v>0</v>
      </c>
      <c r="R566" s="2" t="inlineStr"/>
    </row>
    <row r="567" ht="15" customHeight="1">
      <c r="A567" t="inlineStr">
        <is>
          <t>A 4238-2023</t>
        </is>
      </c>
      <c r="B567" s="1" t="n">
        <v>44953</v>
      </c>
      <c r="C567" s="1" t="n">
        <v>46033</v>
      </c>
      <c r="D567" t="inlineStr">
        <is>
          <t>NORRBOTTENS LÄN</t>
        </is>
      </c>
      <c r="E567" t="inlineStr">
        <is>
          <t>GÄLLIVARE</t>
        </is>
      </c>
      <c r="G567" t="n">
        <v>5.1</v>
      </c>
      <c r="H567" t="n">
        <v>0</v>
      </c>
      <c r="I567" t="n">
        <v>0</v>
      </c>
      <c r="J567" t="n">
        <v>0</v>
      </c>
      <c r="K567" t="n">
        <v>0</v>
      </c>
      <c r="L567" t="n">
        <v>0</v>
      </c>
      <c r="M567" t="n">
        <v>0</v>
      </c>
      <c r="N567" t="n">
        <v>0</v>
      </c>
      <c r="O567" t="n">
        <v>0</v>
      </c>
      <c r="P567" t="n">
        <v>0</v>
      </c>
      <c r="Q567" t="n">
        <v>0</v>
      </c>
      <c r="R567" s="2" t="inlineStr"/>
    </row>
    <row r="568" ht="15" customHeight="1">
      <c r="A568" t="inlineStr">
        <is>
          <t>A 57705-2024</t>
        </is>
      </c>
      <c r="B568" s="1" t="n">
        <v>45630</v>
      </c>
      <c r="C568" s="1" t="n">
        <v>46033</v>
      </c>
      <c r="D568" t="inlineStr">
        <is>
          <t>NORRBOTTENS LÄN</t>
        </is>
      </c>
      <c r="E568" t="inlineStr">
        <is>
          <t>GÄLLIVARE</t>
        </is>
      </c>
      <c r="G568" t="n">
        <v>5.6</v>
      </c>
      <c r="H568" t="n">
        <v>0</v>
      </c>
      <c r="I568" t="n">
        <v>0</v>
      </c>
      <c r="J568" t="n">
        <v>0</v>
      </c>
      <c r="K568" t="n">
        <v>0</v>
      </c>
      <c r="L568" t="n">
        <v>0</v>
      </c>
      <c r="M568" t="n">
        <v>0</v>
      </c>
      <c r="N568" t="n">
        <v>0</v>
      </c>
      <c r="O568" t="n">
        <v>0</v>
      </c>
      <c r="P568" t="n">
        <v>0</v>
      </c>
      <c r="Q568" t="n">
        <v>0</v>
      </c>
      <c r="R568" s="2" t="inlineStr"/>
    </row>
    <row r="569" ht="15" customHeight="1">
      <c r="A569" t="inlineStr">
        <is>
          <t>A 4768-2023</t>
        </is>
      </c>
      <c r="B569" s="1" t="n">
        <v>44953</v>
      </c>
      <c r="C569" s="1" t="n">
        <v>46033</v>
      </c>
      <c r="D569" t="inlineStr">
        <is>
          <t>NORRBOTTENS LÄN</t>
        </is>
      </c>
      <c r="E569" t="inlineStr">
        <is>
          <t>GÄLLIVARE</t>
        </is>
      </c>
      <c r="G569" t="n">
        <v>7.9</v>
      </c>
      <c r="H569" t="n">
        <v>0</v>
      </c>
      <c r="I569" t="n">
        <v>0</v>
      </c>
      <c r="J569" t="n">
        <v>0</v>
      </c>
      <c r="K569" t="n">
        <v>0</v>
      </c>
      <c r="L569" t="n">
        <v>0</v>
      </c>
      <c r="M569" t="n">
        <v>0</v>
      </c>
      <c r="N569" t="n">
        <v>0</v>
      </c>
      <c r="O569" t="n">
        <v>0</v>
      </c>
      <c r="P569" t="n">
        <v>0</v>
      </c>
      <c r="Q569" t="n">
        <v>0</v>
      </c>
      <c r="R569" s="2" t="inlineStr"/>
    </row>
    <row r="570" ht="15" customHeight="1">
      <c r="A570" t="inlineStr">
        <is>
          <t>A 28046-2024</t>
        </is>
      </c>
      <c r="B570" s="1" t="n">
        <v>45476</v>
      </c>
      <c r="C570" s="1" t="n">
        <v>46033</v>
      </c>
      <c r="D570" t="inlineStr">
        <is>
          <t>NORRBOTTENS LÄN</t>
        </is>
      </c>
      <c r="E570" t="inlineStr">
        <is>
          <t>GÄLLIVARE</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59172-2022</t>
        </is>
      </c>
      <c r="B571" s="1" t="n">
        <v>44904.48228009259</v>
      </c>
      <c r="C571" s="1" t="n">
        <v>46033</v>
      </c>
      <c r="D571" t="inlineStr">
        <is>
          <t>NORRBOTTENS LÄN</t>
        </is>
      </c>
      <c r="E571" t="inlineStr">
        <is>
          <t>GÄLLIVARE</t>
        </is>
      </c>
      <c r="G571" t="n">
        <v>0.5</v>
      </c>
      <c r="H571" t="n">
        <v>0</v>
      </c>
      <c r="I571" t="n">
        <v>0</v>
      </c>
      <c r="J571" t="n">
        <v>0</v>
      </c>
      <c r="K571" t="n">
        <v>0</v>
      </c>
      <c r="L571" t="n">
        <v>0</v>
      </c>
      <c r="M571" t="n">
        <v>0</v>
      </c>
      <c r="N571" t="n">
        <v>0</v>
      </c>
      <c r="O571" t="n">
        <v>0</v>
      </c>
      <c r="P571" t="n">
        <v>0</v>
      </c>
      <c r="Q571" t="n">
        <v>0</v>
      </c>
      <c r="R571" s="2" t="inlineStr"/>
    </row>
    <row r="572" ht="15" customHeight="1">
      <c r="A572" t="inlineStr">
        <is>
          <t>A 55410-2023</t>
        </is>
      </c>
      <c r="B572" s="1" t="n">
        <v>45231</v>
      </c>
      <c r="C572" s="1" t="n">
        <v>46033</v>
      </c>
      <c r="D572" t="inlineStr">
        <is>
          <t>NORRBOTTENS LÄN</t>
        </is>
      </c>
      <c r="E572" t="inlineStr">
        <is>
          <t>GÄLLIVARE</t>
        </is>
      </c>
      <c r="G572" t="n">
        <v>1.7</v>
      </c>
      <c r="H572" t="n">
        <v>0</v>
      </c>
      <c r="I572" t="n">
        <v>0</v>
      </c>
      <c r="J572" t="n">
        <v>0</v>
      </c>
      <c r="K572" t="n">
        <v>0</v>
      </c>
      <c r="L572" t="n">
        <v>0</v>
      </c>
      <c r="M572" t="n">
        <v>0</v>
      </c>
      <c r="N572" t="n">
        <v>0</v>
      </c>
      <c r="O572" t="n">
        <v>0</v>
      </c>
      <c r="P572" t="n">
        <v>0</v>
      </c>
      <c r="Q572" t="n">
        <v>0</v>
      </c>
      <c r="R572" s="2" t="inlineStr"/>
    </row>
    <row r="573" ht="15" customHeight="1">
      <c r="A573" t="inlineStr">
        <is>
          <t>A 12202-2024</t>
        </is>
      </c>
      <c r="B573" s="1" t="n">
        <v>45377.95069444444</v>
      </c>
      <c r="C573" s="1" t="n">
        <v>46033</v>
      </c>
      <c r="D573" t="inlineStr">
        <is>
          <t>NORRBOTTENS LÄN</t>
        </is>
      </c>
      <c r="E573" t="inlineStr">
        <is>
          <t>GÄLLIVARE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45182.94725694445</v>
      </c>
      <c r="C574" s="1" t="n">
        <v>46033</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41944-2024</t>
        </is>
      </c>
      <c r="B575" s="1" t="n">
        <v>45561</v>
      </c>
      <c r="C575" s="1" t="n">
        <v>46033</v>
      </c>
      <c r="D575" t="inlineStr">
        <is>
          <t>NORRBOTTENS LÄN</t>
        </is>
      </c>
      <c r="E575" t="inlineStr">
        <is>
          <t>GÄLLIVARE</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73335-2021</t>
        </is>
      </c>
      <c r="B576" s="1" t="n">
        <v>44550</v>
      </c>
      <c r="C576" s="1" t="n">
        <v>46033</v>
      </c>
      <c r="D576" t="inlineStr">
        <is>
          <t>NORRBOTTENS LÄN</t>
        </is>
      </c>
      <c r="E576" t="inlineStr">
        <is>
          <t>GÄLLIVARE</t>
        </is>
      </c>
      <c r="G576" t="n">
        <v>1.1</v>
      </c>
      <c r="H576" t="n">
        <v>0</v>
      </c>
      <c r="I576" t="n">
        <v>0</v>
      </c>
      <c r="J576" t="n">
        <v>0</v>
      </c>
      <c r="K576" t="n">
        <v>0</v>
      </c>
      <c r="L576" t="n">
        <v>0</v>
      </c>
      <c r="M576" t="n">
        <v>0</v>
      </c>
      <c r="N576" t="n">
        <v>0</v>
      </c>
      <c r="O576" t="n">
        <v>0</v>
      </c>
      <c r="P576" t="n">
        <v>0</v>
      </c>
      <c r="Q576" t="n">
        <v>0</v>
      </c>
      <c r="R576" s="2" t="inlineStr"/>
    </row>
    <row r="577" ht="15" customHeight="1">
      <c r="A577" t="inlineStr">
        <is>
          <t>A 65517-2021</t>
        </is>
      </c>
      <c r="B577" s="1" t="n">
        <v>44516</v>
      </c>
      <c r="C577" s="1" t="n">
        <v>46033</v>
      </c>
      <c r="D577" t="inlineStr">
        <is>
          <t>NORRBOTTENS LÄN</t>
        </is>
      </c>
      <c r="E577" t="inlineStr">
        <is>
          <t>GÄLLIVARE</t>
        </is>
      </c>
      <c r="G577" t="n">
        <v>5</v>
      </c>
      <c r="H577" t="n">
        <v>0</v>
      </c>
      <c r="I577" t="n">
        <v>0</v>
      </c>
      <c r="J577" t="n">
        <v>0</v>
      </c>
      <c r="K577" t="n">
        <v>0</v>
      </c>
      <c r="L577" t="n">
        <v>0</v>
      </c>
      <c r="M577" t="n">
        <v>0</v>
      </c>
      <c r="N577" t="n">
        <v>0</v>
      </c>
      <c r="O577" t="n">
        <v>0</v>
      </c>
      <c r="P577" t="n">
        <v>0</v>
      </c>
      <c r="Q577" t="n">
        <v>0</v>
      </c>
      <c r="R577" s="2" t="inlineStr"/>
    </row>
    <row r="578" ht="15" customHeight="1">
      <c r="A578" t="inlineStr">
        <is>
          <t>A 10652-2022</t>
        </is>
      </c>
      <c r="B578" s="1" t="n">
        <v>44624</v>
      </c>
      <c r="C578" s="1" t="n">
        <v>46033</v>
      </c>
      <c r="D578" t="inlineStr">
        <is>
          <t>NORRBOTTENS LÄN</t>
        </is>
      </c>
      <c r="E578" t="inlineStr">
        <is>
          <t>GÄLLIVARE</t>
        </is>
      </c>
      <c r="G578" t="n">
        <v>7.9</v>
      </c>
      <c r="H578" t="n">
        <v>0</v>
      </c>
      <c r="I578" t="n">
        <v>0</v>
      </c>
      <c r="J578" t="n">
        <v>0</v>
      </c>
      <c r="K578" t="n">
        <v>0</v>
      </c>
      <c r="L578" t="n">
        <v>0</v>
      </c>
      <c r="M578" t="n">
        <v>0</v>
      </c>
      <c r="N578" t="n">
        <v>0</v>
      </c>
      <c r="O578" t="n">
        <v>0</v>
      </c>
      <c r="P578" t="n">
        <v>0</v>
      </c>
      <c r="Q578" t="n">
        <v>0</v>
      </c>
      <c r="R578" s="2" t="inlineStr"/>
    </row>
    <row r="579" ht="15" customHeight="1">
      <c r="A579" t="inlineStr">
        <is>
          <t>A 44981-2023</t>
        </is>
      </c>
      <c r="B579" s="1" t="n">
        <v>45190.95791666667</v>
      </c>
      <c r="C579" s="1" t="n">
        <v>46033</v>
      </c>
      <c r="D579" t="inlineStr">
        <is>
          <t>NORRBOTTENS LÄN</t>
        </is>
      </c>
      <c r="E579" t="inlineStr">
        <is>
          <t>GÄLLIVARE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55044-2023</t>
        </is>
      </c>
      <c r="B580" s="1" t="n">
        <v>45237</v>
      </c>
      <c r="C580" s="1" t="n">
        <v>46033</v>
      </c>
      <c r="D580" t="inlineStr">
        <is>
          <t>NORRBOTTENS LÄN</t>
        </is>
      </c>
      <c r="E580" t="inlineStr">
        <is>
          <t>GÄLLIVARE</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20286-2025</t>
        </is>
      </c>
      <c r="B581" s="1" t="n">
        <v>45774</v>
      </c>
      <c r="C581" s="1" t="n">
        <v>46033</v>
      </c>
      <c r="D581" t="inlineStr">
        <is>
          <t>NORRBOTTENS LÄN</t>
        </is>
      </c>
      <c r="E581" t="inlineStr">
        <is>
          <t>GÄLLIVARE</t>
        </is>
      </c>
      <c r="F581" t="inlineStr">
        <is>
          <t>SCA</t>
        </is>
      </c>
      <c r="G581" t="n">
        <v>5.1</v>
      </c>
      <c r="H581" t="n">
        <v>0</v>
      </c>
      <c r="I581" t="n">
        <v>0</v>
      </c>
      <c r="J581" t="n">
        <v>0</v>
      </c>
      <c r="K581" t="n">
        <v>0</v>
      </c>
      <c r="L581" t="n">
        <v>0</v>
      </c>
      <c r="M581" t="n">
        <v>0</v>
      </c>
      <c r="N581" t="n">
        <v>0</v>
      </c>
      <c r="O581" t="n">
        <v>0</v>
      </c>
      <c r="P581" t="n">
        <v>0</v>
      </c>
      <c r="Q581" t="n">
        <v>0</v>
      </c>
      <c r="R581" s="2" t="inlineStr"/>
    </row>
    <row r="582" ht="15" customHeight="1">
      <c r="A582" t="inlineStr">
        <is>
          <t>A 64262-2023</t>
        </is>
      </c>
      <c r="B582" s="1" t="n">
        <v>45279</v>
      </c>
      <c r="C582" s="1" t="n">
        <v>46033</v>
      </c>
      <c r="D582" t="inlineStr">
        <is>
          <t>NORRBOTTENS LÄN</t>
        </is>
      </c>
      <c r="E582" t="inlineStr">
        <is>
          <t>GÄLLIVARE</t>
        </is>
      </c>
      <c r="G582" t="n">
        <v>3.5</v>
      </c>
      <c r="H582" t="n">
        <v>0</v>
      </c>
      <c r="I582" t="n">
        <v>0</v>
      </c>
      <c r="J582" t="n">
        <v>0</v>
      </c>
      <c r="K582" t="n">
        <v>0</v>
      </c>
      <c r="L582" t="n">
        <v>0</v>
      </c>
      <c r="M582" t="n">
        <v>0</v>
      </c>
      <c r="N582" t="n">
        <v>0</v>
      </c>
      <c r="O582" t="n">
        <v>0</v>
      </c>
      <c r="P582" t="n">
        <v>0</v>
      </c>
      <c r="Q582" t="n">
        <v>0</v>
      </c>
      <c r="R582" s="2" t="inlineStr"/>
    </row>
    <row r="583" ht="15" customHeight="1">
      <c r="A583" t="inlineStr">
        <is>
          <t>A 20259-2025</t>
        </is>
      </c>
      <c r="B583" s="1" t="n">
        <v>45773.344375</v>
      </c>
      <c r="C583" s="1" t="n">
        <v>46033</v>
      </c>
      <c r="D583" t="inlineStr">
        <is>
          <t>NORRBOTTENS LÄN</t>
        </is>
      </c>
      <c r="E583" t="inlineStr">
        <is>
          <t>GÄLLIVARE</t>
        </is>
      </c>
      <c r="F583" t="inlineStr">
        <is>
          <t>SCA</t>
        </is>
      </c>
      <c r="G583" t="n">
        <v>25.2</v>
      </c>
      <c r="H583" t="n">
        <v>0</v>
      </c>
      <c r="I583" t="n">
        <v>0</v>
      </c>
      <c r="J583" t="n">
        <v>0</v>
      </c>
      <c r="K583" t="n">
        <v>0</v>
      </c>
      <c r="L583" t="n">
        <v>0</v>
      </c>
      <c r="M583" t="n">
        <v>0</v>
      </c>
      <c r="N583" t="n">
        <v>0</v>
      </c>
      <c r="O583" t="n">
        <v>0</v>
      </c>
      <c r="P583" t="n">
        <v>0</v>
      </c>
      <c r="Q583" t="n">
        <v>0</v>
      </c>
      <c r="R583" s="2" t="inlineStr"/>
    </row>
    <row r="584" ht="15" customHeight="1">
      <c r="A584" t="inlineStr">
        <is>
          <t>A 64372-2023</t>
        </is>
      </c>
      <c r="B584" s="1" t="n">
        <v>45280</v>
      </c>
      <c r="C584" s="1" t="n">
        <v>46033</v>
      </c>
      <c r="D584" t="inlineStr">
        <is>
          <t>NORRBOTTENS LÄN</t>
        </is>
      </c>
      <c r="E584" t="inlineStr">
        <is>
          <t>GÄLLIVARE</t>
        </is>
      </c>
      <c r="G584" t="n">
        <v>3.3</v>
      </c>
      <c r="H584" t="n">
        <v>0</v>
      </c>
      <c r="I584" t="n">
        <v>0</v>
      </c>
      <c r="J584" t="n">
        <v>0</v>
      </c>
      <c r="K584" t="n">
        <v>0</v>
      </c>
      <c r="L584" t="n">
        <v>0</v>
      </c>
      <c r="M584" t="n">
        <v>0</v>
      </c>
      <c r="N584" t="n">
        <v>0</v>
      </c>
      <c r="O584" t="n">
        <v>0</v>
      </c>
      <c r="P584" t="n">
        <v>0</v>
      </c>
      <c r="Q584" t="n">
        <v>0</v>
      </c>
      <c r="R584" s="2" t="inlineStr"/>
    </row>
    <row r="585" ht="15" customHeight="1">
      <c r="A585" t="inlineStr">
        <is>
          <t>A 55606-2023</t>
        </is>
      </c>
      <c r="B585" s="1" t="n">
        <v>45238</v>
      </c>
      <c r="C585" s="1" t="n">
        <v>46033</v>
      </c>
      <c r="D585" t="inlineStr">
        <is>
          <t>NORRBOTTENS LÄN</t>
        </is>
      </c>
      <c r="E585" t="inlineStr">
        <is>
          <t>GÄLLIVARE</t>
        </is>
      </c>
      <c r="G585" t="n">
        <v>2.4</v>
      </c>
      <c r="H585" t="n">
        <v>0</v>
      </c>
      <c r="I585" t="n">
        <v>0</v>
      </c>
      <c r="J585" t="n">
        <v>0</v>
      </c>
      <c r="K585" t="n">
        <v>0</v>
      </c>
      <c r="L585" t="n">
        <v>0</v>
      </c>
      <c r="M585" t="n">
        <v>0</v>
      </c>
      <c r="N585" t="n">
        <v>0</v>
      </c>
      <c r="O585" t="n">
        <v>0</v>
      </c>
      <c r="P585" t="n">
        <v>0</v>
      </c>
      <c r="Q585" t="n">
        <v>0</v>
      </c>
      <c r="R585" s="2" t="inlineStr"/>
    </row>
    <row r="586" ht="15" customHeight="1">
      <c r="A586" t="inlineStr">
        <is>
          <t>A 30781-2023</t>
        </is>
      </c>
      <c r="B586" s="1" t="n">
        <v>45112</v>
      </c>
      <c r="C586" s="1" t="n">
        <v>46033</v>
      </c>
      <c r="D586" t="inlineStr">
        <is>
          <t>NORRBOTTENS LÄN</t>
        </is>
      </c>
      <c r="E586" t="inlineStr">
        <is>
          <t>GÄLLIVARE</t>
        </is>
      </c>
      <c r="G586" t="n">
        <v>1.1</v>
      </c>
      <c r="H586" t="n">
        <v>0</v>
      </c>
      <c r="I586" t="n">
        <v>0</v>
      </c>
      <c r="J586" t="n">
        <v>0</v>
      </c>
      <c r="K586" t="n">
        <v>0</v>
      </c>
      <c r="L586" t="n">
        <v>0</v>
      </c>
      <c r="M586" t="n">
        <v>0</v>
      </c>
      <c r="N586" t="n">
        <v>0</v>
      </c>
      <c r="O586" t="n">
        <v>0</v>
      </c>
      <c r="P586" t="n">
        <v>0</v>
      </c>
      <c r="Q586" t="n">
        <v>0</v>
      </c>
      <c r="R586" s="2" t="inlineStr"/>
    </row>
    <row r="587" ht="15" customHeight="1">
      <c r="A587" t="inlineStr">
        <is>
          <t>A 2237-2023</t>
        </is>
      </c>
      <c r="B587" s="1" t="n">
        <v>44942.46430555556</v>
      </c>
      <c r="C587" s="1" t="n">
        <v>46033</v>
      </c>
      <c r="D587" t="inlineStr">
        <is>
          <t>NORRBOTTENS LÄN</t>
        </is>
      </c>
      <c r="E587" t="inlineStr">
        <is>
          <t>GÄLLIVARE</t>
        </is>
      </c>
      <c r="G587" t="n">
        <v>7</v>
      </c>
      <c r="H587" t="n">
        <v>0</v>
      </c>
      <c r="I587" t="n">
        <v>0</v>
      </c>
      <c r="J587" t="n">
        <v>0</v>
      </c>
      <c r="K587" t="n">
        <v>0</v>
      </c>
      <c r="L587" t="n">
        <v>0</v>
      </c>
      <c r="M587" t="n">
        <v>0</v>
      </c>
      <c r="N587" t="n">
        <v>0</v>
      </c>
      <c r="O587" t="n">
        <v>0</v>
      </c>
      <c r="P587" t="n">
        <v>0</v>
      </c>
      <c r="Q587" t="n">
        <v>0</v>
      </c>
      <c r="R587" s="2" t="inlineStr"/>
    </row>
    <row r="588" ht="15" customHeight="1">
      <c r="A588" t="inlineStr">
        <is>
          <t>A 41843-2024</t>
        </is>
      </c>
      <c r="B588" s="1" t="n">
        <v>45561</v>
      </c>
      <c r="C588" s="1" t="n">
        <v>46033</v>
      </c>
      <c r="D588" t="inlineStr">
        <is>
          <t>NORRBOTTENS LÄN</t>
        </is>
      </c>
      <c r="E588" t="inlineStr">
        <is>
          <t>GÄLLIVARE</t>
        </is>
      </c>
      <c r="G588" t="n">
        <v>3.1</v>
      </c>
      <c r="H588" t="n">
        <v>0</v>
      </c>
      <c r="I588" t="n">
        <v>0</v>
      </c>
      <c r="J588" t="n">
        <v>0</v>
      </c>
      <c r="K588" t="n">
        <v>0</v>
      </c>
      <c r="L588" t="n">
        <v>0</v>
      </c>
      <c r="M588" t="n">
        <v>0</v>
      </c>
      <c r="N588" t="n">
        <v>0</v>
      </c>
      <c r="O588" t="n">
        <v>0</v>
      </c>
      <c r="P588" t="n">
        <v>0</v>
      </c>
      <c r="Q588" t="n">
        <v>0</v>
      </c>
      <c r="R588" s="2" t="inlineStr"/>
    </row>
    <row r="589" ht="15" customHeight="1">
      <c r="A589" t="inlineStr">
        <is>
          <t>A 41870-2024</t>
        </is>
      </c>
      <c r="B589" s="1" t="n">
        <v>45561</v>
      </c>
      <c r="C589" s="1" t="n">
        <v>46033</v>
      </c>
      <c r="D589" t="inlineStr">
        <is>
          <t>NORRBOTTENS LÄN</t>
        </is>
      </c>
      <c r="E589" t="inlineStr">
        <is>
          <t>GÄLLIVARE</t>
        </is>
      </c>
      <c r="G589" t="n">
        <v>1.8</v>
      </c>
      <c r="H589" t="n">
        <v>0</v>
      </c>
      <c r="I589" t="n">
        <v>0</v>
      </c>
      <c r="J589" t="n">
        <v>0</v>
      </c>
      <c r="K589" t="n">
        <v>0</v>
      </c>
      <c r="L589" t="n">
        <v>0</v>
      </c>
      <c r="M589" t="n">
        <v>0</v>
      </c>
      <c r="N589" t="n">
        <v>0</v>
      </c>
      <c r="O589" t="n">
        <v>0</v>
      </c>
      <c r="P589" t="n">
        <v>0</v>
      </c>
      <c r="Q589" t="n">
        <v>0</v>
      </c>
      <c r="R589" s="2" t="inlineStr"/>
    </row>
    <row r="590" ht="15" customHeight="1">
      <c r="A590" t="inlineStr">
        <is>
          <t>A 55407-2023</t>
        </is>
      </c>
      <c r="B590" s="1" t="n">
        <v>45231</v>
      </c>
      <c r="C590" s="1" t="n">
        <v>46033</v>
      </c>
      <c r="D590" t="inlineStr">
        <is>
          <t>NORRBOTTENS LÄN</t>
        </is>
      </c>
      <c r="E590" t="inlineStr">
        <is>
          <t>GÄLLIVARE</t>
        </is>
      </c>
      <c r="G590" t="n">
        <v>6.3</v>
      </c>
      <c r="H590" t="n">
        <v>0</v>
      </c>
      <c r="I590" t="n">
        <v>0</v>
      </c>
      <c r="J590" t="n">
        <v>0</v>
      </c>
      <c r="K590" t="n">
        <v>0</v>
      </c>
      <c r="L590" t="n">
        <v>0</v>
      </c>
      <c r="M590" t="n">
        <v>0</v>
      </c>
      <c r="N590" t="n">
        <v>0</v>
      </c>
      <c r="O590" t="n">
        <v>0</v>
      </c>
      <c r="P590" t="n">
        <v>0</v>
      </c>
      <c r="Q590" t="n">
        <v>0</v>
      </c>
      <c r="R590" s="2" t="inlineStr"/>
    </row>
    <row r="591" ht="15" customHeight="1">
      <c r="A591" t="inlineStr">
        <is>
          <t>A 54281-2024</t>
        </is>
      </c>
      <c r="B591" s="1" t="n">
        <v>45616</v>
      </c>
      <c r="C591" s="1" t="n">
        <v>46033</v>
      </c>
      <c r="D591" t="inlineStr">
        <is>
          <t>NORRBOTTENS LÄN</t>
        </is>
      </c>
      <c r="E591" t="inlineStr">
        <is>
          <t>GÄLLIVARE</t>
        </is>
      </c>
      <c r="G591" t="n">
        <v>0.3</v>
      </c>
      <c r="H591" t="n">
        <v>0</v>
      </c>
      <c r="I591" t="n">
        <v>0</v>
      </c>
      <c r="J591" t="n">
        <v>0</v>
      </c>
      <c r="K591" t="n">
        <v>0</v>
      </c>
      <c r="L591" t="n">
        <v>0</v>
      </c>
      <c r="M591" t="n">
        <v>0</v>
      </c>
      <c r="N591" t="n">
        <v>0</v>
      </c>
      <c r="O591" t="n">
        <v>0</v>
      </c>
      <c r="P591" t="n">
        <v>0</v>
      </c>
      <c r="Q591" t="n">
        <v>0</v>
      </c>
      <c r="R591" s="2" t="inlineStr"/>
    </row>
    <row r="592" ht="15" customHeight="1">
      <c r="A592" t="inlineStr">
        <is>
          <t>A 61468-2024</t>
        </is>
      </c>
      <c r="B592" s="1" t="n">
        <v>45646</v>
      </c>
      <c r="C592" s="1" t="n">
        <v>46033</v>
      </c>
      <c r="D592" t="inlineStr">
        <is>
          <t>NORRBOTTENS LÄN</t>
        </is>
      </c>
      <c r="E592" t="inlineStr">
        <is>
          <t>GÄLLIVARE</t>
        </is>
      </c>
      <c r="G592" t="n">
        <v>1.5</v>
      </c>
      <c r="H592" t="n">
        <v>0</v>
      </c>
      <c r="I592" t="n">
        <v>0</v>
      </c>
      <c r="J592" t="n">
        <v>0</v>
      </c>
      <c r="K592" t="n">
        <v>0</v>
      </c>
      <c r="L592" t="n">
        <v>0</v>
      </c>
      <c r="M592" t="n">
        <v>0</v>
      </c>
      <c r="N592" t="n">
        <v>0</v>
      </c>
      <c r="O592" t="n">
        <v>0</v>
      </c>
      <c r="P592" t="n">
        <v>0</v>
      </c>
      <c r="Q592" t="n">
        <v>0</v>
      </c>
      <c r="R592" s="2" t="inlineStr"/>
    </row>
    <row r="593" ht="15" customHeight="1">
      <c r="A593" t="inlineStr">
        <is>
          <t>A 4633-2025</t>
        </is>
      </c>
      <c r="B593" s="1" t="n">
        <v>45687</v>
      </c>
      <c r="C593" s="1" t="n">
        <v>46033</v>
      </c>
      <c r="D593" t="inlineStr">
        <is>
          <t>NORRBOTTENS LÄN</t>
        </is>
      </c>
      <c r="E593" t="inlineStr">
        <is>
          <t>GÄLLIVARE</t>
        </is>
      </c>
      <c r="G593" t="n">
        <v>11.8</v>
      </c>
      <c r="H593" t="n">
        <v>0</v>
      </c>
      <c r="I593" t="n">
        <v>0</v>
      </c>
      <c r="J593" t="n">
        <v>0</v>
      </c>
      <c r="K593" t="n">
        <v>0</v>
      </c>
      <c r="L593" t="n">
        <v>0</v>
      </c>
      <c r="M593" t="n">
        <v>0</v>
      </c>
      <c r="N593" t="n">
        <v>0</v>
      </c>
      <c r="O593" t="n">
        <v>0</v>
      </c>
      <c r="P593" t="n">
        <v>0</v>
      </c>
      <c r="Q593" t="n">
        <v>0</v>
      </c>
      <c r="R593" s="2" t="inlineStr"/>
    </row>
    <row r="594" ht="15" customHeight="1">
      <c r="A594" t="inlineStr">
        <is>
          <t>A 62496-2022</t>
        </is>
      </c>
      <c r="B594" s="1" t="n">
        <v>44916</v>
      </c>
      <c r="C594" s="1" t="n">
        <v>46033</v>
      </c>
      <c r="D594" t="inlineStr">
        <is>
          <t>NORRBOTTENS LÄN</t>
        </is>
      </c>
      <c r="E594" t="inlineStr">
        <is>
          <t>GÄLLIVARE</t>
        </is>
      </c>
      <c r="G594" t="n">
        <v>23.4</v>
      </c>
      <c r="H594" t="n">
        <v>0</v>
      </c>
      <c r="I594" t="n">
        <v>0</v>
      </c>
      <c r="J594" t="n">
        <v>0</v>
      </c>
      <c r="K594" t="n">
        <v>0</v>
      </c>
      <c r="L594" t="n">
        <v>0</v>
      </c>
      <c r="M594" t="n">
        <v>0</v>
      </c>
      <c r="N594" t="n">
        <v>0</v>
      </c>
      <c r="O594" t="n">
        <v>0</v>
      </c>
      <c r="P594" t="n">
        <v>0</v>
      </c>
      <c r="Q594" t="n">
        <v>0</v>
      </c>
      <c r="R594" s="2" t="inlineStr"/>
    </row>
    <row r="595" ht="15" customHeight="1">
      <c r="A595" t="inlineStr">
        <is>
          <t>A 59697-2024</t>
        </is>
      </c>
      <c r="B595" s="1" t="n">
        <v>45639</v>
      </c>
      <c r="C595" s="1" t="n">
        <v>46033</v>
      </c>
      <c r="D595" t="inlineStr">
        <is>
          <t>NORRBOTTENS LÄN</t>
        </is>
      </c>
      <c r="E595" t="inlineStr">
        <is>
          <t>GÄLLIVARE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11783-2025</t>
        </is>
      </c>
      <c r="B596" s="1" t="n">
        <v>45727.71951388889</v>
      </c>
      <c r="C596" s="1" t="n">
        <v>46033</v>
      </c>
      <c r="D596" t="inlineStr">
        <is>
          <t>NORRBOTTENS LÄN</t>
        </is>
      </c>
      <c r="E596" t="inlineStr">
        <is>
          <t>GÄLLIVARE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46033</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30367-2024</t>
        </is>
      </c>
      <c r="B598" s="1" t="n">
        <v>45491</v>
      </c>
      <c r="C598" s="1" t="n">
        <v>46033</v>
      </c>
      <c r="D598" t="inlineStr">
        <is>
          <t>NORRBOTTENS LÄN</t>
        </is>
      </c>
      <c r="E598" t="inlineStr">
        <is>
          <t>GÄLLIVARE</t>
        </is>
      </c>
      <c r="G598" t="n">
        <v>8</v>
      </c>
      <c r="H598" t="n">
        <v>0</v>
      </c>
      <c r="I598" t="n">
        <v>0</v>
      </c>
      <c r="J598" t="n">
        <v>0</v>
      </c>
      <c r="K598" t="n">
        <v>0</v>
      </c>
      <c r="L598" t="n">
        <v>0</v>
      </c>
      <c r="M598" t="n">
        <v>0</v>
      </c>
      <c r="N598" t="n">
        <v>0</v>
      </c>
      <c r="O598" t="n">
        <v>0</v>
      </c>
      <c r="P598" t="n">
        <v>0</v>
      </c>
      <c r="Q598" t="n">
        <v>0</v>
      </c>
      <c r="R598" s="2" t="inlineStr"/>
    </row>
    <row r="599">
      <c r="A599" t="inlineStr">
        <is>
          <t>A 20884-2025</t>
        </is>
      </c>
      <c r="B599" s="1" t="n">
        <v>45777</v>
      </c>
      <c r="C599" s="1" t="n">
        <v>46033</v>
      </c>
      <c r="D599" t="inlineStr">
        <is>
          <t>NORRBOTTENS LÄN</t>
        </is>
      </c>
      <c r="E599" t="inlineStr">
        <is>
          <t>GÄLLIVARE</t>
        </is>
      </c>
      <c r="F599" t="inlineStr">
        <is>
          <t>Sveaskog</t>
        </is>
      </c>
      <c r="G599" t="n">
        <v>3.1</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2026-01-11T10:51:06Z</dcterms:created>
  <dcterms:modified xmlns:dcterms="http://purl.org/dc/terms/" xmlns:xsi="http://www.w3.org/2001/XMLSchema-instance" xsi:type="dcterms:W3CDTF">2026-01-11T10:51:07Z</dcterms:modified>
</cp:coreProperties>
</file>