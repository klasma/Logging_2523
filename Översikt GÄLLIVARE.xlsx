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45972</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45972</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45972</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45947.49844907408</v>
      </c>
      <c r="C10" s="1" t="n">
        <v>45972</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45972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45972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45972</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45972</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45972</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45972</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45972</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45972</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45972</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36293-2025</t>
        </is>
      </c>
      <c r="B20" s="1" t="n">
        <v>45867</v>
      </c>
      <c r="C20" s="1" t="n">
        <v>45972</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45972</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45972</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47013-2025</t>
        </is>
      </c>
      <c r="B23" s="1" t="n">
        <v>45929.57364583333</v>
      </c>
      <c r="C23" s="1" t="n">
        <v>45972</v>
      </c>
      <c r="D23" t="inlineStr">
        <is>
          <t>NORRBOTTENS LÄN</t>
        </is>
      </c>
      <c r="E23" t="inlineStr">
        <is>
          <t>GÄLLIVARE</t>
        </is>
      </c>
      <c r="F23" t="inlineStr">
        <is>
          <t>SCA</t>
        </is>
      </c>
      <c r="G23" t="n">
        <v>14.1</v>
      </c>
      <c r="H23" t="n">
        <v>4</v>
      </c>
      <c r="I23" t="n">
        <v>1</v>
      </c>
      <c r="J23" t="n">
        <v>1</v>
      </c>
      <c r="K23" t="n">
        <v>0</v>
      </c>
      <c r="L23" t="n">
        <v>0</v>
      </c>
      <c r="M23" t="n">
        <v>0</v>
      </c>
      <c r="N23" t="n">
        <v>0</v>
      </c>
      <c r="O23" t="n">
        <v>1</v>
      </c>
      <c r="P23" t="n">
        <v>0</v>
      </c>
      <c r="Q23" t="n">
        <v>4</v>
      </c>
      <c r="R23" s="2" t="inlineStr">
        <is>
          <t>Spillkråka
Plattlummer
Mattlummer
Revlummer</t>
        </is>
      </c>
      <c r="S23">
        <f>HYPERLINK("https://klasma.github.io/Logging_2523/artfynd/A 47013-2025 artfynd.xlsx", "A 47013-2025")</f>
        <v/>
      </c>
      <c r="T23">
        <f>HYPERLINK("https://klasma.github.io/Logging_2523/kartor/A 47013-2025 karta.png", "A 47013-2025")</f>
        <v/>
      </c>
      <c r="V23">
        <f>HYPERLINK("https://klasma.github.io/Logging_2523/klagomål/A 47013-2025 FSC-klagomål.docx", "A 47013-2025")</f>
        <v/>
      </c>
      <c r="W23">
        <f>HYPERLINK("https://klasma.github.io/Logging_2523/klagomålsmail/A 47013-2025 FSC-klagomål mail.docx", "A 47013-2025")</f>
        <v/>
      </c>
      <c r="X23">
        <f>HYPERLINK("https://klasma.github.io/Logging_2523/tillsyn/A 47013-2025 tillsynsbegäran.docx", "A 47013-2025")</f>
        <v/>
      </c>
      <c r="Y23">
        <f>HYPERLINK("https://klasma.github.io/Logging_2523/tillsynsmail/A 47013-2025 tillsynsbegäran mail.docx", "A 47013-2025")</f>
        <v/>
      </c>
      <c r="Z23">
        <f>HYPERLINK("https://klasma.github.io/Logging_2523/fåglar/A 47013-2025 prioriterade fågelarter.docx", "A 47013-2025")</f>
        <v/>
      </c>
    </row>
    <row r="24" ht="15" customHeight="1">
      <c r="A24" t="inlineStr">
        <is>
          <t>A 15152-2025</t>
        </is>
      </c>
      <c r="B24" s="1" t="n">
        <v>45744</v>
      </c>
      <c r="C24" s="1" t="n">
        <v>45972</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24185-2025</t>
        </is>
      </c>
      <c r="B25" s="1" t="n">
        <v>45796</v>
      </c>
      <c r="C25" s="1" t="n">
        <v>45972</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45972</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45972</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14482-2023</t>
        </is>
      </c>
      <c r="B28" s="1" t="n">
        <v>45012</v>
      </c>
      <c r="C28" s="1" t="n">
        <v>45972</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44392-2024</t>
        </is>
      </c>
      <c r="B29" s="1" t="n">
        <v>45573</v>
      </c>
      <c r="C29" s="1" t="n">
        <v>45972</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39961-2025</t>
        </is>
      </c>
      <c r="B30" s="1" t="n">
        <v>45892.49017361111</v>
      </c>
      <c r="C30" s="1" t="n">
        <v>45972</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42548-2021</t>
        </is>
      </c>
      <c r="B31" s="1" t="n">
        <v>44427</v>
      </c>
      <c r="C31" s="1" t="n">
        <v>45972</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45972</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5728-2025</t>
        </is>
      </c>
      <c r="B33" s="1" t="n">
        <v>45694</v>
      </c>
      <c r="C33" s="1" t="n">
        <v>45972</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36981-2023</t>
        </is>
      </c>
      <c r="B34" s="1" t="n">
        <v>45154</v>
      </c>
      <c r="C34" s="1" t="n">
        <v>45972</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46856-2023</t>
        </is>
      </c>
      <c r="B35" s="1" t="n">
        <v>45199</v>
      </c>
      <c r="C35" s="1" t="n">
        <v>45972</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15155-2025</t>
        </is>
      </c>
      <c r="B36" s="1" t="n">
        <v>45744</v>
      </c>
      <c r="C36" s="1" t="n">
        <v>45972</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36248-2023</t>
        </is>
      </c>
      <c r="B37" s="1" t="n">
        <v>45150</v>
      </c>
      <c r="C37" s="1" t="n">
        <v>45972</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41134-2025</t>
        </is>
      </c>
      <c r="B38" s="1" t="n">
        <v>45898.48373842592</v>
      </c>
      <c r="C38" s="1" t="n">
        <v>45972</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45972</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27115-2025</t>
        </is>
      </c>
      <c r="B40" s="1" t="n">
        <v>45811.74119212963</v>
      </c>
      <c r="C40" s="1" t="n">
        <v>45972</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41651-2023</t>
        </is>
      </c>
      <c r="B41" s="1" t="n">
        <v>45175</v>
      </c>
      <c r="C41" s="1" t="n">
        <v>45972</v>
      </c>
      <c r="D41" t="inlineStr">
        <is>
          <t>NORRBOTTENS LÄN</t>
        </is>
      </c>
      <c r="E41" t="inlineStr">
        <is>
          <t>GÄLLIVARE</t>
        </is>
      </c>
      <c r="F41" t="inlineStr">
        <is>
          <t>SCA</t>
        </is>
      </c>
      <c r="G41" t="n">
        <v>2.7</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41651-2023 artfynd.xlsx", "A 41651-2023")</f>
        <v/>
      </c>
      <c r="T41">
        <f>HYPERLINK("https://klasma.github.io/Logging_2523/kartor/A 41651-2023 karta.png", "A 41651-2023")</f>
        <v/>
      </c>
      <c r="V41">
        <f>HYPERLINK("https://klasma.github.io/Logging_2523/klagomål/A 41651-2023 FSC-klagomål.docx", "A 41651-2023")</f>
        <v/>
      </c>
      <c r="W41">
        <f>HYPERLINK("https://klasma.github.io/Logging_2523/klagomålsmail/A 41651-2023 FSC-klagomål mail.docx", "A 41651-2023")</f>
        <v/>
      </c>
      <c r="X41">
        <f>HYPERLINK("https://klasma.github.io/Logging_2523/tillsyn/A 41651-2023 tillsynsbegäran.docx", "A 41651-2023")</f>
        <v/>
      </c>
      <c r="Y41">
        <f>HYPERLINK("https://klasma.github.io/Logging_2523/tillsynsmail/A 41651-2023 tillsynsbegäran mail.docx", "A 41651-2023")</f>
        <v/>
      </c>
      <c r="Z41">
        <f>HYPERLINK("https://klasma.github.io/Logging_2523/fåglar/A 41651-2023 prioriterade fågelarter.docx", "A 41651-2023")</f>
        <v/>
      </c>
    </row>
    <row r="42" ht="15" customHeight="1">
      <c r="A42" t="inlineStr">
        <is>
          <t>A 36252-2023</t>
        </is>
      </c>
      <c r="B42" s="1" t="n">
        <v>45150</v>
      </c>
      <c r="C42" s="1" t="n">
        <v>45972</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41650-2023</t>
        </is>
      </c>
      <c r="B43" s="1" t="n">
        <v>45175</v>
      </c>
      <c r="C43" s="1" t="n">
        <v>45972</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52205-2025</t>
        </is>
      </c>
      <c r="B44" s="1" t="n">
        <v>45953.40945601852</v>
      </c>
      <c r="C44" s="1" t="n">
        <v>45972</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45828-2025</t>
        </is>
      </c>
      <c r="B45" s="1" t="n">
        <v>45923.6009375</v>
      </c>
      <c r="C45" s="1" t="n">
        <v>45972</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36908-2025</t>
        </is>
      </c>
      <c r="B46" s="1" t="n">
        <v>45874.49350694445</v>
      </c>
      <c r="C46" s="1" t="n">
        <v>45972</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43092-2021</t>
        </is>
      </c>
      <c r="B47" s="1" t="n">
        <v>44431</v>
      </c>
      <c r="C47" s="1" t="n">
        <v>45972</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45972</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47206-2025</t>
        </is>
      </c>
      <c r="B49" s="1" t="n">
        <v>45930.37155092593</v>
      </c>
      <c r="C49" s="1" t="n">
        <v>45972</v>
      </c>
      <c r="D49" t="inlineStr">
        <is>
          <t>NORRBOTTENS LÄN</t>
        </is>
      </c>
      <c r="E49" t="inlineStr">
        <is>
          <t>GÄLLIVARE</t>
        </is>
      </c>
      <c r="F49" t="inlineStr">
        <is>
          <t>Sveaskog</t>
        </is>
      </c>
      <c r="G49" t="n">
        <v>9.800000000000001</v>
      </c>
      <c r="H49" t="n">
        <v>0</v>
      </c>
      <c r="I49" t="n">
        <v>1</v>
      </c>
      <c r="J49" t="n">
        <v>0</v>
      </c>
      <c r="K49" t="n">
        <v>0</v>
      </c>
      <c r="L49" t="n">
        <v>0</v>
      </c>
      <c r="M49" t="n">
        <v>0</v>
      </c>
      <c r="N49" t="n">
        <v>0</v>
      </c>
      <c r="O49" t="n">
        <v>0</v>
      </c>
      <c r="P49" t="n">
        <v>0</v>
      </c>
      <c r="Q49" t="n">
        <v>1</v>
      </c>
      <c r="R49" s="2" t="inlineStr">
        <is>
          <t>Dropptaggsvamp</t>
        </is>
      </c>
      <c r="S49">
        <f>HYPERLINK("https://klasma.github.io/Logging_2523/artfynd/A 47206-2025 artfynd.xlsx", "A 47206-2025")</f>
        <v/>
      </c>
      <c r="T49">
        <f>HYPERLINK("https://klasma.github.io/Logging_2523/kartor/A 47206-2025 karta.png", "A 47206-2025")</f>
        <v/>
      </c>
      <c r="V49">
        <f>HYPERLINK("https://klasma.github.io/Logging_2523/klagomål/A 47206-2025 FSC-klagomål.docx", "A 47206-2025")</f>
        <v/>
      </c>
      <c r="W49">
        <f>HYPERLINK("https://klasma.github.io/Logging_2523/klagomålsmail/A 47206-2025 FSC-klagomål mail.docx", "A 47206-2025")</f>
        <v/>
      </c>
      <c r="X49">
        <f>HYPERLINK("https://klasma.github.io/Logging_2523/tillsyn/A 47206-2025 tillsynsbegäran.docx", "A 47206-2025")</f>
        <v/>
      </c>
      <c r="Y49">
        <f>HYPERLINK("https://klasma.github.io/Logging_2523/tillsynsmail/A 47206-2025 tillsynsbegäran mail.docx", "A 47206-2025")</f>
        <v/>
      </c>
    </row>
    <row r="50" ht="15" customHeight="1">
      <c r="A50" t="inlineStr">
        <is>
          <t>A 57535-2021</t>
        </is>
      </c>
      <c r="B50" s="1" t="n">
        <v>44483</v>
      </c>
      <c r="C50" s="1" t="n">
        <v>45972</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40151-2025</t>
        </is>
      </c>
      <c r="B51" s="1" t="n">
        <v>45894</v>
      </c>
      <c r="C51" s="1" t="n">
        <v>45972</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4891-2025</t>
        </is>
      </c>
      <c r="B52" s="1" t="n">
        <v>45688</v>
      </c>
      <c r="C52" s="1" t="n">
        <v>45972</v>
      </c>
      <c r="D52" t="inlineStr">
        <is>
          <t>NORRBOTTENS LÄN</t>
        </is>
      </c>
      <c r="E52" t="inlineStr">
        <is>
          <t>GÄLLIVARE</t>
        </is>
      </c>
      <c r="F52" t="inlineStr">
        <is>
          <t>SCA</t>
        </is>
      </c>
      <c r="G52" t="n">
        <v>1.3</v>
      </c>
      <c r="H52" t="n">
        <v>0</v>
      </c>
      <c r="I52" t="n">
        <v>0</v>
      </c>
      <c r="J52" t="n">
        <v>1</v>
      </c>
      <c r="K52" t="n">
        <v>0</v>
      </c>
      <c r="L52" t="n">
        <v>0</v>
      </c>
      <c r="M52" t="n">
        <v>0</v>
      </c>
      <c r="N52" t="n">
        <v>0</v>
      </c>
      <c r="O52" t="n">
        <v>1</v>
      </c>
      <c r="P52" t="n">
        <v>0</v>
      </c>
      <c r="Q52" t="n">
        <v>1</v>
      </c>
      <c r="R52" s="2" t="inlineStr">
        <is>
          <t>Tallticka</t>
        </is>
      </c>
      <c r="S52">
        <f>HYPERLINK("https://klasma.github.io/Logging_2523/artfynd/A 4891-2025 artfynd.xlsx", "A 4891-2025")</f>
        <v/>
      </c>
      <c r="T52">
        <f>HYPERLINK("https://klasma.github.io/Logging_2523/kartor/A 4891-2025 karta.png", "A 4891-2025")</f>
        <v/>
      </c>
      <c r="V52">
        <f>HYPERLINK("https://klasma.github.io/Logging_2523/klagomål/A 4891-2025 FSC-klagomål.docx", "A 4891-2025")</f>
        <v/>
      </c>
      <c r="W52">
        <f>HYPERLINK("https://klasma.github.io/Logging_2523/klagomålsmail/A 4891-2025 FSC-klagomål mail.docx", "A 4891-2025")</f>
        <v/>
      </c>
      <c r="X52">
        <f>HYPERLINK("https://klasma.github.io/Logging_2523/tillsyn/A 4891-2025 tillsynsbegäran.docx", "A 4891-2025")</f>
        <v/>
      </c>
      <c r="Y52">
        <f>HYPERLINK("https://klasma.github.io/Logging_2523/tillsynsmail/A 4891-2025 tillsynsbegäran mail.docx", "A 4891-2025")</f>
        <v/>
      </c>
    </row>
    <row r="53" ht="15" customHeight="1">
      <c r="A53" t="inlineStr">
        <is>
          <t>A 51389-2023</t>
        </is>
      </c>
      <c r="B53" s="1" t="n">
        <v>45213</v>
      </c>
      <c r="C53" s="1" t="n">
        <v>45972</v>
      </c>
      <c r="D53" t="inlineStr">
        <is>
          <t>NORRBOTTENS LÄN</t>
        </is>
      </c>
      <c r="E53" t="inlineStr">
        <is>
          <t>GÄLLIVARE</t>
        </is>
      </c>
      <c r="G53" t="n">
        <v>4.5</v>
      </c>
      <c r="H53" t="n">
        <v>1</v>
      </c>
      <c r="I53" t="n">
        <v>0</v>
      </c>
      <c r="J53" t="n">
        <v>1</v>
      </c>
      <c r="K53" t="n">
        <v>0</v>
      </c>
      <c r="L53" t="n">
        <v>0</v>
      </c>
      <c r="M53" t="n">
        <v>0</v>
      </c>
      <c r="N53" t="n">
        <v>0</v>
      </c>
      <c r="O53" t="n">
        <v>1</v>
      </c>
      <c r="P53" t="n">
        <v>0</v>
      </c>
      <c r="Q53" t="n">
        <v>1</v>
      </c>
      <c r="R53" s="2" t="inlineStr">
        <is>
          <t>Spillkråka</t>
        </is>
      </c>
      <c r="S53">
        <f>HYPERLINK("https://klasma.github.io/Logging_2523/artfynd/A 51389-2023 artfynd.xlsx", "A 51389-2023")</f>
        <v/>
      </c>
      <c r="T53">
        <f>HYPERLINK("https://klasma.github.io/Logging_2523/kartor/A 51389-2023 karta.png", "A 51389-2023")</f>
        <v/>
      </c>
      <c r="V53">
        <f>HYPERLINK("https://klasma.github.io/Logging_2523/klagomål/A 51389-2023 FSC-klagomål.docx", "A 51389-2023")</f>
        <v/>
      </c>
      <c r="W53">
        <f>HYPERLINK("https://klasma.github.io/Logging_2523/klagomålsmail/A 51389-2023 FSC-klagomål mail.docx", "A 51389-2023")</f>
        <v/>
      </c>
      <c r="X53">
        <f>HYPERLINK("https://klasma.github.io/Logging_2523/tillsyn/A 51389-2023 tillsynsbegäran.docx", "A 51389-2023")</f>
        <v/>
      </c>
      <c r="Y53">
        <f>HYPERLINK("https://klasma.github.io/Logging_2523/tillsynsmail/A 51389-2023 tillsynsbegäran mail.docx", "A 51389-2023")</f>
        <v/>
      </c>
      <c r="Z53">
        <f>HYPERLINK("https://klasma.github.io/Logging_2523/fåglar/A 51389-2023 prioriterade fågelarter.docx", "A 51389-2023")</f>
        <v/>
      </c>
    </row>
    <row r="54" ht="15" customHeight="1">
      <c r="A54" t="inlineStr">
        <is>
          <t>A 39968-2025</t>
        </is>
      </c>
      <c r="B54" s="1" t="n">
        <v>45892.6153125</v>
      </c>
      <c r="C54" s="1" t="n">
        <v>45972</v>
      </c>
      <c r="D54" t="inlineStr">
        <is>
          <t>NORRBOTTENS LÄN</t>
        </is>
      </c>
      <c r="E54" t="inlineStr">
        <is>
          <t>GÄLLIVARE</t>
        </is>
      </c>
      <c r="F54" t="inlineStr">
        <is>
          <t>SCA</t>
        </is>
      </c>
      <c r="G54" t="n">
        <v>3.4</v>
      </c>
      <c r="H54" t="n">
        <v>0</v>
      </c>
      <c r="I54" t="n">
        <v>0</v>
      </c>
      <c r="J54" t="n">
        <v>1</v>
      </c>
      <c r="K54" t="n">
        <v>0</v>
      </c>
      <c r="L54" t="n">
        <v>0</v>
      </c>
      <c r="M54" t="n">
        <v>0</v>
      </c>
      <c r="N54" t="n">
        <v>0</v>
      </c>
      <c r="O54" t="n">
        <v>1</v>
      </c>
      <c r="P54" t="n">
        <v>0</v>
      </c>
      <c r="Q54" t="n">
        <v>1</v>
      </c>
      <c r="R54" s="2" t="inlineStr">
        <is>
          <t>Violmussling</t>
        </is>
      </c>
      <c r="S54">
        <f>HYPERLINK("https://klasma.github.io/Logging_2523/artfynd/A 39968-2025 artfynd.xlsx", "A 39968-2025")</f>
        <v/>
      </c>
      <c r="T54">
        <f>HYPERLINK("https://klasma.github.io/Logging_2523/kartor/A 39968-2025 karta.png", "A 39968-2025")</f>
        <v/>
      </c>
      <c r="V54">
        <f>HYPERLINK("https://klasma.github.io/Logging_2523/klagomål/A 39968-2025 FSC-klagomål.docx", "A 39968-2025")</f>
        <v/>
      </c>
      <c r="W54">
        <f>HYPERLINK("https://klasma.github.io/Logging_2523/klagomålsmail/A 39968-2025 FSC-klagomål mail.docx", "A 39968-2025")</f>
        <v/>
      </c>
      <c r="X54">
        <f>HYPERLINK("https://klasma.github.io/Logging_2523/tillsyn/A 39968-2025 tillsynsbegäran.docx", "A 39968-2025")</f>
        <v/>
      </c>
      <c r="Y54">
        <f>HYPERLINK("https://klasma.github.io/Logging_2523/tillsynsmail/A 39968-2025 tillsynsbegäran mail.docx", "A 39968-2025")</f>
        <v/>
      </c>
    </row>
    <row r="55" ht="15" customHeight="1">
      <c r="A55" t="inlineStr">
        <is>
          <t>A 18043-2024</t>
        </is>
      </c>
      <c r="B55" s="1" t="n">
        <v>45420</v>
      </c>
      <c r="C55" s="1" t="n">
        <v>45972</v>
      </c>
      <c r="D55" t="inlineStr">
        <is>
          <t>NORRBOTTENS LÄN</t>
        </is>
      </c>
      <c r="E55" t="inlineStr">
        <is>
          <t>GÄLLIVARE</t>
        </is>
      </c>
      <c r="G55" t="n">
        <v>35.5</v>
      </c>
      <c r="H55" t="n">
        <v>0</v>
      </c>
      <c r="I55" t="n">
        <v>0</v>
      </c>
      <c r="J55" t="n">
        <v>1</v>
      </c>
      <c r="K55" t="n">
        <v>0</v>
      </c>
      <c r="L55" t="n">
        <v>0</v>
      </c>
      <c r="M55" t="n">
        <v>0</v>
      </c>
      <c r="N55" t="n">
        <v>0</v>
      </c>
      <c r="O55" t="n">
        <v>1</v>
      </c>
      <c r="P55" t="n">
        <v>0</v>
      </c>
      <c r="Q55" t="n">
        <v>1</v>
      </c>
      <c r="R55" s="2" t="inlineStr">
        <is>
          <t>Garnlav</t>
        </is>
      </c>
      <c r="S55">
        <f>HYPERLINK("https://klasma.github.io/Logging_2523/artfynd/A 18043-2024 artfynd.xlsx", "A 18043-2024")</f>
        <v/>
      </c>
      <c r="T55">
        <f>HYPERLINK("https://klasma.github.io/Logging_2523/kartor/A 18043-2024 karta.png", "A 18043-2024")</f>
        <v/>
      </c>
      <c r="V55">
        <f>HYPERLINK("https://klasma.github.io/Logging_2523/klagomål/A 18043-2024 FSC-klagomål.docx", "A 18043-2024")</f>
        <v/>
      </c>
      <c r="W55">
        <f>HYPERLINK("https://klasma.github.io/Logging_2523/klagomålsmail/A 18043-2024 FSC-klagomål mail.docx", "A 18043-2024")</f>
        <v/>
      </c>
      <c r="X55">
        <f>HYPERLINK("https://klasma.github.io/Logging_2523/tillsyn/A 18043-2024 tillsynsbegäran.docx", "A 18043-2024")</f>
        <v/>
      </c>
      <c r="Y55">
        <f>HYPERLINK("https://klasma.github.io/Logging_2523/tillsynsmail/A 18043-2024 tillsynsbegäran mail.docx", "A 18043-2024")</f>
        <v/>
      </c>
    </row>
    <row r="56" ht="15" customHeight="1">
      <c r="A56" t="inlineStr">
        <is>
          <t>A 4908-2025</t>
        </is>
      </c>
      <c r="B56" s="1" t="n">
        <v>45688</v>
      </c>
      <c r="C56" s="1" t="n">
        <v>45972</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40956-2025</t>
        </is>
      </c>
      <c r="B57" s="1" t="n">
        <v>45897</v>
      </c>
      <c r="C57" s="1" t="n">
        <v>45972</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53801-2024</t>
        </is>
      </c>
      <c r="B58" s="1" t="n">
        <v>45615</v>
      </c>
      <c r="C58" s="1" t="n">
        <v>45972</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23578-2025</t>
        </is>
      </c>
      <c r="B59" s="1" t="n">
        <v>45792</v>
      </c>
      <c r="C59" s="1" t="n">
        <v>45972</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27114-2025</t>
        </is>
      </c>
      <c r="B60" s="1" t="n">
        <v>45811.74068287037</v>
      </c>
      <c r="C60" s="1" t="n">
        <v>45972</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27336-2023</t>
        </is>
      </c>
      <c r="B61" s="1" t="n">
        <v>45096</v>
      </c>
      <c r="C61" s="1" t="n">
        <v>45972</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31651-2025</t>
        </is>
      </c>
      <c r="B62" s="1" t="n">
        <v>45834.34667824074</v>
      </c>
      <c r="C62" s="1" t="n">
        <v>45972</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34848-2025</t>
        </is>
      </c>
      <c r="B63" s="1" t="n">
        <v>45849.4200462963</v>
      </c>
      <c r="C63" s="1" t="n">
        <v>45972</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45972</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46587-2025</t>
        </is>
      </c>
      <c r="B65" s="1" t="n">
        <v>45926.3881712963</v>
      </c>
      <c r="C65" s="1" t="n">
        <v>45972</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65484-2020</t>
        </is>
      </c>
      <c r="B66" s="1" t="n">
        <v>44169</v>
      </c>
      <c r="C66" s="1" t="n">
        <v>45972</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45972</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45972</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45972</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45972</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45972</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45972</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45972</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45972</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45972</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45972</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45972</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45972</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45972</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45972</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45972</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58384-2020</t>
        </is>
      </c>
      <c r="B82" s="1" t="n">
        <v>44144</v>
      </c>
      <c r="C82" s="1" t="n">
        <v>45972</v>
      </c>
      <c r="D82" t="inlineStr">
        <is>
          <t>NORRBOTTENS LÄN</t>
        </is>
      </c>
      <c r="E82" t="inlineStr">
        <is>
          <t>GÄLLIVARE</t>
        </is>
      </c>
      <c r="F82" t="inlineStr">
        <is>
          <t>Allmännings- och besparingsskogar</t>
        </is>
      </c>
      <c r="G82" t="n">
        <v>7.1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45972</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45972</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45972</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45972</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45972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45972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45972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45972</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45972</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45972</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45972</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45972</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45972</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45972</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45972</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45972</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45972</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45972</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45972</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40427-2022</t>
        </is>
      </c>
      <c r="B102" s="1" t="n">
        <v>44823</v>
      </c>
      <c r="C102" s="1" t="n">
        <v>45972</v>
      </c>
      <c r="D102" t="inlineStr">
        <is>
          <t>NORRBOTTENS LÄN</t>
        </is>
      </c>
      <c r="E102" t="inlineStr">
        <is>
          <t>GÄLLIVARE</t>
        </is>
      </c>
      <c r="G102" t="n">
        <v>0.9</v>
      </c>
      <c r="H102" t="n">
        <v>0</v>
      </c>
      <c r="I102" t="n">
        <v>0</v>
      </c>
      <c r="J102" t="n">
        <v>0</v>
      </c>
      <c r="K102" t="n">
        <v>0</v>
      </c>
      <c r="L102" t="n">
        <v>0</v>
      </c>
      <c r="M102" t="n">
        <v>0</v>
      </c>
      <c r="N102" t="n">
        <v>0</v>
      </c>
      <c r="O102" t="n">
        <v>0</v>
      </c>
      <c r="P102" t="n">
        <v>0</v>
      </c>
      <c r="Q102" t="n">
        <v>0</v>
      </c>
      <c r="R102" s="2" t="inlineStr"/>
    </row>
    <row r="103" ht="15" customHeight="1">
      <c r="A103" t="inlineStr">
        <is>
          <t>A 7685-2022</t>
        </is>
      </c>
      <c r="B103" s="1" t="n">
        <v>44607.9409837963</v>
      </c>
      <c r="C103" s="1" t="n">
        <v>45972</v>
      </c>
      <c r="D103" t="inlineStr">
        <is>
          <t>NORRBOTTENS LÄN</t>
        </is>
      </c>
      <c r="E103" t="inlineStr">
        <is>
          <t>GÄLLIVARE</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36233-2021</t>
        </is>
      </c>
      <c r="B104" s="1" t="n">
        <v>44389.93957175926</v>
      </c>
      <c r="C104" s="1" t="n">
        <v>45972</v>
      </c>
      <c r="D104" t="inlineStr">
        <is>
          <t>NORRBOTTENS LÄN</t>
        </is>
      </c>
      <c r="E104" t="inlineStr">
        <is>
          <t>GÄLLIVARE</t>
        </is>
      </c>
      <c r="F104" t="inlineStr">
        <is>
          <t>SCA</t>
        </is>
      </c>
      <c r="G104" t="n">
        <v>22.3</v>
      </c>
      <c r="H104" t="n">
        <v>0</v>
      </c>
      <c r="I104" t="n">
        <v>0</v>
      </c>
      <c r="J104" t="n">
        <v>0</v>
      </c>
      <c r="K104" t="n">
        <v>0</v>
      </c>
      <c r="L104" t="n">
        <v>0</v>
      </c>
      <c r="M104" t="n">
        <v>0</v>
      </c>
      <c r="N104" t="n">
        <v>0</v>
      </c>
      <c r="O104" t="n">
        <v>0</v>
      </c>
      <c r="P104" t="n">
        <v>0</v>
      </c>
      <c r="Q104" t="n">
        <v>0</v>
      </c>
      <c r="R104" s="2" t="inlineStr"/>
    </row>
    <row r="105" ht="15" customHeight="1">
      <c r="A105" t="inlineStr">
        <is>
          <t>A 32720-2022</t>
        </is>
      </c>
      <c r="B105" s="1" t="n">
        <v>44783</v>
      </c>
      <c r="C105" s="1" t="n">
        <v>45972</v>
      </c>
      <c r="D105" t="inlineStr">
        <is>
          <t>NORRBOTTENS LÄN</t>
        </is>
      </c>
      <c r="E105" t="inlineStr">
        <is>
          <t>GÄLLIVARE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35579-2022</t>
        </is>
      </c>
      <c r="B106" s="1" t="n">
        <v>44799</v>
      </c>
      <c r="C106" s="1" t="n">
        <v>45972</v>
      </c>
      <c r="D106" t="inlineStr">
        <is>
          <t>NORRBOTTENS LÄN</t>
        </is>
      </c>
      <c r="E106" t="inlineStr">
        <is>
          <t>GÄLLIVARE</t>
        </is>
      </c>
      <c r="F106" t="inlineStr">
        <is>
          <t>Allmännings- och besparingsskogar</t>
        </is>
      </c>
      <c r="G106" t="n">
        <v>7.9</v>
      </c>
      <c r="H106" t="n">
        <v>0</v>
      </c>
      <c r="I106" t="n">
        <v>0</v>
      </c>
      <c r="J106" t="n">
        <v>0</v>
      </c>
      <c r="K106" t="n">
        <v>0</v>
      </c>
      <c r="L106" t="n">
        <v>0</v>
      </c>
      <c r="M106" t="n">
        <v>0</v>
      </c>
      <c r="N106" t="n">
        <v>0</v>
      </c>
      <c r="O106" t="n">
        <v>0</v>
      </c>
      <c r="P106" t="n">
        <v>0</v>
      </c>
      <c r="Q106" t="n">
        <v>0</v>
      </c>
      <c r="R106" s="2" t="inlineStr"/>
    </row>
    <row r="107" ht="15" customHeight="1">
      <c r="A107" t="inlineStr">
        <is>
          <t>A 51243-2023</t>
        </is>
      </c>
      <c r="B107" s="1" t="n">
        <v>45212</v>
      </c>
      <c r="C107" s="1" t="n">
        <v>45972</v>
      </c>
      <c r="D107" t="inlineStr">
        <is>
          <t>NORRBOTTENS LÄN</t>
        </is>
      </c>
      <c r="E107" t="inlineStr">
        <is>
          <t>GÄLLIVARE</t>
        </is>
      </c>
      <c r="G107" t="n">
        <v>3.2</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45972</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45972</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16973-2023</t>
        </is>
      </c>
      <c r="B110" s="1" t="n">
        <v>45033</v>
      </c>
      <c r="C110" s="1" t="n">
        <v>45972</v>
      </c>
      <c r="D110" t="inlineStr">
        <is>
          <t>NORRBOTTENS LÄN</t>
        </is>
      </c>
      <c r="E110" t="inlineStr">
        <is>
          <t>GÄLLIVARE</t>
        </is>
      </c>
      <c r="G110" t="n">
        <v>1</v>
      </c>
      <c r="H110" t="n">
        <v>0</v>
      </c>
      <c r="I110" t="n">
        <v>0</v>
      </c>
      <c r="J110" t="n">
        <v>0</v>
      </c>
      <c r="K110" t="n">
        <v>0</v>
      </c>
      <c r="L110" t="n">
        <v>0</v>
      </c>
      <c r="M110" t="n">
        <v>0</v>
      </c>
      <c r="N110" t="n">
        <v>0</v>
      </c>
      <c r="O110" t="n">
        <v>0</v>
      </c>
      <c r="P110" t="n">
        <v>0</v>
      </c>
      <c r="Q110" t="n">
        <v>0</v>
      </c>
      <c r="R110" s="2" t="inlineStr"/>
    </row>
    <row r="111" ht="15" customHeight="1">
      <c r="A111" t="inlineStr">
        <is>
          <t>A 52181-2021</t>
        </is>
      </c>
      <c r="B111" s="1" t="n">
        <v>44463</v>
      </c>
      <c r="C111" s="1" t="n">
        <v>45972</v>
      </c>
      <c r="D111" t="inlineStr">
        <is>
          <t>NORRBOTTENS LÄN</t>
        </is>
      </c>
      <c r="E111" t="inlineStr">
        <is>
          <t>GÄLLIVARE</t>
        </is>
      </c>
      <c r="G111" t="n">
        <v>5.3</v>
      </c>
      <c r="H111" t="n">
        <v>0</v>
      </c>
      <c r="I111" t="n">
        <v>0</v>
      </c>
      <c r="J111" t="n">
        <v>0</v>
      </c>
      <c r="K111" t="n">
        <v>0</v>
      </c>
      <c r="L111" t="n">
        <v>0</v>
      </c>
      <c r="M111" t="n">
        <v>0</v>
      </c>
      <c r="N111" t="n">
        <v>0</v>
      </c>
      <c r="O111" t="n">
        <v>0</v>
      </c>
      <c r="P111" t="n">
        <v>0</v>
      </c>
      <c r="Q111" t="n">
        <v>0</v>
      </c>
      <c r="R111" s="2" t="inlineStr"/>
    </row>
    <row r="112" ht="15" customHeight="1">
      <c r="A112" t="inlineStr">
        <is>
          <t>A 58414-2021</t>
        </is>
      </c>
      <c r="B112" s="1" t="n">
        <v>44488</v>
      </c>
      <c r="C112" s="1" t="n">
        <v>45972</v>
      </c>
      <c r="D112" t="inlineStr">
        <is>
          <t>NORRBOTTENS LÄN</t>
        </is>
      </c>
      <c r="E112" t="inlineStr">
        <is>
          <t>GÄLLIVARE</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47779-2022</t>
        </is>
      </c>
      <c r="B113" s="1" t="n">
        <v>44854</v>
      </c>
      <c r="C113" s="1" t="n">
        <v>45972</v>
      </c>
      <c r="D113" t="inlineStr">
        <is>
          <t>NORRBOTTENS LÄN</t>
        </is>
      </c>
      <c r="E113" t="inlineStr">
        <is>
          <t>GÄLLIVARE</t>
        </is>
      </c>
      <c r="G113" t="n">
        <v>0.6</v>
      </c>
      <c r="H113" t="n">
        <v>0</v>
      </c>
      <c r="I113" t="n">
        <v>0</v>
      </c>
      <c r="J113" t="n">
        <v>0</v>
      </c>
      <c r="K113" t="n">
        <v>0</v>
      </c>
      <c r="L113" t="n">
        <v>0</v>
      </c>
      <c r="M113" t="n">
        <v>0</v>
      </c>
      <c r="N113" t="n">
        <v>0</v>
      </c>
      <c r="O113" t="n">
        <v>0</v>
      </c>
      <c r="P113" t="n">
        <v>0</v>
      </c>
      <c r="Q113" t="n">
        <v>0</v>
      </c>
      <c r="R113" s="2" t="inlineStr"/>
    </row>
    <row r="114" ht="15" customHeight="1">
      <c r="A114" t="inlineStr">
        <is>
          <t>A 20000-2022</t>
        </is>
      </c>
      <c r="B114" s="1" t="n">
        <v>44697</v>
      </c>
      <c r="C114" s="1" t="n">
        <v>45972</v>
      </c>
      <c r="D114" t="inlineStr">
        <is>
          <t>NORRBOTTENS LÄN</t>
        </is>
      </c>
      <c r="E114" t="inlineStr">
        <is>
          <t>GÄLLIVARE</t>
        </is>
      </c>
      <c r="G114" t="n">
        <v>1.2</v>
      </c>
      <c r="H114" t="n">
        <v>0</v>
      </c>
      <c r="I114" t="n">
        <v>0</v>
      </c>
      <c r="J114" t="n">
        <v>0</v>
      </c>
      <c r="K114" t="n">
        <v>0</v>
      </c>
      <c r="L114" t="n">
        <v>0</v>
      </c>
      <c r="M114" t="n">
        <v>0</v>
      </c>
      <c r="N114" t="n">
        <v>0</v>
      </c>
      <c r="O114" t="n">
        <v>0</v>
      </c>
      <c r="P114" t="n">
        <v>0</v>
      </c>
      <c r="Q114" t="n">
        <v>0</v>
      </c>
      <c r="R114" s="2" t="inlineStr"/>
    </row>
    <row r="115" ht="15" customHeight="1">
      <c r="A115" t="inlineStr">
        <is>
          <t>A 4135-2022</t>
        </is>
      </c>
      <c r="B115" s="1" t="n">
        <v>44588</v>
      </c>
      <c r="C115" s="1" t="n">
        <v>45972</v>
      </c>
      <c r="D115" t="inlineStr">
        <is>
          <t>NORRBOTTENS LÄN</t>
        </is>
      </c>
      <c r="E115" t="inlineStr">
        <is>
          <t>GÄLLIVARE</t>
        </is>
      </c>
      <c r="G115" t="n">
        <v>2.8</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45972</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10652-2022</t>
        </is>
      </c>
      <c r="B117" s="1" t="n">
        <v>44624</v>
      </c>
      <c r="C117" s="1" t="n">
        <v>45972</v>
      </c>
      <c r="D117" t="inlineStr">
        <is>
          <t>NORRBOTTENS LÄN</t>
        </is>
      </c>
      <c r="E117" t="inlineStr">
        <is>
          <t>GÄLLIVARE</t>
        </is>
      </c>
      <c r="G117" t="n">
        <v>7.9</v>
      </c>
      <c r="H117" t="n">
        <v>0</v>
      </c>
      <c r="I117" t="n">
        <v>0</v>
      </c>
      <c r="J117" t="n">
        <v>0</v>
      </c>
      <c r="K117" t="n">
        <v>0</v>
      </c>
      <c r="L117" t="n">
        <v>0</v>
      </c>
      <c r="M117" t="n">
        <v>0</v>
      </c>
      <c r="N117" t="n">
        <v>0</v>
      </c>
      <c r="O117" t="n">
        <v>0</v>
      </c>
      <c r="P117" t="n">
        <v>0</v>
      </c>
      <c r="Q117" t="n">
        <v>0</v>
      </c>
      <c r="R117" s="2" t="inlineStr"/>
    </row>
    <row r="118" ht="15" customHeight="1">
      <c r="A118" t="inlineStr">
        <is>
          <t>A 53824-2024</t>
        </is>
      </c>
      <c r="B118" s="1" t="n">
        <v>45615.61038194445</v>
      </c>
      <c r="C118" s="1" t="n">
        <v>45972</v>
      </c>
      <c r="D118" t="inlineStr">
        <is>
          <t>NORRBOTTENS LÄN</t>
        </is>
      </c>
      <c r="E118" t="inlineStr">
        <is>
          <t>GÄLLIVARE</t>
        </is>
      </c>
      <c r="G118" t="n">
        <v>2</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45972</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2244-2023</t>
        </is>
      </c>
      <c r="B120" s="1" t="n">
        <v>44942</v>
      </c>
      <c r="C120" s="1" t="n">
        <v>45972</v>
      </c>
      <c r="D120" t="inlineStr">
        <is>
          <t>NORRBOTTENS LÄN</t>
        </is>
      </c>
      <c r="E120" t="inlineStr">
        <is>
          <t>GÄLLIVARE</t>
        </is>
      </c>
      <c r="G120" t="n">
        <v>21.1</v>
      </c>
      <c r="H120" t="n">
        <v>0</v>
      </c>
      <c r="I120" t="n">
        <v>0</v>
      </c>
      <c r="J120" t="n">
        <v>0</v>
      </c>
      <c r="K120" t="n">
        <v>0</v>
      </c>
      <c r="L120" t="n">
        <v>0</v>
      </c>
      <c r="M120" t="n">
        <v>0</v>
      </c>
      <c r="N120" t="n">
        <v>0</v>
      </c>
      <c r="O120" t="n">
        <v>0</v>
      </c>
      <c r="P120" t="n">
        <v>0</v>
      </c>
      <c r="Q120" t="n">
        <v>0</v>
      </c>
      <c r="R120" s="2" t="inlineStr"/>
    </row>
    <row r="121" ht="15" customHeight="1">
      <c r="A121" t="inlineStr">
        <is>
          <t>A 21441-2021</t>
        </is>
      </c>
      <c r="B121" s="1" t="n">
        <v>44321</v>
      </c>
      <c r="C121" s="1" t="n">
        <v>45972</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53794-2024</t>
        </is>
      </c>
      <c r="B122" s="1" t="n">
        <v>45615.57726851852</v>
      </c>
      <c r="C122" s="1" t="n">
        <v>45972</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2276-2023</t>
        </is>
      </c>
      <c r="B123" s="1" t="n">
        <v>44942</v>
      </c>
      <c r="C123" s="1" t="n">
        <v>45972</v>
      </c>
      <c r="D123" t="inlineStr">
        <is>
          <t>NORRBOTTENS LÄN</t>
        </is>
      </c>
      <c r="E123" t="inlineStr">
        <is>
          <t>GÄLLIVARE</t>
        </is>
      </c>
      <c r="G123" t="n">
        <v>2.8</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45972</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41653-2023</t>
        </is>
      </c>
      <c r="B125" s="1" t="n">
        <v>45175.95738425926</v>
      </c>
      <c r="C125" s="1" t="n">
        <v>45972</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45972</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58412-2021</t>
        </is>
      </c>
      <c r="B127" s="1" t="n">
        <v>44488.52082175926</v>
      </c>
      <c r="C127" s="1" t="n">
        <v>45972</v>
      </c>
      <c r="D127" t="inlineStr">
        <is>
          <t>NORRBOTTENS LÄN</t>
        </is>
      </c>
      <c r="E127" t="inlineStr">
        <is>
          <t>GÄLLIVARE</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57705-2024</t>
        </is>
      </c>
      <c r="B128" s="1" t="n">
        <v>45630</v>
      </c>
      <c r="C128" s="1" t="n">
        <v>45972</v>
      </c>
      <c r="D128" t="inlineStr">
        <is>
          <t>NORRBOTTENS LÄN</t>
        </is>
      </c>
      <c r="E128" t="inlineStr">
        <is>
          <t>GÄLLIVARE</t>
        </is>
      </c>
      <c r="G128" t="n">
        <v>5.6</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45972</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8190-2025</t>
        </is>
      </c>
      <c r="B130" s="1" t="n">
        <v>45708.40659722222</v>
      </c>
      <c r="C130" s="1" t="n">
        <v>45972</v>
      </c>
      <c r="D130" t="inlineStr">
        <is>
          <t>NORRBOTTENS LÄN</t>
        </is>
      </c>
      <c r="E130" t="inlineStr">
        <is>
          <t>GÄLLIVARE</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45972</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41927-2024</t>
        </is>
      </c>
      <c r="B132" s="1" t="n">
        <v>45561.55981481481</v>
      </c>
      <c r="C132" s="1" t="n">
        <v>45972</v>
      </c>
      <c r="D132" t="inlineStr">
        <is>
          <t>NORRBOTTENS LÄN</t>
        </is>
      </c>
      <c r="E132" t="inlineStr">
        <is>
          <t>GÄLLIVARE</t>
        </is>
      </c>
      <c r="G132" t="n">
        <v>11.2</v>
      </c>
      <c r="H132" t="n">
        <v>0</v>
      </c>
      <c r="I132" t="n">
        <v>0</v>
      </c>
      <c r="J132" t="n">
        <v>0</v>
      </c>
      <c r="K132" t="n">
        <v>0</v>
      </c>
      <c r="L132" t="n">
        <v>0</v>
      </c>
      <c r="M132" t="n">
        <v>0</v>
      </c>
      <c r="N132" t="n">
        <v>0</v>
      </c>
      <c r="O132" t="n">
        <v>0</v>
      </c>
      <c r="P132" t="n">
        <v>0</v>
      </c>
      <c r="Q132" t="n">
        <v>0</v>
      </c>
      <c r="R132" s="2" t="inlineStr"/>
    </row>
    <row r="133" ht="15" customHeight="1">
      <c r="A133" t="inlineStr">
        <is>
          <t>A 2538-2021</t>
        </is>
      </c>
      <c r="B133" s="1" t="n">
        <v>44214</v>
      </c>
      <c r="C133" s="1" t="n">
        <v>45972</v>
      </c>
      <c r="D133" t="inlineStr">
        <is>
          <t>NORRBOTTENS LÄN</t>
        </is>
      </c>
      <c r="E133" t="inlineStr">
        <is>
          <t>GÄLLIVARE</t>
        </is>
      </c>
      <c r="F133" t="inlineStr">
        <is>
          <t>Kommuner</t>
        </is>
      </c>
      <c r="G133" t="n">
        <v>2.7</v>
      </c>
      <c r="H133" t="n">
        <v>0</v>
      </c>
      <c r="I133" t="n">
        <v>0</v>
      </c>
      <c r="J133" t="n">
        <v>0</v>
      </c>
      <c r="K133" t="n">
        <v>0</v>
      </c>
      <c r="L133" t="n">
        <v>0</v>
      </c>
      <c r="M133" t="n">
        <v>0</v>
      </c>
      <c r="N133" t="n">
        <v>0</v>
      </c>
      <c r="O133" t="n">
        <v>0</v>
      </c>
      <c r="P133" t="n">
        <v>0</v>
      </c>
      <c r="Q133" t="n">
        <v>0</v>
      </c>
      <c r="R133" s="2" t="inlineStr"/>
    </row>
    <row r="134" ht="15" customHeight="1">
      <c r="A134" t="inlineStr">
        <is>
          <t>A 14999-2024</t>
        </is>
      </c>
      <c r="B134" s="1" t="n">
        <v>45399</v>
      </c>
      <c r="C134" s="1" t="n">
        <v>45972</v>
      </c>
      <c r="D134" t="inlineStr">
        <is>
          <t>NORRBOTTENS LÄN</t>
        </is>
      </c>
      <c r="E134" t="inlineStr">
        <is>
          <t>GÄLLIVARE</t>
        </is>
      </c>
      <c r="G134" t="n">
        <v>12.5</v>
      </c>
      <c r="H134" t="n">
        <v>0</v>
      </c>
      <c r="I134" t="n">
        <v>0</v>
      </c>
      <c r="J134" t="n">
        <v>0</v>
      </c>
      <c r="K134" t="n">
        <v>0</v>
      </c>
      <c r="L134" t="n">
        <v>0</v>
      </c>
      <c r="M134" t="n">
        <v>0</v>
      </c>
      <c r="N134" t="n">
        <v>0</v>
      </c>
      <c r="O134" t="n">
        <v>0</v>
      </c>
      <c r="P134" t="n">
        <v>0</v>
      </c>
      <c r="Q134" t="n">
        <v>0</v>
      </c>
      <c r="R134" s="2" t="inlineStr"/>
    </row>
    <row r="135" ht="15" customHeight="1">
      <c r="A135" t="inlineStr">
        <is>
          <t>A 53821-2024</t>
        </is>
      </c>
      <c r="B135" s="1" t="n">
        <v>45615</v>
      </c>
      <c r="C135" s="1" t="n">
        <v>45972</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47805-2022</t>
        </is>
      </c>
      <c r="B136" s="1" t="n">
        <v>44854</v>
      </c>
      <c r="C136" s="1" t="n">
        <v>45972</v>
      </c>
      <c r="D136" t="inlineStr">
        <is>
          <t>NORRBOTTENS LÄN</t>
        </is>
      </c>
      <c r="E136" t="inlineStr">
        <is>
          <t>GÄLLIVARE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29140-2022</t>
        </is>
      </c>
      <c r="B137" s="1" t="n">
        <v>44750</v>
      </c>
      <c r="C137" s="1" t="n">
        <v>45972</v>
      </c>
      <c r="D137" t="inlineStr">
        <is>
          <t>NORRBOTTENS LÄN</t>
        </is>
      </c>
      <c r="E137" t="inlineStr">
        <is>
          <t>GÄLLIVARE</t>
        </is>
      </c>
      <c r="G137" t="n">
        <v>13.6</v>
      </c>
      <c r="H137" t="n">
        <v>0</v>
      </c>
      <c r="I137" t="n">
        <v>0</v>
      </c>
      <c r="J137" t="n">
        <v>0</v>
      </c>
      <c r="K137" t="n">
        <v>0</v>
      </c>
      <c r="L137" t="n">
        <v>0</v>
      </c>
      <c r="M137" t="n">
        <v>0</v>
      </c>
      <c r="N137" t="n">
        <v>0</v>
      </c>
      <c r="O137" t="n">
        <v>0</v>
      </c>
      <c r="P137" t="n">
        <v>0</v>
      </c>
      <c r="Q137" t="n">
        <v>0</v>
      </c>
      <c r="R137" s="2" t="inlineStr"/>
    </row>
    <row r="138" ht="15" customHeight="1">
      <c r="A138" t="inlineStr">
        <is>
          <t>A 11782-2025</t>
        </is>
      </c>
      <c r="B138" s="1" t="n">
        <v>45727.71935185185</v>
      </c>
      <c r="C138" s="1" t="n">
        <v>45972</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51570-2024</t>
        </is>
      </c>
      <c r="B139" s="1" t="n">
        <v>45604</v>
      </c>
      <c r="C139" s="1" t="n">
        <v>45972</v>
      </c>
      <c r="D139" t="inlineStr">
        <is>
          <t>NORRBOTTENS LÄN</t>
        </is>
      </c>
      <c r="E139" t="inlineStr">
        <is>
          <t>GÄLLIVARE</t>
        </is>
      </c>
      <c r="G139" t="n">
        <v>6.1</v>
      </c>
      <c r="H139" t="n">
        <v>0</v>
      </c>
      <c r="I139" t="n">
        <v>0</v>
      </c>
      <c r="J139" t="n">
        <v>0</v>
      </c>
      <c r="K139" t="n">
        <v>0</v>
      </c>
      <c r="L139" t="n">
        <v>0</v>
      </c>
      <c r="M139" t="n">
        <v>0</v>
      </c>
      <c r="N139" t="n">
        <v>0</v>
      </c>
      <c r="O139" t="n">
        <v>0</v>
      </c>
      <c r="P139" t="n">
        <v>0</v>
      </c>
      <c r="Q139" t="n">
        <v>0</v>
      </c>
      <c r="R139" s="2" t="inlineStr"/>
    </row>
    <row r="140" ht="15" customHeight="1">
      <c r="A140" t="inlineStr">
        <is>
          <t>A 8075-2025</t>
        </is>
      </c>
      <c r="B140" s="1" t="n">
        <v>45707</v>
      </c>
      <c r="C140" s="1" t="n">
        <v>45972</v>
      </c>
      <c r="D140" t="inlineStr">
        <is>
          <t>NORRBOTTENS LÄN</t>
        </is>
      </c>
      <c r="E140" t="inlineStr">
        <is>
          <t>GÄLLIVARE</t>
        </is>
      </c>
      <c r="F140" t="inlineStr">
        <is>
          <t>Sveaskog</t>
        </is>
      </c>
      <c r="G140" t="n">
        <v>43.4</v>
      </c>
      <c r="H140" t="n">
        <v>0</v>
      </c>
      <c r="I140" t="n">
        <v>0</v>
      </c>
      <c r="J140" t="n">
        <v>0</v>
      </c>
      <c r="K140" t="n">
        <v>0</v>
      </c>
      <c r="L140" t="n">
        <v>0</v>
      </c>
      <c r="M140" t="n">
        <v>0</v>
      </c>
      <c r="N140" t="n">
        <v>0</v>
      </c>
      <c r="O140" t="n">
        <v>0</v>
      </c>
      <c r="P140" t="n">
        <v>0</v>
      </c>
      <c r="Q140" t="n">
        <v>0</v>
      </c>
      <c r="R140" s="2" t="inlineStr"/>
    </row>
    <row r="141" ht="15" customHeight="1">
      <c r="A141" t="inlineStr">
        <is>
          <t>A 53677-2024</t>
        </is>
      </c>
      <c r="B141" s="1" t="n">
        <v>45612</v>
      </c>
      <c r="C141" s="1" t="n">
        <v>45972</v>
      </c>
      <c r="D141" t="inlineStr">
        <is>
          <t>NORRBOTTENS LÄN</t>
        </is>
      </c>
      <c r="E141" t="inlineStr">
        <is>
          <t>GÄLLIVARE</t>
        </is>
      </c>
      <c r="F141" t="inlineStr">
        <is>
          <t>Allmännings- och besparingsskogar</t>
        </is>
      </c>
      <c r="G141" t="n">
        <v>8.1</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45972</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36983-2023</t>
        </is>
      </c>
      <c r="B143" s="1" t="n">
        <v>45154.95504629629</v>
      </c>
      <c r="C143" s="1" t="n">
        <v>45972</v>
      </c>
      <c r="D143" t="inlineStr">
        <is>
          <t>NORRBOTTENS LÄN</t>
        </is>
      </c>
      <c r="E143" t="inlineStr">
        <is>
          <t>GÄLLIVARE</t>
        </is>
      </c>
      <c r="F143" t="inlineStr">
        <is>
          <t>SCA</t>
        </is>
      </c>
      <c r="G143" t="n">
        <v>8</v>
      </c>
      <c r="H143" t="n">
        <v>0</v>
      </c>
      <c r="I143" t="n">
        <v>0</v>
      </c>
      <c r="J143" t="n">
        <v>0</v>
      </c>
      <c r="K143" t="n">
        <v>0</v>
      </c>
      <c r="L143" t="n">
        <v>0</v>
      </c>
      <c r="M143" t="n">
        <v>0</v>
      </c>
      <c r="N143" t="n">
        <v>0</v>
      </c>
      <c r="O143" t="n">
        <v>0</v>
      </c>
      <c r="P143" t="n">
        <v>0</v>
      </c>
      <c r="Q143" t="n">
        <v>0</v>
      </c>
      <c r="R143" s="2" t="inlineStr"/>
    </row>
    <row r="144" ht="15" customHeight="1">
      <c r="A144" t="inlineStr">
        <is>
          <t>A 38225-2025</t>
        </is>
      </c>
      <c r="B144" s="1" t="n">
        <v>45883.34501157407</v>
      </c>
      <c r="C144" s="1" t="n">
        <v>45972</v>
      </c>
      <c r="D144" t="inlineStr">
        <is>
          <t>NORRBOTTENS LÄN</t>
        </is>
      </c>
      <c r="E144" t="inlineStr">
        <is>
          <t>GÄLLIVARE</t>
        </is>
      </c>
      <c r="F144" t="inlineStr">
        <is>
          <t>SCA</t>
        </is>
      </c>
      <c r="G144" t="n">
        <v>9.5</v>
      </c>
      <c r="H144" t="n">
        <v>0</v>
      </c>
      <c r="I144" t="n">
        <v>0</v>
      </c>
      <c r="J144" t="n">
        <v>0</v>
      </c>
      <c r="K144" t="n">
        <v>0</v>
      </c>
      <c r="L144" t="n">
        <v>0</v>
      </c>
      <c r="M144" t="n">
        <v>0</v>
      </c>
      <c r="N144" t="n">
        <v>0</v>
      </c>
      <c r="O144" t="n">
        <v>0</v>
      </c>
      <c r="P144" t="n">
        <v>0</v>
      </c>
      <c r="Q144" t="n">
        <v>0</v>
      </c>
      <c r="R144" s="2" t="inlineStr"/>
    </row>
    <row r="145" ht="15" customHeight="1">
      <c r="A145" t="inlineStr">
        <is>
          <t>A 47048-2023</t>
        </is>
      </c>
      <c r="B145" s="1" t="n">
        <v>45201</v>
      </c>
      <c r="C145" s="1" t="n">
        <v>45972</v>
      </c>
      <c r="D145" t="inlineStr">
        <is>
          <t>NORRBOTTENS LÄN</t>
        </is>
      </c>
      <c r="E145" t="inlineStr">
        <is>
          <t>GÄLLIVARE</t>
        </is>
      </c>
      <c r="G145" t="n">
        <v>2.6</v>
      </c>
      <c r="H145" t="n">
        <v>0</v>
      </c>
      <c r="I145" t="n">
        <v>0</v>
      </c>
      <c r="J145" t="n">
        <v>0</v>
      </c>
      <c r="K145" t="n">
        <v>0</v>
      </c>
      <c r="L145" t="n">
        <v>0</v>
      </c>
      <c r="M145" t="n">
        <v>0</v>
      </c>
      <c r="N145" t="n">
        <v>0</v>
      </c>
      <c r="O145" t="n">
        <v>0</v>
      </c>
      <c r="P145" t="n">
        <v>0</v>
      </c>
      <c r="Q145" t="n">
        <v>0</v>
      </c>
      <c r="R145" s="2" t="inlineStr"/>
    </row>
    <row r="146" ht="15" customHeight="1">
      <c r="A146" t="inlineStr">
        <is>
          <t>A 38696-2025</t>
        </is>
      </c>
      <c r="B146" s="1" t="n">
        <v>45884.74715277777</v>
      </c>
      <c r="C146" s="1" t="n">
        <v>45972</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57208-2021</t>
        </is>
      </c>
      <c r="B147" s="1" t="n">
        <v>44482.94003472223</v>
      </c>
      <c r="C147" s="1" t="n">
        <v>45972</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5708-2023</t>
        </is>
      </c>
      <c r="B148" s="1" t="n">
        <v>44960</v>
      </c>
      <c r="C148" s="1" t="n">
        <v>45972</v>
      </c>
      <c r="D148" t="inlineStr">
        <is>
          <t>NORRBOTTENS LÄN</t>
        </is>
      </c>
      <c r="E148" t="inlineStr">
        <is>
          <t>GÄLLIVARE</t>
        </is>
      </c>
      <c r="F148" t="inlineStr">
        <is>
          <t>SCA</t>
        </is>
      </c>
      <c r="G148" t="n">
        <v>15.3</v>
      </c>
      <c r="H148" t="n">
        <v>0</v>
      </c>
      <c r="I148" t="n">
        <v>0</v>
      </c>
      <c r="J148" t="n">
        <v>0</v>
      </c>
      <c r="K148" t="n">
        <v>0</v>
      </c>
      <c r="L148" t="n">
        <v>0</v>
      </c>
      <c r="M148" t="n">
        <v>0</v>
      </c>
      <c r="N148" t="n">
        <v>0</v>
      </c>
      <c r="O148" t="n">
        <v>0</v>
      </c>
      <c r="P148" t="n">
        <v>0</v>
      </c>
      <c r="Q148" t="n">
        <v>0</v>
      </c>
      <c r="R148" s="2" t="inlineStr"/>
    </row>
    <row r="149" ht="15" customHeight="1">
      <c r="A149" t="inlineStr">
        <is>
          <t>A 30026-2023</t>
        </is>
      </c>
      <c r="B149" s="1" t="n">
        <v>45110.31878472222</v>
      </c>
      <c r="C149" s="1" t="n">
        <v>45972</v>
      </c>
      <c r="D149" t="inlineStr">
        <is>
          <t>NORRBOTTENS LÄN</t>
        </is>
      </c>
      <c r="E149" t="inlineStr">
        <is>
          <t>GÄLLIVARE</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4238-2023</t>
        </is>
      </c>
      <c r="B150" s="1" t="n">
        <v>44953</v>
      </c>
      <c r="C150" s="1" t="n">
        <v>45972</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45972</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45972</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25941-2024</t>
        </is>
      </c>
      <c r="B153" s="1" t="n">
        <v>45467</v>
      </c>
      <c r="C153" s="1" t="n">
        <v>45972</v>
      </c>
      <c r="D153" t="inlineStr">
        <is>
          <t>NORRBOTTENS LÄN</t>
        </is>
      </c>
      <c r="E153" t="inlineStr">
        <is>
          <t>GÄLLIVARE</t>
        </is>
      </c>
      <c r="F153" t="inlineStr">
        <is>
          <t>Allmännings- och besparingsskogar</t>
        </is>
      </c>
      <c r="G153" t="n">
        <v>18</v>
      </c>
      <c r="H153" t="n">
        <v>0</v>
      </c>
      <c r="I153" t="n">
        <v>0</v>
      </c>
      <c r="J153" t="n">
        <v>0</v>
      </c>
      <c r="K153" t="n">
        <v>0</v>
      </c>
      <c r="L153" t="n">
        <v>0</v>
      </c>
      <c r="M153" t="n">
        <v>0</v>
      </c>
      <c r="N153" t="n">
        <v>0</v>
      </c>
      <c r="O153" t="n">
        <v>0</v>
      </c>
      <c r="P153" t="n">
        <v>0</v>
      </c>
      <c r="Q153" t="n">
        <v>0</v>
      </c>
      <c r="R153" s="2" t="inlineStr"/>
    </row>
    <row r="154" ht="15" customHeight="1">
      <c r="A154" t="inlineStr">
        <is>
          <t>A 7693-2022</t>
        </is>
      </c>
      <c r="B154" s="1" t="n">
        <v>44607</v>
      </c>
      <c r="C154" s="1" t="n">
        <v>45972</v>
      </c>
      <c r="D154" t="inlineStr">
        <is>
          <t>NORRBOTTENS LÄN</t>
        </is>
      </c>
      <c r="E154" t="inlineStr">
        <is>
          <t>GÄLLIVARE</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47190-2025</t>
        </is>
      </c>
      <c r="B155" s="1" t="n">
        <v>45930</v>
      </c>
      <c r="C155" s="1" t="n">
        <v>45972</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26560-2024</t>
        </is>
      </c>
      <c r="B156" s="1" t="n">
        <v>45469.63549768519</v>
      </c>
      <c r="C156" s="1" t="n">
        <v>45972</v>
      </c>
      <c r="D156" t="inlineStr">
        <is>
          <t>NORRBOTTENS LÄN</t>
        </is>
      </c>
      <c r="E156" t="inlineStr">
        <is>
          <t>GÄLLIVARE</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39168-2025</t>
        </is>
      </c>
      <c r="B157" s="1" t="n">
        <v>45888.63964120371</v>
      </c>
      <c r="C157" s="1" t="n">
        <v>45972</v>
      </c>
      <c r="D157" t="inlineStr">
        <is>
          <t>NORRBOTTENS LÄN</t>
        </is>
      </c>
      <c r="E157" t="inlineStr">
        <is>
          <t>GÄLLIVARE</t>
        </is>
      </c>
      <c r="G157" t="n">
        <v>7.5</v>
      </c>
      <c r="H157" t="n">
        <v>0</v>
      </c>
      <c r="I157" t="n">
        <v>0</v>
      </c>
      <c r="J157" t="n">
        <v>0</v>
      </c>
      <c r="K157" t="n">
        <v>0</v>
      </c>
      <c r="L157" t="n">
        <v>0</v>
      </c>
      <c r="M157" t="n">
        <v>0</v>
      </c>
      <c r="N157" t="n">
        <v>0</v>
      </c>
      <c r="O157" t="n">
        <v>0</v>
      </c>
      <c r="P157" t="n">
        <v>0</v>
      </c>
      <c r="Q157" t="n">
        <v>0</v>
      </c>
      <c r="R157" s="2" t="inlineStr"/>
    </row>
    <row r="158" ht="15" customHeight="1">
      <c r="A158" t="inlineStr">
        <is>
          <t>A 38896-2025</t>
        </is>
      </c>
      <c r="B158" s="1" t="n">
        <v>45887</v>
      </c>
      <c r="C158" s="1" t="n">
        <v>45972</v>
      </c>
      <c r="D158" t="inlineStr">
        <is>
          <t>NORRBOTTENS LÄN</t>
        </is>
      </c>
      <c r="E158" t="inlineStr">
        <is>
          <t>GÄLLIVARE</t>
        </is>
      </c>
      <c r="G158" t="n">
        <v>5</v>
      </c>
      <c r="H158" t="n">
        <v>0</v>
      </c>
      <c r="I158" t="n">
        <v>0</v>
      </c>
      <c r="J158" t="n">
        <v>0</v>
      </c>
      <c r="K158" t="n">
        <v>0</v>
      </c>
      <c r="L158" t="n">
        <v>0</v>
      </c>
      <c r="M158" t="n">
        <v>0</v>
      </c>
      <c r="N158" t="n">
        <v>0</v>
      </c>
      <c r="O158" t="n">
        <v>0</v>
      </c>
      <c r="P158" t="n">
        <v>0</v>
      </c>
      <c r="Q158" t="n">
        <v>0</v>
      </c>
      <c r="R158" s="2" t="inlineStr"/>
    </row>
    <row r="159" ht="15" customHeight="1">
      <c r="A159" t="inlineStr">
        <is>
          <t>A 4918-2025</t>
        </is>
      </c>
      <c r="B159" s="1" t="n">
        <v>45688.68222222223</v>
      </c>
      <c r="C159" s="1" t="n">
        <v>45972</v>
      </c>
      <c r="D159" t="inlineStr">
        <is>
          <t>NORRBOTTENS LÄN</t>
        </is>
      </c>
      <c r="E159" t="inlineStr">
        <is>
          <t>GÄLLIVARE</t>
        </is>
      </c>
      <c r="F159" t="inlineStr">
        <is>
          <t>SCA</t>
        </is>
      </c>
      <c r="G159" t="n">
        <v>6.9</v>
      </c>
      <c r="H159" t="n">
        <v>0</v>
      </c>
      <c r="I159" t="n">
        <v>0</v>
      </c>
      <c r="J159" t="n">
        <v>0</v>
      </c>
      <c r="K159" t="n">
        <v>0</v>
      </c>
      <c r="L159" t="n">
        <v>0</v>
      </c>
      <c r="M159" t="n">
        <v>0</v>
      </c>
      <c r="N159" t="n">
        <v>0</v>
      </c>
      <c r="O159" t="n">
        <v>0</v>
      </c>
      <c r="P159" t="n">
        <v>0</v>
      </c>
      <c r="Q159" t="n">
        <v>0</v>
      </c>
      <c r="R159" s="2" t="inlineStr"/>
    </row>
    <row r="160" ht="15" customHeight="1">
      <c r="A160" t="inlineStr">
        <is>
          <t>A 44981-2023</t>
        </is>
      </c>
      <c r="B160" s="1" t="n">
        <v>45190.95791666667</v>
      </c>
      <c r="C160" s="1" t="n">
        <v>45972</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23495-2024</t>
        </is>
      </c>
      <c r="B161" s="1" t="n">
        <v>45453</v>
      </c>
      <c r="C161" s="1" t="n">
        <v>45972</v>
      </c>
      <c r="D161" t="inlineStr">
        <is>
          <t>NORRBOTTENS LÄN</t>
        </is>
      </c>
      <c r="E161" t="inlineStr">
        <is>
          <t>GÄLLIVARE</t>
        </is>
      </c>
      <c r="F161" t="inlineStr">
        <is>
          <t>Allmännings- och besparingsskogar</t>
        </is>
      </c>
      <c r="G161" t="n">
        <v>15.4</v>
      </c>
      <c r="H161" t="n">
        <v>0</v>
      </c>
      <c r="I161" t="n">
        <v>0</v>
      </c>
      <c r="J161" t="n">
        <v>0</v>
      </c>
      <c r="K161" t="n">
        <v>0</v>
      </c>
      <c r="L161" t="n">
        <v>0</v>
      </c>
      <c r="M161" t="n">
        <v>0</v>
      </c>
      <c r="N161" t="n">
        <v>0</v>
      </c>
      <c r="O161" t="n">
        <v>0</v>
      </c>
      <c r="P161" t="n">
        <v>0</v>
      </c>
      <c r="Q161" t="n">
        <v>0</v>
      </c>
      <c r="R161" s="2" t="inlineStr"/>
    </row>
    <row r="162" ht="15" customHeight="1">
      <c r="A162" t="inlineStr">
        <is>
          <t>A 38895-2025</t>
        </is>
      </c>
      <c r="B162" s="1" t="n">
        <v>45887</v>
      </c>
      <c r="C162" s="1" t="n">
        <v>45972</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54281-2024</t>
        </is>
      </c>
      <c r="B163" s="1" t="n">
        <v>45616</v>
      </c>
      <c r="C163" s="1" t="n">
        <v>45972</v>
      </c>
      <c r="D163" t="inlineStr">
        <is>
          <t>NORRBOTTENS LÄN</t>
        </is>
      </c>
      <c r="E163" t="inlineStr">
        <is>
          <t>GÄLLIVARE</t>
        </is>
      </c>
      <c r="G163" t="n">
        <v>0.3</v>
      </c>
      <c r="H163" t="n">
        <v>0</v>
      </c>
      <c r="I163" t="n">
        <v>0</v>
      </c>
      <c r="J163" t="n">
        <v>0</v>
      </c>
      <c r="K163" t="n">
        <v>0</v>
      </c>
      <c r="L163" t="n">
        <v>0</v>
      </c>
      <c r="M163" t="n">
        <v>0</v>
      </c>
      <c r="N163" t="n">
        <v>0</v>
      </c>
      <c r="O163" t="n">
        <v>0</v>
      </c>
      <c r="P163" t="n">
        <v>0</v>
      </c>
      <c r="Q163" t="n">
        <v>0</v>
      </c>
      <c r="R163" s="2" t="inlineStr"/>
    </row>
    <row r="164" ht="15" customHeight="1">
      <c r="A164" t="inlineStr">
        <is>
          <t>A 36249-2023</t>
        </is>
      </c>
      <c r="B164" s="1" t="n">
        <v>45150.9416087963</v>
      </c>
      <c r="C164" s="1" t="n">
        <v>45972</v>
      </c>
      <c r="D164" t="inlineStr">
        <is>
          <t>NORRBOTTENS LÄN</t>
        </is>
      </c>
      <c r="E164" t="inlineStr">
        <is>
          <t>GÄLLIVARE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36250-2023</t>
        </is>
      </c>
      <c r="B165" s="1" t="n">
        <v>45150.94170138889</v>
      </c>
      <c r="C165" s="1" t="n">
        <v>45972</v>
      </c>
      <c r="D165" t="inlineStr">
        <is>
          <t>NORRBOTTENS LÄN</t>
        </is>
      </c>
      <c r="E165" t="inlineStr">
        <is>
          <t>GÄLLIVARE</t>
        </is>
      </c>
      <c r="F165" t="inlineStr">
        <is>
          <t>SCA</t>
        </is>
      </c>
      <c r="G165" t="n">
        <v>14.6</v>
      </c>
      <c r="H165" t="n">
        <v>0</v>
      </c>
      <c r="I165" t="n">
        <v>0</v>
      </c>
      <c r="J165" t="n">
        <v>0</v>
      </c>
      <c r="K165" t="n">
        <v>0</v>
      </c>
      <c r="L165" t="n">
        <v>0</v>
      </c>
      <c r="M165" t="n">
        <v>0</v>
      </c>
      <c r="N165" t="n">
        <v>0</v>
      </c>
      <c r="O165" t="n">
        <v>0</v>
      </c>
      <c r="P165" t="n">
        <v>0</v>
      </c>
      <c r="Q165" t="n">
        <v>0</v>
      </c>
      <c r="R165" s="2" t="inlineStr"/>
    </row>
    <row r="166" ht="15" customHeight="1">
      <c r="A166" t="inlineStr">
        <is>
          <t>A 47205-2025</t>
        </is>
      </c>
      <c r="B166" s="1" t="n">
        <v>45930.36988425926</v>
      </c>
      <c r="C166" s="1" t="n">
        <v>45972</v>
      </c>
      <c r="D166" t="inlineStr">
        <is>
          <t>NORRBOTTENS LÄN</t>
        </is>
      </c>
      <c r="E166" t="inlineStr">
        <is>
          <t>GÄLLIVARE</t>
        </is>
      </c>
      <c r="F166" t="inlineStr">
        <is>
          <t>Sveaskog</t>
        </is>
      </c>
      <c r="G166" t="n">
        <v>6.8</v>
      </c>
      <c r="H166" t="n">
        <v>0</v>
      </c>
      <c r="I166" t="n">
        <v>0</v>
      </c>
      <c r="J166" t="n">
        <v>0</v>
      </c>
      <c r="K166" t="n">
        <v>0</v>
      </c>
      <c r="L166" t="n">
        <v>0</v>
      </c>
      <c r="M166" t="n">
        <v>0</v>
      </c>
      <c r="N166" t="n">
        <v>0</v>
      </c>
      <c r="O166" t="n">
        <v>0</v>
      </c>
      <c r="P166" t="n">
        <v>0</v>
      </c>
      <c r="Q166" t="n">
        <v>0</v>
      </c>
      <c r="R166" s="2" t="inlineStr"/>
    </row>
    <row r="167" ht="15" customHeight="1">
      <c r="A167" t="inlineStr">
        <is>
          <t>A 46056-2023</t>
        </is>
      </c>
      <c r="B167" s="1" t="n">
        <v>45196</v>
      </c>
      <c r="C167" s="1" t="n">
        <v>45972</v>
      </c>
      <c r="D167" t="inlineStr">
        <is>
          <t>NORRBOTTENS LÄN</t>
        </is>
      </c>
      <c r="E167" t="inlineStr">
        <is>
          <t>GÄLLIVARE</t>
        </is>
      </c>
      <c r="G167" t="n">
        <v>3.9</v>
      </c>
      <c r="H167" t="n">
        <v>0</v>
      </c>
      <c r="I167" t="n">
        <v>0</v>
      </c>
      <c r="J167" t="n">
        <v>0</v>
      </c>
      <c r="K167" t="n">
        <v>0</v>
      </c>
      <c r="L167" t="n">
        <v>0</v>
      </c>
      <c r="M167" t="n">
        <v>0</v>
      </c>
      <c r="N167" t="n">
        <v>0</v>
      </c>
      <c r="O167" t="n">
        <v>0</v>
      </c>
      <c r="P167" t="n">
        <v>0</v>
      </c>
      <c r="Q167" t="n">
        <v>0</v>
      </c>
      <c r="R167" s="2" t="inlineStr"/>
    </row>
    <row r="168" ht="15" customHeight="1">
      <c r="A168" t="inlineStr">
        <is>
          <t>A 49873-2023</t>
        </is>
      </c>
      <c r="B168" s="1" t="n">
        <v>45212</v>
      </c>
      <c r="C168" s="1" t="n">
        <v>45972</v>
      </c>
      <c r="D168" t="inlineStr">
        <is>
          <t>NORRBOTTENS LÄN</t>
        </is>
      </c>
      <c r="E168" t="inlineStr">
        <is>
          <t>GÄLLIVARE</t>
        </is>
      </c>
      <c r="F168" t="inlineStr">
        <is>
          <t>SCA</t>
        </is>
      </c>
      <c r="G168" t="n">
        <v>4.2</v>
      </c>
      <c r="H168" t="n">
        <v>0</v>
      </c>
      <c r="I168" t="n">
        <v>0</v>
      </c>
      <c r="J168" t="n">
        <v>0</v>
      </c>
      <c r="K168" t="n">
        <v>0</v>
      </c>
      <c r="L168" t="n">
        <v>0</v>
      </c>
      <c r="M168" t="n">
        <v>0</v>
      </c>
      <c r="N168" t="n">
        <v>0</v>
      </c>
      <c r="O168" t="n">
        <v>0</v>
      </c>
      <c r="P168" t="n">
        <v>0</v>
      </c>
      <c r="Q168" t="n">
        <v>0</v>
      </c>
      <c r="R168" s="2" t="inlineStr"/>
    </row>
    <row r="169" ht="15" customHeight="1">
      <c r="A169" t="inlineStr">
        <is>
          <t>A 5776-2025</t>
        </is>
      </c>
      <c r="B169" s="1" t="n">
        <v>45694</v>
      </c>
      <c r="C169" s="1" t="n">
        <v>45972</v>
      </c>
      <c r="D169" t="inlineStr">
        <is>
          <t>NORRBOTTENS LÄN</t>
        </is>
      </c>
      <c r="E169" t="inlineStr">
        <is>
          <t>GÄLLIVARE</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55259-2024</t>
        </is>
      </c>
      <c r="B170" s="1" t="n">
        <v>45621</v>
      </c>
      <c r="C170" s="1" t="n">
        <v>45972</v>
      </c>
      <c r="D170" t="inlineStr">
        <is>
          <t>NORRBOTTENS LÄN</t>
        </is>
      </c>
      <c r="E170" t="inlineStr">
        <is>
          <t>GÄLLIVARE</t>
        </is>
      </c>
      <c r="G170" t="n">
        <v>17.9</v>
      </c>
      <c r="H170" t="n">
        <v>0</v>
      </c>
      <c r="I170" t="n">
        <v>0</v>
      </c>
      <c r="J170" t="n">
        <v>0</v>
      </c>
      <c r="K170" t="n">
        <v>0</v>
      </c>
      <c r="L170" t="n">
        <v>0</v>
      </c>
      <c r="M170" t="n">
        <v>0</v>
      </c>
      <c r="N170" t="n">
        <v>0</v>
      </c>
      <c r="O170" t="n">
        <v>0</v>
      </c>
      <c r="P170" t="n">
        <v>0</v>
      </c>
      <c r="Q170" t="n">
        <v>0</v>
      </c>
      <c r="R170" s="2" t="inlineStr"/>
    </row>
    <row r="171" ht="15" customHeight="1">
      <c r="A171" t="inlineStr">
        <is>
          <t>A 30367-2024</t>
        </is>
      </c>
      <c r="B171" s="1" t="n">
        <v>45491</v>
      </c>
      <c r="C171" s="1" t="n">
        <v>45972</v>
      </c>
      <c r="D171" t="inlineStr">
        <is>
          <t>NORRBOTTENS LÄN</t>
        </is>
      </c>
      <c r="E171" t="inlineStr">
        <is>
          <t>GÄLLIVARE</t>
        </is>
      </c>
      <c r="G171" t="n">
        <v>8</v>
      </c>
      <c r="H171" t="n">
        <v>0</v>
      </c>
      <c r="I171" t="n">
        <v>0</v>
      </c>
      <c r="J171" t="n">
        <v>0</v>
      </c>
      <c r="K171" t="n">
        <v>0</v>
      </c>
      <c r="L171" t="n">
        <v>0</v>
      </c>
      <c r="M171" t="n">
        <v>0</v>
      </c>
      <c r="N171" t="n">
        <v>0</v>
      </c>
      <c r="O171" t="n">
        <v>0</v>
      </c>
      <c r="P171" t="n">
        <v>0</v>
      </c>
      <c r="Q171" t="n">
        <v>0</v>
      </c>
      <c r="R171" s="2" t="inlineStr"/>
    </row>
    <row r="172" ht="15" customHeight="1">
      <c r="A172" t="inlineStr">
        <is>
          <t>A 59194-2022</t>
        </is>
      </c>
      <c r="B172" s="1" t="n">
        <v>44904</v>
      </c>
      <c r="C172" s="1" t="n">
        <v>45972</v>
      </c>
      <c r="D172" t="inlineStr">
        <is>
          <t>NORRBOTTENS LÄN</t>
        </is>
      </c>
      <c r="E172" t="inlineStr">
        <is>
          <t>GÄLLIVARE</t>
        </is>
      </c>
      <c r="G172" t="n">
        <v>3.4</v>
      </c>
      <c r="H172" t="n">
        <v>0</v>
      </c>
      <c r="I172" t="n">
        <v>0</v>
      </c>
      <c r="J172" t="n">
        <v>0</v>
      </c>
      <c r="K172" t="n">
        <v>0</v>
      </c>
      <c r="L172" t="n">
        <v>0</v>
      </c>
      <c r="M172" t="n">
        <v>0</v>
      </c>
      <c r="N172" t="n">
        <v>0</v>
      </c>
      <c r="O172" t="n">
        <v>0</v>
      </c>
      <c r="P172" t="n">
        <v>0</v>
      </c>
      <c r="Q172" t="n">
        <v>0</v>
      </c>
      <c r="R172" s="2" t="inlineStr"/>
    </row>
    <row r="173" ht="15" customHeight="1">
      <c r="A173" t="inlineStr">
        <is>
          <t>A 44983-2023</t>
        </is>
      </c>
      <c r="B173" s="1" t="n">
        <v>45190</v>
      </c>
      <c r="C173" s="1" t="n">
        <v>45972</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14975-2025</t>
        </is>
      </c>
      <c r="B174" s="1" t="n">
        <v>45743</v>
      </c>
      <c r="C174" s="1" t="n">
        <v>45972</v>
      </c>
      <c r="D174" t="inlineStr">
        <is>
          <t>NORRBOTTENS LÄN</t>
        </is>
      </c>
      <c r="E174" t="inlineStr">
        <is>
          <t>GÄLLIVARE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45972</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27666-2024</t>
        </is>
      </c>
      <c r="B176" s="1" t="n">
        <v>45474</v>
      </c>
      <c r="C176" s="1" t="n">
        <v>45972</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64237-2023</t>
        </is>
      </c>
      <c r="B177" s="1" t="n">
        <v>45279.92658564815</v>
      </c>
      <c r="C177" s="1" t="n">
        <v>45972</v>
      </c>
      <c r="D177" t="inlineStr">
        <is>
          <t>NORRBOTTENS LÄN</t>
        </is>
      </c>
      <c r="E177" t="inlineStr">
        <is>
          <t>GÄLLIVARE</t>
        </is>
      </c>
      <c r="G177" t="n">
        <v>3.1</v>
      </c>
      <c r="H177" t="n">
        <v>0</v>
      </c>
      <c r="I177" t="n">
        <v>0</v>
      </c>
      <c r="J177" t="n">
        <v>0</v>
      </c>
      <c r="K177" t="n">
        <v>0</v>
      </c>
      <c r="L177" t="n">
        <v>0</v>
      </c>
      <c r="M177" t="n">
        <v>0</v>
      </c>
      <c r="N177" t="n">
        <v>0</v>
      </c>
      <c r="O177" t="n">
        <v>0</v>
      </c>
      <c r="P177" t="n">
        <v>0</v>
      </c>
      <c r="Q177" t="n">
        <v>0</v>
      </c>
      <c r="R177" s="2" t="inlineStr"/>
    </row>
    <row r="178" ht="15" customHeight="1">
      <c r="A178" t="inlineStr">
        <is>
          <t>A 4756-2023</t>
        </is>
      </c>
      <c r="B178" s="1" t="n">
        <v>44953</v>
      </c>
      <c r="C178" s="1" t="n">
        <v>45972</v>
      </c>
      <c r="D178" t="inlineStr">
        <is>
          <t>NORRBOTTENS LÄN</t>
        </is>
      </c>
      <c r="E178" t="inlineStr">
        <is>
          <t>GÄLLIVARE</t>
        </is>
      </c>
      <c r="G178" t="n">
        <v>4.2</v>
      </c>
      <c r="H178" t="n">
        <v>0</v>
      </c>
      <c r="I178" t="n">
        <v>0</v>
      </c>
      <c r="J178" t="n">
        <v>0</v>
      </c>
      <c r="K178" t="n">
        <v>0</v>
      </c>
      <c r="L178" t="n">
        <v>0</v>
      </c>
      <c r="M178" t="n">
        <v>0</v>
      </c>
      <c r="N178" t="n">
        <v>0</v>
      </c>
      <c r="O178" t="n">
        <v>0</v>
      </c>
      <c r="P178" t="n">
        <v>0</v>
      </c>
      <c r="Q178" t="n">
        <v>0</v>
      </c>
      <c r="R178" s="2" t="inlineStr"/>
    </row>
    <row r="179" ht="15" customHeight="1">
      <c r="A179" t="inlineStr">
        <is>
          <t>A 25488-2024</t>
        </is>
      </c>
      <c r="B179" s="1" t="n">
        <v>45463</v>
      </c>
      <c r="C179" s="1" t="n">
        <v>45972</v>
      </c>
      <c r="D179" t="inlineStr">
        <is>
          <t>NORRBOTTENS LÄN</t>
        </is>
      </c>
      <c r="E179" t="inlineStr">
        <is>
          <t>GÄLLIVARE</t>
        </is>
      </c>
      <c r="G179" t="n">
        <v>13.6</v>
      </c>
      <c r="H179" t="n">
        <v>0</v>
      </c>
      <c r="I179" t="n">
        <v>0</v>
      </c>
      <c r="J179" t="n">
        <v>0</v>
      </c>
      <c r="K179" t="n">
        <v>0</v>
      </c>
      <c r="L179" t="n">
        <v>0</v>
      </c>
      <c r="M179" t="n">
        <v>0</v>
      </c>
      <c r="N179" t="n">
        <v>0</v>
      </c>
      <c r="O179" t="n">
        <v>0</v>
      </c>
      <c r="P179" t="n">
        <v>0</v>
      </c>
      <c r="Q179" t="n">
        <v>0</v>
      </c>
      <c r="R179" s="2" t="inlineStr"/>
    </row>
    <row r="180" ht="15" customHeight="1">
      <c r="A180" t="inlineStr">
        <is>
          <t>A 14660-2025</t>
        </is>
      </c>
      <c r="B180" s="1" t="n">
        <v>45742</v>
      </c>
      <c r="C180" s="1" t="n">
        <v>45972</v>
      </c>
      <c r="D180" t="inlineStr">
        <is>
          <t>NORRBOTTENS LÄN</t>
        </is>
      </c>
      <c r="E180" t="inlineStr">
        <is>
          <t>GÄLLIVARE</t>
        </is>
      </c>
      <c r="G180" t="n">
        <v>10.3</v>
      </c>
      <c r="H180" t="n">
        <v>0</v>
      </c>
      <c r="I180" t="n">
        <v>0</v>
      </c>
      <c r="J180" t="n">
        <v>0</v>
      </c>
      <c r="K180" t="n">
        <v>0</v>
      </c>
      <c r="L180" t="n">
        <v>0</v>
      </c>
      <c r="M180" t="n">
        <v>0</v>
      </c>
      <c r="N180" t="n">
        <v>0</v>
      </c>
      <c r="O180" t="n">
        <v>0</v>
      </c>
      <c r="P180" t="n">
        <v>0</v>
      </c>
      <c r="Q180" t="n">
        <v>0</v>
      </c>
      <c r="R180" s="2" t="inlineStr"/>
    </row>
    <row r="181" ht="15" customHeight="1">
      <c r="A181" t="inlineStr">
        <is>
          <t>A 36251-2023</t>
        </is>
      </c>
      <c r="B181" s="1" t="n">
        <v>45150.94185185185</v>
      </c>
      <c r="C181" s="1" t="n">
        <v>45972</v>
      </c>
      <c r="D181" t="inlineStr">
        <is>
          <t>NORRBOTTENS LÄN</t>
        </is>
      </c>
      <c r="E181" t="inlineStr">
        <is>
          <t>GÄLLIVARE</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36969-2023</t>
        </is>
      </c>
      <c r="B182" s="1" t="n">
        <v>45154.95400462963</v>
      </c>
      <c r="C182" s="1" t="n">
        <v>45972</v>
      </c>
      <c r="D182" t="inlineStr">
        <is>
          <t>NORRBOTTENS LÄN</t>
        </is>
      </c>
      <c r="E182" t="inlineStr">
        <is>
          <t>GÄLLIVARE</t>
        </is>
      </c>
      <c r="F182" t="inlineStr">
        <is>
          <t>SCA</t>
        </is>
      </c>
      <c r="G182" t="n">
        <v>10.8</v>
      </c>
      <c r="H182" t="n">
        <v>0</v>
      </c>
      <c r="I182" t="n">
        <v>0</v>
      </c>
      <c r="J182" t="n">
        <v>0</v>
      </c>
      <c r="K182" t="n">
        <v>0</v>
      </c>
      <c r="L182" t="n">
        <v>0</v>
      </c>
      <c r="M182" t="n">
        <v>0</v>
      </c>
      <c r="N182" t="n">
        <v>0</v>
      </c>
      <c r="O182" t="n">
        <v>0</v>
      </c>
      <c r="P182" t="n">
        <v>0</v>
      </c>
      <c r="Q182" t="n">
        <v>0</v>
      </c>
      <c r="R182" s="2" t="inlineStr"/>
    </row>
    <row r="183" ht="15" customHeight="1">
      <c r="A183" t="inlineStr">
        <is>
          <t>A 28046-2024</t>
        </is>
      </c>
      <c r="B183" s="1" t="n">
        <v>45476</v>
      </c>
      <c r="C183" s="1" t="n">
        <v>45972</v>
      </c>
      <c r="D183" t="inlineStr">
        <is>
          <t>NORRBOTTENS LÄN</t>
        </is>
      </c>
      <c r="E183" t="inlineStr">
        <is>
          <t>GÄLLIVARE</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55221-2022</t>
        </is>
      </c>
      <c r="B184" s="1" t="n">
        <v>44886</v>
      </c>
      <c r="C184" s="1" t="n">
        <v>45972</v>
      </c>
      <c r="D184" t="inlineStr">
        <is>
          <t>NORRBOTTENS LÄN</t>
        </is>
      </c>
      <c r="E184" t="inlineStr">
        <is>
          <t>GÄLLIVARE</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55223-2022</t>
        </is>
      </c>
      <c r="B185" s="1" t="n">
        <v>44886</v>
      </c>
      <c r="C185" s="1" t="n">
        <v>45972</v>
      </c>
      <c r="D185" t="inlineStr">
        <is>
          <t>NORRBOTTENS LÄN</t>
        </is>
      </c>
      <c r="E185" t="inlineStr">
        <is>
          <t>GÄLLIVARE</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4390-2025</t>
        </is>
      </c>
      <c r="B186" s="1" t="n">
        <v>45686.41289351852</v>
      </c>
      <c r="C186" s="1" t="n">
        <v>45972</v>
      </c>
      <c r="D186" t="inlineStr">
        <is>
          <t>NORRBOTTENS LÄN</t>
        </is>
      </c>
      <c r="E186" t="inlineStr">
        <is>
          <t>GÄLLIVARE</t>
        </is>
      </c>
      <c r="F186" t="inlineStr">
        <is>
          <t>Sveaskog</t>
        </is>
      </c>
      <c r="G186" t="n">
        <v>12.7</v>
      </c>
      <c r="H186" t="n">
        <v>0</v>
      </c>
      <c r="I186" t="n">
        <v>0</v>
      </c>
      <c r="J186" t="n">
        <v>0</v>
      </c>
      <c r="K186" t="n">
        <v>0</v>
      </c>
      <c r="L186" t="n">
        <v>0</v>
      </c>
      <c r="M186" t="n">
        <v>0</v>
      </c>
      <c r="N186" t="n">
        <v>0</v>
      </c>
      <c r="O186" t="n">
        <v>0</v>
      </c>
      <c r="P186" t="n">
        <v>0</v>
      </c>
      <c r="Q186" t="n">
        <v>0</v>
      </c>
      <c r="R186" s="2" t="inlineStr"/>
    </row>
    <row r="187" ht="15" customHeight="1">
      <c r="A187" t="inlineStr">
        <is>
          <t>A 20259-2025</t>
        </is>
      </c>
      <c r="B187" s="1" t="n">
        <v>45773.344375</v>
      </c>
      <c r="C187" s="1" t="n">
        <v>45972</v>
      </c>
      <c r="D187" t="inlineStr">
        <is>
          <t>NORRBOTTENS LÄN</t>
        </is>
      </c>
      <c r="E187" t="inlineStr">
        <is>
          <t>GÄLLIVARE</t>
        </is>
      </c>
      <c r="F187" t="inlineStr">
        <is>
          <t>SCA</t>
        </is>
      </c>
      <c r="G187" t="n">
        <v>25.2</v>
      </c>
      <c r="H187" t="n">
        <v>0</v>
      </c>
      <c r="I187" t="n">
        <v>0</v>
      </c>
      <c r="J187" t="n">
        <v>0</v>
      </c>
      <c r="K187" t="n">
        <v>0</v>
      </c>
      <c r="L187" t="n">
        <v>0</v>
      </c>
      <c r="M187" t="n">
        <v>0</v>
      </c>
      <c r="N187" t="n">
        <v>0</v>
      </c>
      <c r="O187" t="n">
        <v>0</v>
      </c>
      <c r="P187" t="n">
        <v>0</v>
      </c>
      <c r="Q187" t="n">
        <v>0</v>
      </c>
      <c r="R187" s="2" t="inlineStr"/>
    </row>
    <row r="188" ht="15" customHeight="1">
      <c r="A188" t="inlineStr">
        <is>
          <t>A 4636-2025</t>
        </is>
      </c>
      <c r="B188" s="1" t="n">
        <v>45687.64724537037</v>
      </c>
      <c r="C188" s="1" t="n">
        <v>45972</v>
      </c>
      <c r="D188" t="inlineStr">
        <is>
          <t>NORRBOTTENS LÄN</t>
        </is>
      </c>
      <c r="E188" t="inlineStr">
        <is>
          <t>GÄLLIVARE</t>
        </is>
      </c>
      <c r="G188" t="n">
        <v>1.4</v>
      </c>
      <c r="H188" t="n">
        <v>0</v>
      </c>
      <c r="I188" t="n">
        <v>0</v>
      </c>
      <c r="J188" t="n">
        <v>0</v>
      </c>
      <c r="K188" t="n">
        <v>0</v>
      </c>
      <c r="L188" t="n">
        <v>0</v>
      </c>
      <c r="M188" t="n">
        <v>0</v>
      </c>
      <c r="N188" t="n">
        <v>0</v>
      </c>
      <c r="O188" t="n">
        <v>0</v>
      </c>
      <c r="P188" t="n">
        <v>0</v>
      </c>
      <c r="Q188" t="n">
        <v>0</v>
      </c>
      <c r="R188" s="2" t="inlineStr"/>
    </row>
    <row r="189" ht="15" customHeight="1">
      <c r="A189" t="inlineStr">
        <is>
          <t>A 55588-2023</t>
        </is>
      </c>
      <c r="B189" s="1" t="n">
        <v>45238.67594907407</v>
      </c>
      <c r="C189" s="1" t="n">
        <v>45972</v>
      </c>
      <c r="D189" t="inlineStr">
        <is>
          <t>NORRBOTTENS LÄN</t>
        </is>
      </c>
      <c r="E189" t="inlineStr">
        <is>
          <t>GÄLLIVARE</t>
        </is>
      </c>
      <c r="G189" t="n">
        <v>4.1</v>
      </c>
      <c r="H189" t="n">
        <v>0</v>
      </c>
      <c r="I189" t="n">
        <v>0</v>
      </c>
      <c r="J189" t="n">
        <v>0</v>
      </c>
      <c r="K189" t="n">
        <v>0</v>
      </c>
      <c r="L189" t="n">
        <v>0</v>
      </c>
      <c r="M189" t="n">
        <v>0</v>
      </c>
      <c r="N189" t="n">
        <v>0</v>
      </c>
      <c r="O189" t="n">
        <v>0</v>
      </c>
      <c r="P189" t="n">
        <v>0</v>
      </c>
      <c r="Q189" t="n">
        <v>0</v>
      </c>
      <c r="R189" s="2" t="inlineStr"/>
    </row>
    <row r="190" ht="15" customHeight="1">
      <c r="A190" t="inlineStr">
        <is>
          <t>A 404-2023</t>
        </is>
      </c>
      <c r="B190" s="1" t="n">
        <v>44923</v>
      </c>
      <c r="C190" s="1" t="n">
        <v>45972</v>
      </c>
      <c r="D190" t="inlineStr">
        <is>
          <t>NORRBOTTENS LÄN</t>
        </is>
      </c>
      <c r="E190" t="inlineStr">
        <is>
          <t>GÄLLIVARE</t>
        </is>
      </c>
      <c r="G190" t="n">
        <v>1</v>
      </c>
      <c r="H190" t="n">
        <v>0</v>
      </c>
      <c r="I190" t="n">
        <v>0</v>
      </c>
      <c r="J190" t="n">
        <v>0</v>
      </c>
      <c r="K190" t="n">
        <v>0</v>
      </c>
      <c r="L190" t="n">
        <v>0</v>
      </c>
      <c r="M190" t="n">
        <v>0</v>
      </c>
      <c r="N190" t="n">
        <v>0</v>
      </c>
      <c r="O190" t="n">
        <v>0</v>
      </c>
      <c r="P190" t="n">
        <v>0</v>
      </c>
      <c r="Q190" t="n">
        <v>0</v>
      </c>
      <c r="R190" s="2" t="inlineStr"/>
    </row>
    <row r="191" ht="15" customHeight="1">
      <c r="A191" t="inlineStr">
        <is>
          <t>A 46271-2023</t>
        </is>
      </c>
      <c r="B191" s="1" t="n">
        <v>45196</v>
      </c>
      <c r="C191" s="1" t="n">
        <v>45972</v>
      </c>
      <c r="D191" t="inlineStr">
        <is>
          <t>NORRBOTTENS LÄN</t>
        </is>
      </c>
      <c r="E191" t="inlineStr">
        <is>
          <t>GÄLLIVARE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59695-2024</t>
        </is>
      </c>
      <c r="B192" s="1" t="n">
        <v>45639</v>
      </c>
      <c r="C192" s="1" t="n">
        <v>45972</v>
      </c>
      <c r="D192" t="inlineStr">
        <is>
          <t>NORRBOTTENS LÄN</t>
        </is>
      </c>
      <c r="E192" t="inlineStr">
        <is>
          <t>GÄLLIVARE</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14666-2025</t>
        </is>
      </c>
      <c r="B193" s="1" t="n">
        <v>45742</v>
      </c>
      <c r="C193" s="1" t="n">
        <v>45972</v>
      </c>
      <c r="D193" t="inlineStr">
        <is>
          <t>NORRBOTTENS LÄN</t>
        </is>
      </c>
      <c r="E193" t="inlineStr">
        <is>
          <t>GÄLLIVARE</t>
        </is>
      </c>
      <c r="G193" t="n">
        <v>3.7</v>
      </c>
      <c r="H193" t="n">
        <v>0</v>
      </c>
      <c r="I193" t="n">
        <v>0</v>
      </c>
      <c r="J193" t="n">
        <v>0</v>
      </c>
      <c r="K193" t="n">
        <v>0</v>
      </c>
      <c r="L193" t="n">
        <v>0</v>
      </c>
      <c r="M193" t="n">
        <v>0</v>
      </c>
      <c r="N193" t="n">
        <v>0</v>
      </c>
      <c r="O193" t="n">
        <v>0</v>
      </c>
      <c r="P193" t="n">
        <v>0</v>
      </c>
      <c r="Q193" t="n">
        <v>0</v>
      </c>
      <c r="R193" s="2" t="inlineStr"/>
    </row>
    <row r="194" ht="15" customHeight="1">
      <c r="A194" t="inlineStr">
        <is>
          <t>A 59232-2024</t>
        </is>
      </c>
      <c r="B194" s="1" t="n">
        <v>45637</v>
      </c>
      <c r="C194" s="1" t="n">
        <v>45972</v>
      </c>
      <c r="D194" t="inlineStr">
        <is>
          <t>NORRBOTTENS LÄN</t>
        </is>
      </c>
      <c r="E194" t="inlineStr">
        <is>
          <t>GÄLLIVARE</t>
        </is>
      </c>
      <c r="G194" t="n">
        <v>2.5</v>
      </c>
      <c r="H194" t="n">
        <v>0</v>
      </c>
      <c r="I194" t="n">
        <v>0</v>
      </c>
      <c r="J194" t="n">
        <v>0</v>
      </c>
      <c r="K194" t="n">
        <v>0</v>
      </c>
      <c r="L194" t="n">
        <v>0</v>
      </c>
      <c r="M194" t="n">
        <v>0</v>
      </c>
      <c r="N194" t="n">
        <v>0</v>
      </c>
      <c r="O194" t="n">
        <v>0</v>
      </c>
      <c r="P194" t="n">
        <v>0</v>
      </c>
      <c r="Q194" t="n">
        <v>0</v>
      </c>
      <c r="R194" s="2" t="inlineStr"/>
    </row>
    <row r="195" ht="15" customHeight="1">
      <c r="A195" t="inlineStr">
        <is>
          <t>A 47208-2025</t>
        </is>
      </c>
      <c r="B195" s="1" t="n">
        <v>45930.37351851852</v>
      </c>
      <c r="C195" s="1" t="n">
        <v>45972</v>
      </c>
      <c r="D195" t="inlineStr">
        <is>
          <t>NORRBOTTENS LÄN</t>
        </is>
      </c>
      <c r="E195" t="inlineStr">
        <is>
          <t>GÄLLIVARE</t>
        </is>
      </c>
      <c r="F195" t="inlineStr">
        <is>
          <t>Sveaskog</t>
        </is>
      </c>
      <c r="G195" t="n">
        <v>3.1</v>
      </c>
      <c r="H195" t="n">
        <v>0</v>
      </c>
      <c r="I195" t="n">
        <v>0</v>
      </c>
      <c r="J195" t="n">
        <v>0</v>
      </c>
      <c r="K195" t="n">
        <v>0</v>
      </c>
      <c r="L195" t="n">
        <v>0</v>
      </c>
      <c r="M195" t="n">
        <v>0</v>
      </c>
      <c r="N195" t="n">
        <v>0</v>
      </c>
      <c r="O195" t="n">
        <v>0</v>
      </c>
      <c r="P195" t="n">
        <v>0</v>
      </c>
      <c r="Q195" t="n">
        <v>0</v>
      </c>
      <c r="R195" s="2" t="inlineStr"/>
    </row>
    <row r="196" ht="15" customHeight="1">
      <c r="A196" t="inlineStr">
        <is>
          <t>A 55407-2023</t>
        </is>
      </c>
      <c r="B196" s="1" t="n">
        <v>45231</v>
      </c>
      <c r="C196" s="1" t="n">
        <v>45972</v>
      </c>
      <c r="D196" t="inlineStr">
        <is>
          <t>NORRBOTTENS LÄN</t>
        </is>
      </c>
      <c r="E196" t="inlineStr">
        <is>
          <t>GÄLLIVARE</t>
        </is>
      </c>
      <c r="G196" t="n">
        <v>6.3</v>
      </c>
      <c r="H196" t="n">
        <v>0</v>
      </c>
      <c r="I196" t="n">
        <v>0</v>
      </c>
      <c r="J196" t="n">
        <v>0</v>
      </c>
      <c r="K196" t="n">
        <v>0</v>
      </c>
      <c r="L196" t="n">
        <v>0</v>
      </c>
      <c r="M196" t="n">
        <v>0</v>
      </c>
      <c r="N196" t="n">
        <v>0</v>
      </c>
      <c r="O196" t="n">
        <v>0</v>
      </c>
      <c r="P196" t="n">
        <v>0</v>
      </c>
      <c r="Q196" t="n">
        <v>0</v>
      </c>
      <c r="R196" s="2" t="inlineStr"/>
    </row>
    <row r="197" ht="15" customHeight="1">
      <c r="A197" t="inlineStr">
        <is>
          <t>A 33373-2023</t>
        </is>
      </c>
      <c r="B197" s="1" t="n">
        <v>45117</v>
      </c>
      <c r="C197" s="1" t="n">
        <v>45972</v>
      </c>
      <c r="D197" t="inlineStr">
        <is>
          <t>NORRBOTTENS LÄN</t>
        </is>
      </c>
      <c r="E197" t="inlineStr">
        <is>
          <t>GÄLLIVARE</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36681-2021</t>
        </is>
      </c>
      <c r="B198" s="1" t="n">
        <v>44392</v>
      </c>
      <c r="C198" s="1" t="n">
        <v>45972</v>
      </c>
      <c r="D198" t="inlineStr">
        <is>
          <t>NORRBOTTENS LÄN</t>
        </is>
      </c>
      <c r="E198" t="inlineStr">
        <is>
          <t>GÄLLIVARE</t>
        </is>
      </c>
      <c r="G198" t="n">
        <v>7.6</v>
      </c>
      <c r="H198" t="n">
        <v>0</v>
      </c>
      <c r="I198" t="n">
        <v>0</v>
      </c>
      <c r="J198" t="n">
        <v>0</v>
      </c>
      <c r="K198" t="n">
        <v>0</v>
      </c>
      <c r="L198" t="n">
        <v>0</v>
      </c>
      <c r="M198" t="n">
        <v>0</v>
      </c>
      <c r="N198" t="n">
        <v>0</v>
      </c>
      <c r="O198" t="n">
        <v>0</v>
      </c>
      <c r="P198" t="n">
        <v>0</v>
      </c>
      <c r="Q198" t="n">
        <v>0</v>
      </c>
      <c r="R198" s="2" t="inlineStr"/>
    </row>
    <row r="199" ht="15" customHeight="1">
      <c r="A199" t="inlineStr">
        <is>
          <t>A 15151-2025</t>
        </is>
      </c>
      <c r="B199" s="1" t="n">
        <v>45744</v>
      </c>
      <c r="C199" s="1" t="n">
        <v>45972</v>
      </c>
      <c r="D199" t="inlineStr">
        <is>
          <t>NORRBOTTENS LÄN</t>
        </is>
      </c>
      <c r="E199" t="inlineStr">
        <is>
          <t>GÄLLIVARE</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57442-2022</t>
        </is>
      </c>
      <c r="B200" s="1" t="n">
        <v>44896</v>
      </c>
      <c r="C200" s="1" t="n">
        <v>45972</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42612-2023</t>
        </is>
      </c>
      <c r="B201" s="1" t="n">
        <v>45176</v>
      </c>
      <c r="C201" s="1" t="n">
        <v>45972</v>
      </c>
      <c r="D201" t="inlineStr">
        <is>
          <t>NORRBOTTENS LÄN</t>
        </is>
      </c>
      <c r="E201" t="inlineStr">
        <is>
          <t>GÄLLIVARE</t>
        </is>
      </c>
      <c r="G201" t="n">
        <v>3.9</v>
      </c>
      <c r="H201" t="n">
        <v>0</v>
      </c>
      <c r="I201" t="n">
        <v>0</v>
      </c>
      <c r="J201" t="n">
        <v>0</v>
      </c>
      <c r="K201" t="n">
        <v>0</v>
      </c>
      <c r="L201" t="n">
        <v>0</v>
      </c>
      <c r="M201" t="n">
        <v>0</v>
      </c>
      <c r="N201" t="n">
        <v>0</v>
      </c>
      <c r="O201" t="n">
        <v>0</v>
      </c>
      <c r="P201" t="n">
        <v>0</v>
      </c>
      <c r="Q201" t="n">
        <v>0</v>
      </c>
      <c r="R201" s="2" t="inlineStr"/>
    </row>
    <row r="202" ht="15" customHeight="1">
      <c r="A202" t="inlineStr">
        <is>
          <t>A 3270-2025</t>
        </is>
      </c>
      <c r="B202" s="1" t="n">
        <v>45679</v>
      </c>
      <c r="C202" s="1" t="n">
        <v>45972</v>
      </c>
      <c r="D202" t="inlineStr">
        <is>
          <t>NORRBOTTENS LÄN</t>
        </is>
      </c>
      <c r="E202" t="inlineStr">
        <is>
          <t>GÄLLIVARE</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16068-2023</t>
        </is>
      </c>
      <c r="B203" s="1" t="n">
        <v>45027</v>
      </c>
      <c r="C203" s="1" t="n">
        <v>45972</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9650-2024</t>
        </is>
      </c>
      <c r="B204" s="1" t="n">
        <v>45362</v>
      </c>
      <c r="C204" s="1" t="n">
        <v>45972</v>
      </c>
      <c r="D204" t="inlineStr">
        <is>
          <t>NORRBOTTENS LÄN</t>
        </is>
      </c>
      <c r="E204" t="inlineStr">
        <is>
          <t>GÄLLIVARE</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39337-2025</t>
        </is>
      </c>
      <c r="B205" s="1" t="n">
        <v>45889</v>
      </c>
      <c r="C205" s="1" t="n">
        <v>45972</v>
      </c>
      <c r="D205" t="inlineStr">
        <is>
          <t>NORRBOTTENS LÄN</t>
        </is>
      </c>
      <c r="E205" t="inlineStr">
        <is>
          <t>GÄLLIVARE</t>
        </is>
      </c>
      <c r="F205" t="inlineStr">
        <is>
          <t>Sveaskog</t>
        </is>
      </c>
      <c r="G205" t="n">
        <v>36.8</v>
      </c>
      <c r="H205" t="n">
        <v>0</v>
      </c>
      <c r="I205" t="n">
        <v>0</v>
      </c>
      <c r="J205" t="n">
        <v>0</v>
      </c>
      <c r="K205" t="n">
        <v>0</v>
      </c>
      <c r="L205" t="n">
        <v>0</v>
      </c>
      <c r="M205" t="n">
        <v>0</v>
      </c>
      <c r="N205" t="n">
        <v>0</v>
      </c>
      <c r="O205" t="n">
        <v>0</v>
      </c>
      <c r="P205" t="n">
        <v>0</v>
      </c>
      <c r="Q205" t="n">
        <v>0</v>
      </c>
      <c r="R205" s="2" t="inlineStr"/>
    </row>
    <row r="206" ht="15" customHeight="1">
      <c r="A206" t="inlineStr">
        <is>
          <t>A 39414-2025</t>
        </is>
      </c>
      <c r="B206" s="1" t="n">
        <v>45889.65699074074</v>
      </c>
      <c r="C206" s="1" t="n">
        <v>45972</v>
      </c>
      <c r="D206" t="inlineStr">
        <is>
          <t>NORRBOTTENS LÄN</t>
        </is>
      </c>
      <c r="E206" t="inlineStr">
        <is>
          <t>GÄLLIVARE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5481-2025</t>
        </is>
      </c>
      <c r="B207" s="1" t="n">
        <v>45693</v>
      </c>
      <c r="C207" s="1" t="n">
        <v>45972</v>
      </c>
      <c r="D207" t="inlineStr">
        <is>
          <t>NORRBOTTENS LÄN</t>
        </is>
      </c>
      <c r="E207" t="inlineStr">
        <is>
          <t>GÄLLIVARE</t>
        </is>
      </c>
      <c r="F207" t="inlineStr">
        <is>
          <t>SCA</t>
        </is>
      </c>
      <c r="G207" t="n">
        <v>13.1</v>
      </c>
      <c r="H207" t="n">
        <v>0</v>
      </c>
      <c r="I207" t="n">
        <v>0</v>
      </c>
      <c r="J207" t="n">
        <v>0</v>
      </c>
      <c r="K207" t="n">
        <v>0</v>
      </c>
      <c r="L207" t="n">
        <v>0</v>
      </c>
      <c r="M207" t="n">
        <v>0</v>
      </c>
      <c r="N207" t="n">
        <v>0</v>
      </c>
      <c r="O207" t="n">
        <v>0</v>
      </c>
      <c r="P207" t="n">
        <v>0</v>
      </c>
      <c r="Q207" t="n">
        <v>0</v>
      </c>
      <c r="R207" s="2" t="inlineStr"/>
    </row>
    <row r="208" ht="15" customHeight="1">
      <c r="A208" t="inlineStr">
        <is>
          <t>A 16952-2023</t>
        </is>
      </c>
      <c r="B208" s="1" t="n">
        <v>45033</v>
      </c>
      <c r="C208" s="1" t="n">
        <v>45972</v>
      </c>
      <c r="D208" t="inlineStr">
        <is>
          <t>NORRBOTTENS LÄN</t>
        </is>
      </c>
      <c r="E208" t="inlineStr">
        <is>
          <t>GÄLLIVARE</t>
        </is>
      </c>
      <c r="G208" t="n">
        <v>0.5</v>
      </c>
      <c r="H208" t="n">
        <v>0</v>
      </c>
      <c r="I208" t="n">
        <v>0</v>
      </c>
      <c r="J208" t="n">
        <v>0</v>
      </c>
      <c r="K208" t="n">
        <v>0</v>
      </c>
      <c r="L208" t="n">
        <v>0</v>
      </c>
      <c r="M208" t="n">
        <v>0</v>
      </c>
      <c r="N208" t="n">
        <v>0</v>
      </c>
      <c r="O208" t="n">
        <v>0</v>
      </c>
      <c r="P208" t="n">
        <v>0</v>
      </c>
      <c r="Q208" t="n">
        <v>0</v>
      </c>
      <c r="R208" s="2" t="inlineStr"/>
    </row>
    <row r="209" ht="15" customHeight="1">
      <c r="A209" t="inlineStr">
        <is>
          <t>A 49875-2023</t>
        </is>
      </c>
      <c r="B209" s="1" t="n">
        <v>45212</v>
      </c>
      <c r="C209" s="1" t="n">
        <v>45972</v>
      </c>
      <c r="D209" t="inlineStr">
        <is>
          <t>NORRBOTTENS LÄN</t>
        </is>
      </c>
      <c r="E209" t="inlineStr">
        <is>
          <t>GÄLLIVARE</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30364-2024</t>
        </is>
      </c>
      <c r="B210" s="1" t="n">
        <v>45491</v>
      </c>
      <c r="C210" s="1" t="n">
        <v>45972</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11290-2023</t>
        </is>
      </c>
      <c r="B211" s="1" t="n">
        <v>44992</v>
      </c>
      <c r="C211" s="1" t="n">
        <v>45972</v>
      </c>
      <c r="D211" t="inlineStr">
        <is>
          <t>NORRBOTTENS LÄN</t>
        </is>
      </c>
      <c r="E211" t="inlineStr">
        <is>
          <t>GÄLLIVARE</t>
        </is>
      </c>
      <c r="G211" t="n">
        <v>2</v>
      </c>
      <c r="H211" t="n">
        <v>0</v>
      </c>
      <c r="I211" t="n">
        <v>0</v>
      </c>
      <c r="J211" t="n">
        <v>0</v>
      </c>
      <c r="K211" t="n">
        <v>0</v>
      </c>
      <c r="L211" t="n">
        <v>0</v>
      </c>
      <c r="M211" t="n">
        <v>0</v>
      </c>
      <c r="N211" t="n">
        <v>0</v>
      </c>
      <c r="O211" t="n">
        <v>0</v>
      </c>
      <c r="P211" t="n">
        <v>0</v>
      </c>
      <c r="Q211" t="n">
        <v>0</v>
      </c>
      <c r="R211" s="2" t="inlineStr"/>
    </row>
    <row r="212" ht="15" customHeight="1">
      <c r="A212" t="inlineStr">
        <is>
          <t>A 6459-2023</t>
        </is>
      </c>
      <c r="B212" s="1" t="n">
        <v>44965</v>
      </c>
      <c r="C212" s="1" t="n">
        <v>45972</v>
      </c>
      <c r="D212" t="inlineStr">
        <is>
          <t>NORRBOTTENS LÄN</t>
        </is>
      </c>
      <c r="E212" t="inlineStr">
        <is>
          <t>GÄLLIVARE</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47166-2023</t>
        </is>
      </c>
      <c r="B213" s="1" t="n">
        <v>45201</v>
      </c>
      <c r="C213" s="1" t="n">
        <v>45972</v>
      </c>
      <c r="D213" t="inlineStr">
        <is>
          <t>NORRBOTTENS LÄN</t>
        </is>
      </c>
      <c r="E213" t="inlineStr">
        <is>
          <t>GÄLLIVARE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39440-2025</t>
        </is>
      </c>
      <c r="B214" s="1" t="n">
        <v>45889.68805555555</v>
      </c>
      <c r="C214" s="1" t="n">
        <v>45972</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47613-2023</t>
        </is>
      </c>
      <c r="B215" s="1" t="n">
        <v>45198</v>
      </c>
      <c r="C215" s="1" t="n">
        <v>45972</v>
      </c>
      <c r="D215" t="inlineStr">
        <is>
          <t>NORRBOTTENS LÄN</t>
        </is>
      </c>
      <c r="E215" t="inlineStr">
        <is>
          <t>GÄLLIVARE</t>
        </is>
      </c>
      <c r="G215" t="n">
        <v>1.9</v>
      </c>
      <c r="H215" t="n">
        <v>0</v>
      </c>
      <c r="I215" t="n">
        <v>0</v>
      </c>
      <c r="J215" t="n">
        <v>0</v>
      </c>
      <c r="K215" t="n">
        <v>0</v>
      </c>
      <c r="L215" t="n">
        <v>0</v>
      </c>
      <c r="M215" t="n">
        <v>0</v>
      </c>
      <c r="N215" t="n">
        <v>0</v>
      </c>
      <c r="O215" t="n">
        <v>0</v>
      </c>
      <c r="P215" t="n">
        <v>0</v>
      </c>
      <c r="Q215" t="n">
        <v>0</v>
      </c>
      <c r="R215" s="2" t="inlineStr"/>
    </row>
    <row r="216" ht="15" customHeight="1">
      <c r="A216" t="inlineStr">
        <is>
          <t>A 61795-2022</t>
        </is>
      </c>
      <c r="B216" s="1" t="n">
        <v>44911</v>
      </c>
      <c r="C216" s="1" t="n">
        <v>45972</v>
      </c>
      <c r="D216" t="inlineStr">
        <is>
          <t>NORRBOTTENS LÄN</t>
        </is>
      </c>
      <c r="E216" t="inlineStr">
        <is>
          <t>GÄLLIVARE</t>
        </is>
      </c>
      <c r="G216" t="n">
        <v>2.5</v>
      </c>
      <c r="H216" t="n">
        <v>0</v>
      </c>
      <c r="I216" t="n">
        <v>0</v>
      </c>
      <c r="J216" t="n">
        <v>0</v>
      </c>
      <c r="K216" t="n">
        <v>0</v>
      </c>
      <c r="L216" t="n">
        <v>0</v>
      </c>
      <c r="M216" t="n">
        <v>0</v>
      </c>
      <c r="N216" t="n">
        <v>0</v>
      </c>
      <c r="O216" t="n">
        <v>0</v>
      </c>
      <c r="P216" t="n">
        <v>0</v>
      </c>
      <c r="Q216" t="n">
        <v>0</v>
      </c>
      <c r="R216" s="2" t="inlineStr"/>
    </row>
    <row r="217" ht="15" customHeight="1">
      <c r="A217" t="inlineStr">
        <is>
          <t>A 64372-2023</t>
        </is>
      </c>
      <c r="B217" s="1" t="n">
        <v>45280</v>
      </c>
      <c r="C217" s="1" t="n">
        <v>45972</v>
      </c>
      <c r="D217" t="inlineStr">
        <is>
          <t>NORRBOTTENS LÄN</t>
        </is>
      </c>
      <c r="E217" t="inlineStr">
        <is>
          <t>GÄLLIVARE</t>
        </is>
      </c>
      <c r="G217" t="n">
        <v>3.3</v>
      </c>
      <c r="H217" t="n">
        <v>0</v>
      </c>
      <c r="I217" t="n">
        <v>0</v>
      </c>
      <c r="J217" t="n">
        <v>0</v>
      </c>
      <c r="K217" t="n">
        <v>0</v>
      </c>
      <c r="L217" t="n">
        <v>0</v>
      </c>
      <c r="M217" t="n">
        <v>0</v>
      </c>
      <c r="N217" t="n">
        <v>0</v>
      </c>
      <c r="O217" t="n">
        <v>0</v>
      </c>
      <c r="P217" t="n">
        <v>0</v>
      </c>
      <c r="Q217" t="n">
        <v>0</v>
      </c>
      <c r="R217" s="2" t="inlineStr"/>
    </row>
    <row r="218" ht="15" customHeight="1">
      <c r="A218" t="inlineStr">
        <is>
          <t>A 38751-2024</t>
        </is>
      </c>
      <c r="B218" s="1" t="n">
        <v>45547.42896990741</v>
      </c>
      <c r="C218" s="1" t="n">
        <v>45972</v>
      </c>
      <c r="D218" t="inlineStr">
        <is>
          <t>NORRBOTTENS LÄN</t>
        </is>
      </c>
      <c r="E218" t="inlineStr">
        <is>
          <t>GÄLLIVARE</t>
        </is>
      </c>
      <c r="G218" t="n">
        <v>2.3</v>
      </c>
      <c r="H218" t="n">
        <v>0</v>
      </c>
      <c r="I218" t="n">
        <v>0</v>
      </c>
      <c r="J218" t="n">
        <v>0</v>
      </c>
      <c r="K218" t="n">
        <v>0</v>
      </c>
      <c r="L218" t="n">
        <v>0</v>
      </c>
      <c r="M218" t="n">
        <v>0</v>
      </c>
      <c r="N218" t="n">
        <v>0</v>
      </c>
      <c r="O218" t="n">
        <v>0</v>
      </c>
      <c r="P218" t="n">
        <v>0</v>
      </c>
      <c r="Q218" t="n">
        <v>0</v>
      </c>
      <c r="R218" s="2" t="inlineStr"/>
    </row>
    <row r="219" ht="15" customHeight="1">
      <c r="A219" t="inlineStr">
        <is>
          <t>A 23774-2023</t>
        </is>
      </c>
      <c r="B219" s="1" t="n">
        <v>45077</v>
      </c>
      <c r="C219" s="1" t="n">
        <v>45972</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33847-2023</t>
        </is>
      </c>
      <c r="B220" s="1" t="n">
        <v>45121</v>
      </c>
      <c r="C220" s="1" t="n">
        <v>45972</v>
      </c>
      <c r="D220" t="inlineStr">
        <is>
          <t>NORRBOTTENS LÄN</t>
        </is>
      </c>
      <c r="E220" t="inlineStr">
        <is>
          <t>GÄLLIVARE</t>
        </is>
      </c>
      <c r="F220" t="inlineStr">
        <is>
          <t>Övriga statliga verk och myndigheter</t>
        </is>
      </c>
      <c r="G220" t="n">
        <v>3</v>
      </c>
      <c r="H220" t="n">
        <v>0</v>
      </c>
      <c r="I220" t="n">
        <v>0</v>
      </c>
      <c r="J220" t="n">
        <v>0</v>
      </c>
      <c r="K220" t="n">
        <v>0</v>
      </c>
      <c r="L220" t="n">
        <v>0</v>
      </c>
      <c r="M220" t="n">
        <v>0</v>
      </c>
      <c r="N220" t="n">
        <v>0</v>
      </c>
      <c r="O220" t="n">
        <v>0</v>
      </c>
      <c r="P220" t="n">
        <v>0</v>
      </c>
      <c r="Q220" t="n">
        <v>0</v>
      </c>
      <c r="R220" s="2" t="inlineStr"/>
    </row>
    <row r="221" ht="15" customHeight="1">
      <c r="A221" t="inlineStr">
        <is>
          <t>A 44398-2023</t>
        </is>
      </c>
      <c r="B221" s="1" t="n">
        <v>45188</v>
      </c>
      <c r="C221" s="1" t="n">
        <v>45972</v>
      </c>
      <c r="D221" t="inlineStr">
        <is>
          <t>NORRBOTTENS LÄN</t>
        </is>
      </c>
      <c r="E221" t="inlineStr">
        <is>
          <t>GÄLLIVARE</t>
        </is>
      </c>
      <c r="F221" t="inlineStr">
        <is>
          <t>SCA</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55044-2023</t>
        </is>
      </c>
      <c r="B222" s="1" t="n">
        <v>45237</v>
      </c>
      <c r="C222" s="1" t="n">
        <v>45972</v>
      </c>
      <c r="D222" t="inlineStr">
        <is>
          <t>NORRBOTTENS LÄN</t>
        </is>
      </c>
      <c r="E222" t="inlineStr">
        <is>
          <t>GÄLLIVARE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55050-2023</t>
        </is>
      </c>
      <c r="B223" s="1" t="n">
        <v>45237</v>
      </c>
      <c r="C223" s="1" t="n">
        <v>45972</v>
      </c>
      <c r="D223" t="inlineStr">
        <is>
          <t>NORRBOTTENS LÄN</t>
        </is>
      </c>
      <c r="E223" t="inlineStr">
        <is>
          <t>GÄLLIVARE</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14604-2025</t>
        </is>
      </c>
      <c r="B224" s="1" t="n">
        <v>45742</v>
      </c>
      <c r="C224" s="1" t="n">
        <v>45972</v>
      </c>
      <c r="D224" t="inlineStr">
        <is>
          <t>NORRBOTTENS LÄN</t>
        </is>
      </c>
      <c r="E224" t="inlineStr">
        <is>
          <t>GÄLLIVARE</t>
        </is>
      </c>
      <c r="G224" t="n">
        <v>8.1</v>
      </c>
      <c r="H224" t="n">
        <v>0</v>
      </c>
      <c r="I224" t="n">
        <v>0</v>
      </c>
      <c r="J224" t="n">
        <v>0</v>
      </c>
      <c r="K224" t="n">
        <v>0</v>
      </c>
      <c r="L224" t="n">
        <v>0</v>
      </c>
      <c r="M224" t="n">
        <v>0</v>
      </c>
      <c r="N224" t="n">
        <v>0</v>
      </c>
      <c r="O224" t="n">
        <v>0</v>
      </c>
      <c r="P224" t="n">
        <v>0</v>
      </c>
      <c r="Q224" t="n">
        <v>0</v>
      </c>
      <c r="R224" s="2" t="inlineStr"/>
    </row>
    <row r="225" ht="15" customHeight="1">
      <c r="A225" t="inlineStr">
        <is>
          <t>A 61476-2024</t>
        </is>
      </c>
      <c r="B225" s="1" t="n">
        <v>45646</v>
      </c>
      <c r="C225" s="1" t="n">
        <v>45972</v>
      </c>
      <c r="D225" t="inlineStr">
        <is>
          <t>NORRBOTTENS LÄN</t>
        </is>
      </c>
      <c r="E225" t="inlineStr">
        <is>
          <t>GÄLLIVARE</t>
        </is>
      </c>
      <c r="G225" t="n">
        <v>17</v>
      </c>
      <c r="H225" t="n">
        <v>0</v>
      </c>
      <c r="I225" t="n">
        <v>0</v>
      </c>
      <c r="J225" t="n">
        <v>0</v>
      </c>
      <c r="K225" t="n">
        <v>0</v>
      </c>
      <c r="L225" t="n">
        <v>0</v>
      </c>
      <c r="M225" t="n">
        <v>0</v>
      </c>
      <c r="N225" t="n">
        <v>0</v>
      </c>
      <c r="O225" t="n">
        <v>0</v>
      </c>
      <c r="P225" t="n">
        <v>0</v>
      </c>
      <c r="Q225" t="n">
        <v>0</v>
      </c>
      <c r="R225" s="2" t="inlineStr"/>
    </row>
    <row r="226" ht="15" customHeight="1">
      <c r="A226" t="inlineStr">
        <is>
          <t>A 55644-2023</t>
        </is>
      </c>
      <c r="B226" s="1" t="n">
        <v>45238</v>
      </c>
      <c r="C226" s="1" t="n">
        <v>45972</v>
      </c>
      <c r="D226" t="inlineStr">
        <is>
          <t>NORRBOTTENS LÄN</t>
        </is>
      </c>
      <c r="E226" t="inlineStr">
        <is>
          <t>GÄLLIVARE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54725-2023</t>
        </is>
      </c>
      <c r="B227" s="1" t="n">
        <v>45229</v>
      </c>
      <c r="C227" s="1" t="n">
        <v>45972</v>
      </c>
      <c r="D227" t="inlineStr">
        <is>
          <t>NORRBOTTENS LÄN</t>
        </is>
      </c>
      <c r="E227" t="inlineStr">
        <is>
          <t>GÄLLIVARE</t>
        </is>
      </c>
      <c r="G227" t="n">
        <v>2.5</v>
      </c>
      <c r="H227" t="n">
        <v>0</v>
      </c>
      <c r="I227" t="n">
        <v>0</v>
      </c>
      <c r="J227" t="n">
        <v>0</v>
      </c>
      <c r="K227" t="n">
        <v>0</v>
      </c>
      <c r="L227" t="n">
        <v>0</v>
      </c>
      <c r="M227" t="n">
        <v>0</v>
      </c>
      <c r="N227" t="n">
        <v>0</v>
      </c>
      <c r="O227" t="n">
        <v>0</v>
      </c>
      <c r="P227" t="n">
        <v>0</v>
      </c>
      <c r="Q227" t="n">
        <v>0</v>
      </c>
      <c r="R227" s="2" t="inlineStr"/>
    </row>
    <row r="228" ht="15" customHeight="1">
      <c r="A228" t="inlineStr">
        <is>
          <t>A 59703-2024</t>
        </is>
      </c>
      <c r="B228" s="1" t="n">
        <v>45639</v>
      </c>
      <c r="C228" s="1" t="n">
        <v>45972</v>
      </c>
      <c r="D228" t="inlineStr">
        <is>
          <t>NORRBOTTENS LÄN</t>
        </is>
      </c>
      <c r="E228" t="inlineStr">
        <is>
          <t>GÄLLIVARE</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60584-2023</t>
        </is>
      </c>
      <c r="B229" s="1" t="n">
        <v>45259</v>
      </c>
      <c r="C229" s="1" t="n">
        <v>45972</v>
      </c>
      <c r="D229" t="inlineStr">
        <is>
          <t>NORRBOTTENS LÄN</t>
        </is>
      </c>
      <c r="E229" t="inlineStr">
        <is>
          <t>GÄLLIVARE</t>
        </is>
      </c>
      <c r="F229" t="inlineStr">
        <is>
          <t>SCA</t>
        </is>
      </c>
      <c r="G229" t="n">
        <v>7.1</v>
      </c>
      <c r="H229" t="n">
        <v>0</v>
      </c>
      <c r="I229" t="n">
        <v>0</v>
      </c>
      <c r="J229" t="n">
        <v>0</v>
      </c>
      <c r="K229" t="n">
        <v>0</v>
      </c>
      <c r="L229" t="n">
        <v>0</v>
      </c>
      <c r="M229" t="n">
        <v>0</v>
      </c>
      <c r="N229" t="n">
        <v>0</v>
      </c>
      <c r="O229" t="n">
        <v>0</v>
      </c>
      <c r="P229" t="n">
        <v>0</v>
      </c>
      <c r="Q229" t="n">
        <v>0</v>
      </c>
      <c r="R229" s="2" t="inlineStr"/>
    </row>
    <row r="230" ht="15" customHeight="1">
      <c r="A230" t="inlineStr">
        <is>
          <t>A 12202-2024</t>
        </is>
      </c>
      <c r="B230" s="1" t="n">
        <v>45377.95069444444</v>
      </c>
      <c r="C230" s="1" t="n">
        <v>45972</v>
      </c>
      <c r="D230" t="inlineStr">
        <is>
          <t>NORRBOTTENS LÄN</t>
        </is>
      </c>
      <c r="E230" t="inlineStr">
        <is>
          <t>GÄLLIVARE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47862-2024</t>
        </is>
      </c>
      <c r="B231" s="1" t="n">
        <v>45588</v>
      </c>
      <c r="C231" s="1" t="n">
        <v>45972</v>
      </c>
      <c r="D231" t="inlineStr">
        <is>
          <t>NORRBOTTENS LÄN</t>
        </is>
      </c>
      <c r="E231" t="inlineStr">
        <is>
          <t>GÄLLIVARE</t>
        </is>
      </c>
      <c r="F231" t="inlineStr">
        <is>
          <t>Allmännings- och besparingsskogar</t>
        </is>
      </c>
      <c r="G231" t="n">
        <v>5.8</v>
      </c>
      <c r="H231" t="n">
        <v>0</v>
      </c>
      <c r="I231" t="n">
        <v>0</v>
      </c>
      <c r="J231" t="n">
        <v>0</v>
      </c>
      <c r="K231" t="n">
        <v>0</v>
      </c>
      <c r="L231" t="n">
        <v>0</v>
      </c>
      <c r="M231" t="n">
        <v>0</v>
      </c>
      <c r="N231" t="n">
        <v>0</v>
      </c>
      <c r="O231" t="n">
        <v>0</v>
      </c>
      <c r="P231" t="n">
        <v>0</v>
      </c>
      <c r="Q231" t="n">
        <v>0</v>
      </c>
      <c r="R231" s="2" t="inlineStr"/>
    </row>
    <row r="232" ht="15" customHeight="1">
      <c r="A232" t="inlineStr">
        <is>
          <t>A 41944-2024</t>
        </is>
      </c>
      <c r="B232" s="1" t="n">
        <v>45561</v>
      </c>
      <c r="C232" s="1" t="n">
        <v>45972</v>
      </c>
      <c r="D232" t="inlineStr">
        <is>
          <t>NORRBOTTENS LÄN</t>
        </is>
      </c>
      <c r="E232" t="inlineStr">
        <is>
          <t>GÄLLIVARE</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16857-2025</t>
        </is>
      </c>
      <c r="B233" s="1" t="n">
        <v>45751</v>
      </c>
      <c r="C233" s="1" t="n">
        <v>45972</v>
      </c>
      <c r="D233" t="inlineStr">
        <is>
          <t>NORRBOTTENS LÄN</t>
        </is>
      </c>
      <c r="E233" t="inlineStr">
        <is>
          <t>GÄLLIVARE</t>
        </is>
      </c>
      <c r="G233" t="n">
        <v>1.7</v>
      </c>
      <c r="H233" t="n">
        <v>0</v>
      </c>
      <c r="I233" t="n">
        <v>0</v>
      </c>
      <c r="J233" t="n">
        <v>0</v>
      </c>
      <c r="K233" t="n">
        <v>0</v>
      </c>
      <c r="L233" t="n">
        <v>0</v>
      </c>
      <c r="M233" t="n">
        <v>0</v>
      </c>
      <c r="N233" t="n">
        <v>0</v>
      </c>
      <c r="O233" t="n">
        <v>0</v>
      </c>
      <c r="P233" t="n">
        <v>0</v>
      </c>
      <c r="Q233" t="n">
        <v>0</v>
      </c>
      <c r="R233" s="2" t="inlineStr"/>
    </row>
    <row r="234" ht="15" customHeight="1">
      <c r="A234" t="inlineStr">
        <is>
          <t>A 39413-2025</t>
        </is>
      </c>
      <c r="B234" s="1" t="n">
        <v>45889.65671296296</v>
      </c>
      <c r="C234" s="1" t="n">
        <v>45972</v>
      </c>
      <c r="D234" t="inlineStr">
        <is>
          <t>NORRBOTTENS LÄN</t>
        </is>
      </c>
      <c r="E234" t="inlineStr">
        <is>
          <t>GÄLLIVARE</t>
        </is>
      </c>
      <c r="F234" t="inlineStr">
        <is>
          <t>SCA</t>
        </is>
      </c>
      <c r="G234" t="n">
        <v>3.6</v>
      </c>
      <c r="H234" t="n">
        <v>0</v>
      </c>
      <c r="I234" t="n">
        <v>0</v>
      </c>
      <c r="J234" t="n">
        <v>0</v>
      </c>
      <c r="K234" t="n">
        <v>0</v>
      </c>
      <c r="L234" t="n">
        <v>0</v>
      </c>
      <c r="M234" t="n">
        <v>0</v>
      </c>
      <c r="N234" t="n">
        <v>0</v>
      </c>
      <c r="O234" t="n">
        <v>0</v>
      </c>
      <c r="P234" t="n">
        <v>0</v>
      </c>
      <c r="Q234" t="n">
        <v>0</v>
      </c>
      <c r="R234" s="2" t="inlineStr"/>
    </row>
    <row r="235" ht="15" customHeight="1">
      <c r="A235" t="inlineStr">
        <is>
          <t>A 36039-2023</t>
        </is>
      </c>
      <c r="B235" s="1" t="n">
        <v>45148</v>
      </c>
      <c r="C235" s="1" t="n">
        <v>45972</v>
      </c>
      <c r="D235" t="inlineStr">
        <is>
          <t>NORRBOTTENS LÄN</t>
        </is>
      </c>
      <c r="E235" t="inlineStr">
        <is>
          <t>GÄLLIVARE</t>
        </is>
      </c>
      <c r="F235" t="inlineStr">
        <is>
          <t>Allmännings- och besparingsskogar</t>
        </is>
      </c>
      <c r="G235" t="n">
        <v>24.3</v>
      </c>
      <c r="H235" t="n">
        <v>0</v>
      </c>
      <c r="I235" t="n">
        <v>0</v>
      </c>
      <c r="J235" t="n">
        <v>0</v>
      </c>
      <c r="K235" t="n">
        <v>0</v>
      </c>
      <c r="L235" t="n">
        <v>0</v>
      </c>
      <c r="M235" t="n">
        <v>0</v>
      </c>
      <c r="N235" t="n">
        <v>0</v>
      </c>
      <c r="O235" t="n">
        <v>0</v>
      </c>
      <c r="P235" t="n">
        <v>0</v>
      </c>
      <c r="Q235" t="n">
        <v>0</v>
      </c>
      <c r="R235" s="2" t="inlineStr"/>
    </row>
    <row r="236" ht="15" customHeight="1">
      <c r="A236" t="inlineStr">
        <is>
          <t>A 47444-2025</t>
        </is>
      </c>
      <c r="B236" s="1" t="n">
        <v>45930.64141203704</v>
      </c>
      <c r="C236" s="1" t="n">
        <v>45972</v>
      </c>
      <c r="D236" t="inlineStr">
        <is>
          <t>NORRBOTTENS LÄN</t>
        </is>
      </c>
      <c r="E236" t="inlineStr">
        <is>
          <t>GÄLLIVARE</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25493-2024</t>
        </is>
      </c>
      <c r="B237" s="1" t="n">
        <v>45463</v>
      </c>
      <c r="C237" s="1" t="n">
        <v>45972</v>
      </c>
      <c r="D237" t="inlineStr">
        <is>
          <t>NORRBOTTENS LÄN</t>
        </is>
      </c>
      <c r="E237" t="inlineStr">
        <is>
          <t>GÄLLIVARE</t>
        </is>
      </c>
      <c r="G237" t="n">
        <v>5.5</v>
      </c>
      <c r="H237" t="n">
        <v>0</v>
      </c>
      <c r="I237" t="n">
        <v>0</v>
      </c>
      <c r="J237" t="n">
        <v>0</v>
      </c>
      <c r="K237" t="n">
        <v>0</v>
      </c>
      <c r="L237" t="n">
        <v>0</v>
      </c>
      <c r="M237" t="n">
        <v>0</v>
      </c>
      <c r="N237" t="n">
        <v>0</v>
      </c>
      <c r="O237" t="n">
        <v>0</v>
      </c>
      <c r="P237" t="n">
        <v>0</v>
      </c>
      <c r="Q237" t="n">
        <v>0</v>
      </c>
      <c r="R237" s="2" t="inlineStr"/>
    </row>
    <row r="238" ht="15" customHeight="1">
      <c r="A238" t="inlineStr">
        <is>
          <t>A 41870-2024</t>
        </is>
      </c>
      <c r="B238" s="1" t="n">
        <v>45561</v>
      </c>
      <c r="C238" s="1" t="n">
        <v>45972</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39638-2025</t>
        </is>
      </c>
      <c r="B239" s="1" t="n">
        <v>45890.60027777778</v>
      </c>
      <c r="C239" s="1" t="n">
        <v>45972</v>
      </c>
      <c r="D239" t="inlineStr">
        <is>
          <t>NORRBOTTENS LÄN</t>
        </is>
      </c>
      <c r="E239" t="inlineStr">
        <is>
          <t>GÄLLIVARE</t>
        </is>
      </c>
      <c r="F239" t="inlineStr">
        <is>
          <t>Sveaskog</t>
        </is>
      </c>
      <c r="G239" t="n">
        <v>8.5</v>
      </c>
      <c r="H239" t="n">
        <v>0</v>
      </c>
      <c r="I239" t="n">
        <v>0</v>
      </c>
      <c r="J239" t="n">
        <v>0</v>
      </c>
      <c r="K239" t="n">
        <v>0</v>
      </c>
      <c r="L239" t="n">
        <v>0</v>
      </c>
      <c r="M239" t="n">
        <v>0</v>
      </c>
      <c r="N239" t="n">
        <v>0</v>
      </c>
      <c r="O239" t="n">
        <v>0</v>
      </c>
      <c r="P239" t="n">
        <v>0</v>
      </c>
      <c r="Q239" t="n">
        <v>0</v>
      </c>
      <c r="R239" s="2" t="inlineStr"/>
    </row>
    <row r="240" ht="15" customHeight="1">
      <c r="A240" t="inlineStr">
        <is>
          <t>A 39261-2025</t>
        </is>
      </c>
      <c r="B240" s="1" t="n">
        <v>45889.37136574074</v>
      </c>
      <c r="C240" s="1" t="n">
        <v>45972</v>
      </c>
      <c r="D240" t="inlineStr">
        <is>
          <t>NORRBOTTENS LÄN</t>
        </is>
      </c>
      <c r="E240" t="inlineStr">
        <is>
          <t>GÄLLIVARE</t>
        </is>
      </c>
      <c r="G240" t="n">
        <v>6.8</v>
      </c>
      <c r="H240" t="n">
        <v>0</v>
      </c>
      <c r="I240" t="n">
        <v>0</v>
      </c>
      <c r="J240" t="n">
        <v>0</v>
      </c>
      <c r="K240" t="n">
        <v>0</v>
      </c>
      <c r="L240" t="n">
        <v>0</v>
      </c>
      <c r="M240" t="n">
        <v>0</v>
      </c>
      <c r="N240" t="n">
        <v>0</v>
      </c>
      <c r="O240" t="n">
        <v>0</v>
      </c>
      <c r="P240" t="n">
        <v>0</v>
      </c>
      <c r="Q240" t="n">
        <v>0</v>
      </c>
      <c r="R240" s="2" t="inlineStr"/>
    </row>
    <row r="241" ht="15" customHeight="1">
      <c r="A241" t="inlineStr">
        <is>
          <t>A 55381-2024</t>
        </is>
      </c>
      <c r="B241" s="1" t="n">
        <v>45622</v>
      </c>
      <c r="C241" s="1" t="n">
        <v>45972</v>
      </c>
      <c r="D241" t="inlineStr">
        <is>
          <t>NORRBOTTENS LÄN</t>
        </is>
      </c>
      <c r="E241" t="inlineStr">
        <is>
          <t>GÄLLIVARE</t>
        </is>
      </c>
      <c r="F241" t="inlineStr">
        <is>
          <t>Sveaskog</t>
        </is>
      </c>
      <c r="G241" t="n">
        <v>11.7</v>
      </c>
      <c r="H241" t="n">
        <v>0</v>
      </c>
      <c r="I241" t="n">
        <v>0</v>
      </c>
      <c r="J241" t="n">
        <v>0</v>
      </c>
      <c r="K241" t="n">
        <v>0</v>
      </c>
      <c r="L241" t="n">
        <v>0</v>
      </c>
      <c r="M241" t="n">
        <v>0</v>
      </c>
      <c r="N241" t="n">
        <v>0</v>
      </c>
      <c r="O241" t="n">
        <v>0</v>
      </c>
      <c r="P241" t="n">
        <v>0</v>
      </c>
      <c r="Q241" t="n">
        <v>0</v>
      </c>
      <c r="R241" s="2" t="inlineStr"/>
    </row>
    <row r="242" ht="15" customHeight="1">
      <c r="A242" t="inlineStr">
        <is>
          <t>A 48627-2025</t>
        </is>
      </c>
      <c r="B242" s="1" t="n">
        <v>45936.51128472222</v>
      </c>
      <c r="C242" s="1" t="n">
        <v>45972</v>
      </c>
      <c r="D242" t="inlineStr">
        <is>
          <t>NORRBOTTENS LÄN</t>
        </is>
      </c>
      <c r="E242" t="inlineStr">
        <is>
          <t>GÄLLIVARE</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40139-2025</t>
        </is>
      </c>
      <c r="B243" s="1" t="n">
        <v>45894</v>
      </c>
      <c r="C243" s="1" t="n">
        <v>45972</v>
      </c>
      <c r="D243" t="inlineStr">
        <is>
          <t>NORRBOTTENS LÄN</t>
        </is>
      </c>
      <c r="E243" t="inlineStr">
        <is>
          <t>GÄLLIVARE</t>
        </is>
      </c>
      <c r="F243" t="inlineStr">
        <is>
          <t>Allmännings- och besparingsskogar</t>
        </is>
      </c>
      <c r="G243" t="n">
        <v>18.3</v>
      </c>
      <c r="H243" t="n">
        <v>0</v>
      </c>
      <c r="I243" t="n">
        <v>0</v>
      </c>
      <c r="J243" t="n">
        <v>0</v>
      </c>
      <c r="K243" t="n">
        <v>0</v>
      </c>
      <c r="L243" t="n">
        <v>0</v>
      </c>
      <c r="M243" t="n">
        <v>0</v>
      </c>
      <c r="N243" t="n">
        <v>0</v>
      </c>
      <c r="O243" t="n">
        <v>0</v>
      </c>
      <c r="P243" t="n">
        <v>0</v>
      </c>
      <c r="Q243" t="n">
        <v>0</v>
      </c>
      <c r="R243" s="2" t="inlineStr"/>
    </row>
    <row r="244" ht="15" customHeight="1">
      <c r="A244" t="inlineStr">
        <is>
          <t>A 64238-2023</t>
        </is>
      </c>
      <c r="B244" s="1" t="n">
        <v>45279</v>
      </c>
      <c r="C244" s="1" t="n">
        <v>45972</v>
      </c>
      <c r="D244" t="inlineStr">
        <is>
          <t>NORRBOTTENS LÄN</t>
        </is>
      </c>
      <c r="E244" t="inlineStr">
        <is>
          <t>GÄLLIVARE</t>
        </is>
      </c>
      <c r="G244" t="n">
        <v>5.5</v>
      </c>
      <c r="H244" t="n">
        <v>0</v>
      </c>
      <c r="I244" t="n">
        <v>0</v>
      </c>
      <c r="J244" t="n">
        <v>0</v>
      </c>
      <c r="K244" t="n">
        <v>0</v>
      </c>
      <c r="L244" t="n">
        <v>0</v>
      </c>
      <c r="M244" t="n">
        <v>0</v>
      </c>
      <c r="N244" t="n">
        <v>0</v>
      </c>
      <c r="O244" t="n">
        <v>0</v>
      </c>
      <c r="P244" t="n">
        <v>0</v>
      </c>
      <c r="Q244" t="n">
        <v>0</v>
      </c>
      <c r="R244" s="2" t="inlineStr"/>
    </row>
    <row r="245" ht="15" customHeight="1">
      <c r="A245" t="inlineStr">
        <is>
          <t>A 44326-2024</t>
        </is>
      </c>
      <c r="B245" s="1" t="n">
        <v>45573.59427083333</v>
      </c>
      <c r="C245" s="1" t="n">
        <v>45972</v>
      </c>
      <c r="D245" t="inlineStr">
        <is>
          <t>NORRBOTTENS LÄN</t>
        </is>
      </c>
      <c r="E245" t="inlineStr">
        <is>
          <t>GÄLLIVARE</t>
        </is>
      </c>
      <c r="G245" t="n">
        <v>1.7</v>
      </c>
      <c r="H245" t="n">
        <v>0</v>
      </c>
      <c r="I245" t="n">
        <v>0</v>
      </c>
      <c r="J245" t="n">
        <v>0</v>
      </c>
      <c r="K245" t="n">
        <v>0</v>
      </c>
      <c r="L245" t="n">
        <v>0</v>
      </c>
      <c r="M245" t="n">
        <v>0</v>
      </c>
      <c r="N245" t="n">
        <v>0</v>
      </c>
      <c r="O245" t="n">
        <v>0</v>
      </c>
      <c r="P245" t="n">
        <v>0</v>
      </c>
      <c r="Q245" t="n">
        <v>0</v>
      </c>
      <c r="R245" s="2" t="inlineStr"/>
    </row>
    <row r="246" ht="15" customHeight="1">
      <c r="A246" t="inlineStr">
        <is>
          <t>A 39793-2025</t>
        </is>
      </c>
      <c r="B246" s="1" t="n">
        <v>45891.48686342593</v>
      </c>
      <c r="C246" s="1" t="n">
        <v>45972</v>
      </c>
      <c r="D246" t="inlineStr">
        <is>
          <t>NORRBOTTENS LÄN</t>
        </is>
      </c>
      <c r="E246" t="inlineStr">
        <is>
          <t>GÄLLIVARE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39757-2024</t>
        </is>
      </c>
      <c r="B247" s="1" t="n">
        <v>45552</v>
      </c>
      <c r="C247" s="1" t="n">
        <v>45972</v>
      </c>
      <c r="D247" t="inlineStr">
        <is>
          <t>NORRBOTTENS LÄN</t>
        </is>
      </c>
      <c r="E247" t="inlineStr">
        <is>
          <t>GÄLLIVARE</t>
        </is>
      </c>
      <c r="F247" t="inlineStr">
        <is>
          <t>Allmännings- och besparingsskogar</t>
        </is>
      </c>
      <c r="G247" t="n">
        <v>36.2</v>
      </c>
      <c r="H247" t="n">
        <v>0</v>
      </c>
      <c r="I247" t="n">
        <v>0</v>
      </c>
      <c r="J247" t="n">
        <v>0</v>
      </c>
      <c r="K247" t="n">
        <v>0</v>
      </c>
      <c r="L247" t="n">
        <v>0</v>
      </c>
      <c r="M247" t="n">
        <v>0</v>
      </c>
      <c r="N247" t="n">
        <v>0</v>
      </c>
      <c r="O247" t="n">
        <v>0</v>
      </c>
      <c r="P247" t="n">
        <v>0</v>
      </c>
      <c r="Q247" t="n">
        <v>0</v>
      </c>
      <c r="R247" s="2" t="inlineStr"/>
    </row>
    <row r="248" ht="15" customHeight="1">
      <c r="A248" t="inlineStr">
        <is>
          <t>A 44328-2024</t>
        </is>
      </c>
      <c r="B248" s="1" t="n">
        <v>45573</v>
      </c>
      <c r="C248" s="1" t="n">
        <v>45972</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48007-2024</t>
        </is>
      </c>
      <c r="B249" s="1" t="n">
        <v>45589</v>
      </c>
      <c r="C249" s="1" t="n">
        <v>45972</v>
      </c>
      <c r="D249" t="inlineStr">
        <is>
          <t>NORRBOTTENS LÄN</t>
        </is>
      </c>
      <c r="E249" t="inlineStr">
        <is>
          <t>GÄLLIVARE</t>
        </is>
      </c>
      <c r="G249" t="n">
        <v>2.9</v>
      </c>
      <c r="H249" t="n">
        <v>0</v>
      </c>
      <c r="I249" t="n">
        <v>0</v>
      </c>
      <c r="J249" t="n">
        <v>0</v>
      </c>
      <c r="K249" t="n">
        <v>0</v>
      </c>
      <c r="L249" t="n">
        <v>0</v>
      </c>
      <c r="M249" t="n">
        <v>0</v>
      </c>
      <c r="N249" t="n">
        <v>0</v>
      </c>
      <c r="O249" t="n">
        <v>0</v>
      </c>
      <c r="P249" t="n">
        <v>0</v>
      </c>
      <c r="Q249" t="n">
        <v>0</v>
      </c>
      <c r="R249" s="2" t="inlineStr"/>
    </row>
    <row r="250" ht="15" customHeight="1">
      <c r="A250" t="inlineStr">
        <is>
          <t>A 25503-2024</t>
        </is>
      </c>
      <c r="B250" s="1" t="n">
        <v>45463.48306712963</v>
      </c>
      <c r="C250" s="1" t="n">
        <v>45972</v>
      </c>
      <c r="D250" t="inlineStr">
        <is>
          <t>NORRBOTTENS LÄN</t>
        </is>
      </c>
      <c r="E250" t="inlineStr">
        <is>
          <t>GÄLLIVARE</t>
        </is>
      </c>
      <c r="G250" t="n">
        <v>3.2</v>
      </c>
      <c r="H250" t="n">
        <v>0</v>
      </c>
      <c r="I250" t="n">
        <v>0</v>
      </c>
      <c r="J250" t="n">
        <v>0</v>
      </c>
      <c r="K250" t="n">
        <v>0</v>
      </c>
      <c r="L250" t="n">
        <v>0</v>
      </c>
      <c r="M250" t="n">
        <v>0</v>
      </c>
      <c r="N250" t="n">
        <v>0</v>
      </c>
      <c r="O250" t="n">
        <v>0</v>
      </c>
      <c r="P250" t="n">
        <v>0</v>
      </c>
      <c r="Q250" t="n">
        <v>0</v>
      </c>
      <c r="R250" s="2" t="inlineStr"/>
    </row>
    <row r="251" ht="15" customHeight="1">
      <c r="A251" t="inlineStr">
        <is>
          <t>A 2237-2023</t>
        </is>
      </c>
      <c r="B251" s="1" t="n">
        <v>44942.46430555556</v>
      </c>
      <c r="C251" s="1" t="n">
        <v>45972</v>
      </c>
      <c r="D251" t="inlineStr">
        <is>
          <t>NORRBOTTENS LÄN</t>
        </is>
      </c>
      <c r="E251" t="inlineStr">
        <is>
          <t>GÄLLIVARE</t>
        </is>
      </c>
      <c r="G251" t="n">
        <v>7</v>
      </c>
      <c r="H251" t="n">
        <v>0</v>
      </c>
      <c r="I251" t="n">
        <v>0</v>
      </c>
      <c r="J251" t="n">
        <v>0</v>
      </c>
      <c r="K251" t="n">
        <v>0</v>
      </c>
      <c r="L251" t="n">
        <v>0</v>
      </c>
      <c r="M251" t="n">
        <v>0</v>
      </c>
      <c r="N251" t="n">
        <v>0</v>
      </c>
      <c r="O251" t="n">
        <v>0</v>
      </c>
      <c r="P251" t="n">
        <v>0</v>
      </c>
      <c r="Q251" t="n">
        <v>0</v>
      </c>
      <c r="R251" s="2" t="inlineStr"/>
    </row>
    <row r="252" ht="15" customHeight="1">
      <c r="A252" t="inlineStr">
        <is>
          <t>A 4768-2023</t>
        </is>
      </c>
      <c r="B252" s="1" t="n">
        <v>44953</v>
      </c>
      <c r="C252" s="1" t="n">
        <v>45972</v>
      </c>
      <c r="D252" t="inlineStr">
        <is>
          <t>NORRBOTTENS LÄN</t>
        </is>
      </c>
      <c r="E252" t="inlineStr">
        <is>
          <t>GÄLLIVARE</t>
        </is>
      </c>
      <c r="G252" t="n">
        <v>7.9</v>
      </c>
      <c r="H252" t="n">
        <v>0</v>
      </c>
      <c r="I252" t="n">
        <v>0</v>
      </c>
      <c r="J252" t="n">
        <v>0</v>
      </c>
      <c r="K252" t="n">
        <v>0</v>
      </c>
      <c r="L252" t="n">
        <v>0</v>
      </c>
      <c r="M252" t="n">
        <v>0</v>
      </c>
      <c r="N252" t="n">
        <v>0</v>
      </c>
      <c r="O252" t="n">
        <v>0</v>
      </c>
      <c r="P252" t="n">
        <v>0</v>
      </c>
      <c r="Q252" t="n">
        <v>0</v>
      </c>
      <c r="R252" s="2" t="inlineStr"/>
    </row>
    <row r="253" ht="15" customHeight="1">
      <c r="A253" t="inlineStr">
        <is>
          <t>A 21159-2023</t>
        </is>
      </c>
      <c r="B253" s="1" t="n">
        <v>45062</v>
      </c>
      <c r="C253" s="1" t="n">
        <v>45972</v>
      </c>
      <c r="D253" t="inlineStr">
        <is>
          <t>NORRBOTTENS LÄN</t>
        </is>
      </c>
      <c r="E253" t="inlineStr">
        <is>
          <t>GÄLLIVARE</t>
        </is>
      </c>
      <c r="F253" t="inlineStr">
        <is>
          <t>Sveaskog</t>
        </is>
      </c>
      <c r="G253" t="n">
        <v>111</v>
      </c>
      <c r="H253" t="n">
        <v>0</v>
      </c>
      <c r="I253" t="n">
        <v>0</v>
      </c>
      <c r="J253" t="n">
        <v>0</v>
      </c>
      <c r="K253" t="n">
        <v>0</v>
      </c>
      <c r="L253" t="n">
        <v>0</v>
      </c>
      <c r="M253" t="n">
        <v>0</v>
      </c>
      <c r="N253" t="n">
        <v>0</v>
      </c>
      <c r="O253" t="n">
        <v>0</v>
      </c>
      <c r="P253" t="n">
        <v>0</v>
      </c>
      <c r="Q253" t="n">
        <v>0</v>
      </c>
      <c r="R253" s="2" t="inlineStr"/>
    </row>
    <row r="254" ht="15" customHeight="1">
      <c r="A254" t="inlineStr">
        <is>
          <t>A 44391-2024</t>
        </is>
      </c>
      <c r="B254" s="1" t="n">
        <v>45573</v>
      </c>
      <c r="C254" s="1" t="n">
        <v>45972</v>
      </c>
      <c r="D254" t="inlineStr">
        <is>
          <t>NORRBOTTENS LÄN</t>
        </is>
      </c>
      <c r="E254" t="inlineStr">
        <is>
          <t>GÄLLIVARE</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57909-2023</t>
        </is>
      </c>
      <c r="B255" s="1" t="n">
        <v>45244</v>
      </c>
      <c r="C255" s="1" t="n">
        <v>45972</v>
      </c>
      <c r="D255" t="inlineStr">
        <is>
          <t>NORRBOTTENS LÄN</t>
        </is>
      </c>
      <c r="E255" t="inlineStr">
        <is>
          <t>GÄLLIVARE</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62496-2022</t>
        </is>
      </c>
      <c r="B256" s="1" t="n">
        <v>44916</v>
      </c>
      <c r="C256" s="1" t="n">
        <v>45972</v>
      </c>
      <c r="D256" t="inlineStr">
        <is>
          <t>NORRBOTTENS LÄN</t>
        </is>
      </c>
      <c r="E256" t="inlineStr">
        <is>
          <t>GÄLLIVARE</t>
        </is>
      </c>
      <c r="G256" t="n">
        <v>23.4</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45972</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11008-2025</t>
        </is>
      </c>
      <c r="B258" s="1" t="n">
        <v>45723</v>
      </c>
      <c r="C258" s="1" t="n">
        <v>45972</v>
      </c>
      <c r="D258" t="inlineStr">
        <is>
          <t>NORRBOTTENS LÄN</t>
        </is>
      </c>
      <c r="E258" t="inlineStr">
        <is>
          <t>GÄLLIVARE</t>
        </is>
      </c>
      <c r="G258" t="n">
        <v>20.6</v>
      </c>
      <c r="H258" t="n">
        <v>0</v>
      </c>
      <c r="I258" t="n">
        <v>0</v>
      </c>
      <c r="J258" t="n">
        <v>0</v>
      </c>
      <c r="K258" t="n">
        <v>0</v>
      </c>
      <c r="L258" t="n">
        <v>0</v>
      </c>
      <c r="M258" t="n">
        <v>0</v>
      </c>
      <c r="N258" t="n">
        <v>0</v>
      </c>
      <c r="O258" t="n">
        <v>0</v>
      </c>
      <c r="P258" t="n">
        <v>0</v>
      </c>
      <c r="Q258" t="n">
        <v>0</v>
      </c>
      <c r="R258" s="2" t="inlineStr"/>
    </row>
    <row r="259" ht="15" customHeight="1">
      <c r="A259" t="inlineStr">
        <is>
          <t>A 48563-2025</t>
        </is>
      </c>
      <c r="B259" s="1" t="n">
        <v>45936</v>
      </c>
      <c r="C259" s="1" t="n">
        <v>45972</v>
      </c>
      <c r="D259" t="inlineStr">
        <is>
          <t>NORRBOTTENS LÄN</t>
        </is>
      </c>
      <c r="E259" t="inlineStr">
        <is>
          <t>GÄLLIVARE</t>
        </is>
      </c>
      <c r="G259" t="n">
        <v>7</v>
      </c>
      <c r="H259" t="n">
        <v>0</v>
      </c>
      <c r="I259" t="n">
        <v>0</v>
      </c>
      <c r="J259" t="n">
        <v>0</v>
      </c>
      <c r="K259" t="n">
        <v>0</v>
      </c>
      <c r="L259" t="n">
        <v>0</v>
      </c>
      <c r="M259" t="n">
        <v>0</v>
      </c>
      <c r="N259" t="n">
        <v>0</v>
      </c>
      <c r="O259" t="n">
        <v>0</v>
      </c>
      <c r="P259" t="n">
        <v>0</v>
      </c>
      <c r="Q259" t="n">
        <v>0</v>
      </c>
      <c r="R259" s="2" t="inlineStr"/>
    </row>
    <row r="260" ht="15" customHeight="1">
      <c r="A260" t="inlineStr">
        <is>
          <t>A 55466-2023</t>
        </is>
      </c>
      <c r="B260" s="1" t="n">
        <v>45238</v>
      </c>
      <c r="C260" s="1" t="n">
        <v>45972</v>
      </c>
      <c r="D260" t="inlineStr">
        <is>
          <t>NORRBOTTENS LÄN</t>
        </is>
      </c>
      <c r="E260" t="inlineStr">
        <is>
          <t>GÄLLIVARE</t>
        </is>
      </c>
      <c r="G260" t="n">
        <v>5.1</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45972</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4185-2023</t>
        </is>
      </c>
      <c r="B262" s="1" t="n">
        <v>44953</v>
      </c>
      <c r="C262" s="1" t="n">
        <v>45972</v>
      </c>
      <c r="D262" t="inlineStr">
        <is>
          <t>NORRBOTTENS LÄN</t>
        </is>
      </c>
      <c r="E262" t="inlineStr">
        <is>
          <t>GÄLLIVARE</t>
        </is>
      </c>
      <c r="G262" t="n">
        <v>2.7</v>
      </c>
      <c r="H262" t="n">
        <v>0</v>
      </c>
      <c r="I262" t="n">
        <v>0</v>
      </c>
      <c r="J262" t="n">
        <v>0</v>
      </c>
      <c r="K262" t="n">
        <v>0</v>
      </c>
      <c r="L262" t="n">
        <v>0</v>
      </c>
      <c r="M262" t="n">
        <v>0</v>
      </c>
      <c r="N262" t="n">
        <v>0</v>
      </c>
      <c r="O262" t="n">
        <v>0</v>
      </c>
      <c r="P262" t="n">
        <v>0</v>
      </c>
      <c r="Q262" t="n">
        <v>0</v>
      </c>
      <c r="R262" s="2" t="inlineStr"/>
    </row>
    <row r="263" ht="15" customHeight="1">
      <c r="A263" t="inlineStr">
        <is>
          <t>A 41713-2024</t>
        </is>
      </c>
      <c r="B263" s="1" t="n">
        <v>45560.71907407408</v>
      </c>
      <c r="C263" s="1" t="n">
        <v>45972</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62949-2023</t>
        </is>
      </c>
      <c r="B264" s="1" t="n">
        <v>45272.54651620371</v>
      </c>
      <c r="C264" s="1" t="n">
        <v>45972</v>
      </c>
      <c r="D264" t="inlineStr">
        <is>
          <t>NORRBOTTENS LÄN</t>
        </is>
      </c>
      <c r="E264" t="inlineStr">
        <is>
          <t>GÄLLIVARE</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55394-2023</t>
        </is>
      </c>
      <c r="B265" s="1" t="n">
        <v>45231</v>
      </c>
      <c r="C265" s="1" t="n">
        <v>45972</v>
      </c>
      <c r="D265" t="inlineStr">
        <is>
          <t>NORRBOTTENS LÄN</t>
        </is>
      </c>
      <c r="E265" t="inlineStr">
        <is>
          <t>GÄLLIVARE</t>
        </is>
      </c>
      <c r="G265" t="n">
        <v>1.4</v>
      </c>
      <c r="H265" t="n">
        <v>0</v>
      </c>
      <c r="I265" t="n">
        <v>0</v>
      </c>
      <c r="J265" t="n">
        <v>0</v>
      </c>
      <c r="K265" t="n">
        <v>0</v>
      </c>
      <c r="L265" t="n">
        <v>0</v>
      </c>
      <c r="M265" t="n">
        <v>0</v>
      </c>
      <c r="N265" t="n">
        <v>0</v>
      </c>
      <c r="O265" t="n">
        <v>0</v>
      </c>
      <c r="P265" t="n">
        <v>0</v>
      </c>
      <c r="Q265" t="n">
        <v>0</v>
      </c>
      <c r="R265" s="2" t="inlineStr"/>
    </row>
    <row r="266" ht="15" customHeight="1">
      <c r="A266" t="inlineStr">
        <is>
          <t>A 51451-2023</t>
        </is>
      </c>
      <c r="B266" s="1" t="n">
        <v>45215</v>
      </c>
      <c r="C266" s="1" t="n">
        <v>45972</v>
      </c>
      <c r="D266" t="inlineStr">
        <is>
          <t>NORRBOTTENS LÄN</t>
        </is>
      </c>
      <c r="E266" t="inlineStr">
        <is>
          <t>GÄLLIVARE</t>
        </is>
      </c>
      <c r="G266" t="n">
        <v>4.1</v>
      </c>
      <c r="H266" t="n">
        <v>0</v>
      </c>
      <c r="I266" t="n">
        <v>0</v>
      </c>
      <c r="J266" t="n">
        <v>0</v>
      </c>
      <c r="K266" t="n">
        <v>0</v>
      </c>
      <c r="L266" t="n">
        <v>0</v>
      </c>
      <c r="M266" t="n">
        <v>0</v>
      </c>
      <c r="N266" t="n">
        <v>0</v>
      </c>
      <c r="O266" t="n">
        <v>0</v>
      </c>
      <c r="P266" t="n">
        <v>0</v>
      </c>
      <c r="Q266" t="n">
        <v>0</v>
      </c>
      <c r="R266" s="2" t="inlineStr"/>
    </row>
    <row r="267" ht="15" customHeight="1">
      <c r="A267" t="inlineStr">
        <is>
          <t>A 39960-2025</t>
        </is>
      </c>
      <c r="B267" s="1" t="n">
        <v>45892.48996527777</v>
      </c>
      <c r="C267" s="1" t="n">
        <v>45972</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5709-2023</t>
        </is>
      </c>
      <c r="B268" s="1" t="n">
        <v>44960</v>
      </c>
      <c r="C268" s="1" t="n">
        <v>45972</v>
      </c>
      <c r="D268" t="inlineStr">
        <is>
          <t>NORRBOTTENS LÄN</t>
        </is>
      </c>
      <c r="E268" t="inlineStr">
        <is>
          <t>GÄLLIVARE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49877-2023</t>
        </is>
      </c>
      <c r="B269" s="1" t="n">
        <v>45212.95590277778</v>
      </c>
      <c r="C269" s="1" t="n">
        <v>45972</v>
      </c>
      <c r="D269" t="inlineStr">
        <is>
          <t>NORRBOTTENS LÄN</t>
        </is>
      </c>
      <c r="E269" t="inlineStr">
        <is>
          <t>GÄLLIVARE</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8516-2025</t>
        </is>
      </c>
      <c r="B270" s="1" t="n">
        <v>45709</v>
      </c>
      <c r="C270" s="1" t="n">
        <v>45972</v>
      </c>
      <c r="D270" t="inlineStr">
        <is>
          <t>NORRBOTTENS LÄN</t>
        </is>
      </c>
      <c r="E270" t="inlineStr">
        <is>
          <t>GÄLLIVARE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55410-2023</t>
        </is>
      </c>
      <c r="B271" s="1" t="n">
        <v>45231</v>
      </c>
      <c r="C271" s="1" t="n">
        <v>45972</v>
      </c>
      <c r="D271" t="inlineStr">
        <is>
          <t>NORRBOTTENS LÄN</t>
        </is>
      </c>
      <c r="E271" t="inlineStr">
        <is>
          <t>GÄLLIVARE</t>
        </is>
      </c>
      <c r="G271" t="n">
        <v>1.7</v>
      </c>
      <c r="H271" t="n">
        <v>0</v>
      </c>
      <c r="I271" t="n">
        <v>0</v>
      </c>
      <c r="J271" t="n">
        <v>0</v>
      </c>
      <c r="K271" t="n">
        <v>0</v>
      </c>
      <c r="L271" t="n">
        <v>0</v>
      </c>
      <c r="M271" t="n">
        <v>0</v>
      </c>
      <c r="N271" t="n">
        <v>0</v>
      </c>
      <c r="O271" t="n">
        <v>0</v>
      </c>
      <c r="P271" t="n">
        <v>0</v>
      </c>
      <c r="Q271" t="n">
        <v>0</v>
      </c>
      <c r="R271" s="2" t="inlineStr"/>
    </row>
    <row r="272" ht="15" customHeight="1">
      <c r="A272" t="inlineStr">
        <is>
          <t>A 73335-2021</t>
        </is>
      </c>
      <c r="B272" s="1" t="n">
        <v>44550</v>
      </c>
      <c r="C272" s="1" t="n">
        <v>45972</v>
      </c>
      <c r="D272" t="inlineStr">
        <is>
          <t>NORRBOTTENS LÄN</t>
        </is>
      </c>
      <c r="E272" t="inlineStr">
        <is>
          <t>GÄLLIVARE</t>
        </is>
      </c>
      <c r="G272" t="n">
        <v>1.1</v>
      </c>
      <c r="H272" t="n">
        <v>0</v>
      </c>
      <c r="I272" t="n">
        <v>0</v>
      </c>
      <c r="J272" t="n">
        <v>0</v>
      </c>
      <c r="K272" t="n">
        <v>0</v>
      </c>
      <c r="L272" t="n">
        <v>0</v>
      </c>
      <c r="M272" t="n">
        <v>0</v>
      </c>
      <c r="N272" t="n">
        <v>0</v>
      </c>
      <c r="O272" t="n">
        <v>0</v>
      </c>
      <c r="P272" t="n">
        <v>0</v>
      </c>
      <c r="Q272" t="n">
        <v>0</v>
      </c>
      <c r="R272" s="2" t="inlineStr"/>
    </row>
    <row r="273" ht="15" customHeight="1">
      <c r="A273" t="inlineStr">
        <is>
          <t>A 39060-2024</t>
        </is>
      </c>
      <c r="B273" s="1" t="n">
        <v>45548</v>
      </c>
      <c r="C273" s="1" t="n">
        <v>45972</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41843-2024</t>
        </is>
      </c>
      <c r="B274" s="1" t="n">
        <v>45561</v>
      </c>
      <c r="C274" s="1" t="n">
        <v>45972</v>
      </c>
      <c r="D274" t="inlineStr">
        <is>
          <t>NORRBOTTENS LÄN</t>
        </is>
      </c>
      <c r="E274" t="inlineStr">
        <is>
          <t>GÄLLIVARE</t>
        </is>
      </c>
      <c r="G274" t="n">
        <v>3.1</v>
      </c>
      <c r="H274" t="n">
        <v>0</v>
      </c>
      <c r="I274" t="n">
        <v>0</v>
      </c>
      <c r="J274" t="n">
        <v>0</v>
      </c>
      <c r="K274" t="n">
        <v>0</v>
      </c>
      <c r="L274" t="n">
        <v>0</v>
      </c>
      <c r="M274" t="n">
        <v>0</v>
      </c>
      <c r="N274" t="n">
        <v>0</v>
      </c>
      <c r="O274" t="n">
        <v>0</v>
      </c>
      <c r="P274" t="n">
        <v>0</v>
      </c>
      <c r="Q274" t="n">
        <v>0</v>
      </c>
      <c r="R274" s="2" t="inlineStr"/>
    </row>
    <row r="275" ht="15" customHeight="1">
      <c r="A275" t="inlineStr">
        <is>
          <t>A 50553-2024</t>
        </is>
      </c>
      <c r="B275" s="1" t="n">
        <v>45601.59490740741</v>
      </c>
      <c r="C275" s="1" t="n">
        <v>45972</v>
      </c>
      <c r="D275" t="inlineStr">
        <is>
          <t>NORRBOTTENS LÄN</t>
        </is>
      </c>
      <c r="E275" t="inlineStr">
        <is>
          <t>GÄLLIVARE</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55034-2023</t>
        </is>
      </c>
      <c r="B276" s="1" t="n">
        <v>45237</v>
      </c>
      <c r="C276" s="1" t="n">
        <v>45972</v>
      </c>
      <c r="D276" t="inlineStr">
        <is>
          <t>NORRBOTTENS LÄN</t>
        </is>
      </c>
      <c r="E276" t="inlineStr">
        <is>
          <t>GÄLLIVARE</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39756-2024</t>
        </is>
      </c>
      <c r="B277" s="1" t="n">
        <v>45552</v>
      </c>
      <c r="C277" s="1" t="n">
        <v>45972</v>
      </c>
      <c r="D277" t="inlineStr">
        <is>
          <t>NORRBOTTENS LÄN</t>
        </is>
      </c>
      <c r="E277" t="inlineStr">
        <is>
          <t>GÄLLIVARE</t>
        </is>
      </c>
      <c r="F277" t="inlineStr">
        <is>
          <t>Allmännings- och besparingsskogar</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50095-2024</t>
        </is>
      </c>
      <c r="B278" s="1" t="n">
        <v>45600</v>
      </c>
      <c r="C278" s="1" t="n">
        <v>45972</v>
      </c>
      <c r="D278" t="inlineStr">
        <is>
          <t>NORRBOTTENS LÄN</t>
        </is>
      </c>
      <c r="E278" t="inlineStr">
        <is>
          <t>GÄLLIVARE</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27050-2022</t>
        </is>
      </c>
      <c r="B279" s="1" t="n">
        <v>44741</v>
      </c>
      <c r="C279" s="1" t="n">
        <v>45972</v>
      </c>
      <c r="D279" t="inlineStr">
        <is>
          <t>NORRBOTTENS LÄN</t>
        </is>
      </c>
      <c r="E279" t="inlineStr">
        <is>
          <t>GÄLLIVARE</t>
        </is>
      </c>
      <c r="F279" t="inlineStr">
        <is>
          <t>Övriga Aktiebolag</t>
        </is>
      </c>
      <c r="G279" t="n">
        <v>2.8</v>
      </c>
      <c r="H279" t="n">
        <v>0</v>
      </c>
      <c r="I279" t="n">
        <v>0</v>
      </c>
      <c r="J279" t="n">
        <v>0</v>
      </c>
      <c r="K279" t="n">
        <v>0</v>
      </c>
      <c r="L279" t="n">
        <v>0</v>
      </c>
      <c r="M279" t="n">
        <v>0</v>
      </c>
      <c r="N279" t="n">
        <v>0</v>
      </c>
      <c r="O279" t="n">
        <v>0</v>
      </c>
      <c r="P279" t="n">
        <v>0</v>
      </c>
      <c r="Q279" t="n">
        <v>0</v>
      </c>
      <c r="R279" s="2" t="inlineStr"/>
    </row>
    <row r="280" ht="15" customHeight="1">
      <c r="A280" t="inlineStr">
        <is>
          <t>A 48626-2025</t>
        </is>
      </c>
      <c r="B280" s="1" t="n">
        <v>45936</v>
      </c>
      <c r="C280" s="1" t="n">
        <v>45972</v>
      </c>
      <c r="D280" t="inlineStr">
        <is>
          <t>NORRBOTTENS LÄN</t>
        </is>
      </c>
      <c r="E280" t="inlineStr">
        <is>
          <t>GÄLLIVARE</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39962-2025</t>
        </is>
      </c>
      <c r="B281" s="1" t="n">
        <v>45892.4903587963</v>
      </c>
      <c r="C281" s="1" t="n">
        <v>45972</v>
      </c>
      <c r="D281" t="inlineStr">
        <is>
          <t>NORRBOTTENS LÄN</t>
        </is>
      </c>
      <c r="E281" t="inlineStr">
        <is>
          <t>GÄLLIVARE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7651-2025</t>
        </is>
      </c>
      <c r="B282" s="1" t="n">
        <v>45705</v>
      </c>
      <c r="C282" s="1" t="n">
        <v>45972</v>
      </c>
      <c r="D282" t="inlineStr">
        <is>
          <t>NORRBOTTENS LÄN</t>
        </is>
      </c>
      <c r="E282" t="inlineStr">
        <is>
          <t>GÄLLIVARE</t>
        </is>
      </c>
      <c r="G282" t="n">
        <v>3.2</v>
      </c>
      <c r="H282" t="n">
        <v>0</v>
      </c>
      <c r="I282" t="n">
        <v>0</v>
      </c>
      <c r="J282" t="n">
        <v>0</v>
      </c>
      <c r="K282" t="n">
        <v>0</v>
      </c>
      <c r="L282" t="n">
        <v>0</v>
      </c>
      <c r="M282" t="n">
        <v>0</v>
      </c>
      <c r="N282" t="n">
        <v>0</v>
      </c>
      <c r="O282" t="n">
        <v>0</v>
      </c>
      <c r="P282" t="n">
        <v>0</v>
      </c>
      <c r="Q282" t="n">
        <v>0</v>
      </c>
      <c r="R282" s="2" t="inlineStr"/>
    </row>
    <row r="283" ht="15" customHeight="1">
      <c r="A283" t="inlineStr">
        <is>
          <t>A 45026-2023</t>
        </is>
      </c>
      <c r="B283" s="1" t="n">
        <v>45190.96262731482</v>
      </c>
      <c r="C283" s="1" t="n">
        <v>45972</v>
      </c>
      <c r="D283" t="inlineStr">
        <is>
          <t>NORRBOTTENS LÄN</t>
        </is>
      </c>
      <c r="E283" t="inlineStr">
        <is>
          <t>GÄLLIVARE</t>
        </is>
      </c>
      <c r="F283" t="inlineStr">
        <is>
          <t>SCA</t>
        </is>
      </c>
      <c r="G283" t="n">
        <v>12.6</v>
      </c>
      <c r="H283" t="n">
        <v>0</v>
      </c>
      <c r="I283" t="n">
        <v>0</v>
      </c>
      <c r="J283" t="n">
        <v>0</v>
      </c>
      <c r="K283" t="n">
        <v>0</v>
      </c>
      <c r="L283" t="n">
        <v>0</v>
      </c>
      <c r="M283" t="n">
        <v>0</v>
      </c>
      <c r="N283" t="n">
        <v>0</v>
      </c>
      <c r="O283" t="n">
        <v>0</v>
      </c>
      <c r="P283" t="n">
        <v>0</v>
      </c>
      <c r="Q283" t="n">
        <v>0</v>
      </c>
      <c r="R283" s="2" t="inlineStr"/>
    </row>
    <row r="284" ht="15" customHeight="1">
      <c r="A284" t="inlineStr">
        <is>
          <t>A 30781-2023</t>
        </is>
      </c>
      <c r="B284" s="1" t="n">
        <v>45112</v>
      </c>
      <c r="C284" s="1" t="n">
        <v>45972</v>
      </c>
      <c r="D284" t="inlineStr">
        <is>
          <t>NORRBOTTENS LÄN</t>
        </is>
      </c>
      <c r="E284" t="inlineStr">
        <is>
          <t>GÄLLIVARE</t>
        </is>
      </c>
      <c r="G284" t="n">
        <v>1.1</v>
      </c>
      <c r="H284" t="n">
        <v>0</v>
      </c>
      <c r="I284" t="n">
        <v>0</v>
      </c>
      <c r="J284" t="n">
        <v>0</v>
      </c>
      <c r="K284" t="n">
        <v>0</v>
      </c>
      <c r="L284" t="n">
        <v>0</v>
      </c>
      <c r="M284" t="n">
        <v>0</v>
      </c>
      <c r="N284" t="n">
        <v>0</v>
      </c>
      <c r="O284" t="n">
        <v>0</v>
      </c>
      <c r="P284" t="n">
        <v>0</v>
      </c>
      <c r="Q284" t="n">
        <v>0</v>
      </c>
      <c r="R284" s="2" t="inlineStr"/>
    </row>
    <row r="285" ht="15" customHeight="1">
      <c r="A285" t="inlineStr">
        <is>
          <t>A 36984-2023</t>
        </is>
      </c>
      <c r="B285" s="1" t="n">
        <v>45154.95511574074</v>
      </c>
      <c r="C285" s="1" t="n">
        <v>45972</v>
      </c>
      <c r="D285" t="inlineStr">
        <is>
          <t>NORRBOTTENS LÄN</t>
        </is>
      </c>
      <c r="E285" t="inlineStr">
        <is>
          <t>GÄLLIVARE</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40146-2025</t>
        </is>
      </c>
      <c r="B286" s="1" t="n">
        <v>45894</v>
      </c>
      <c r="C286" s="1" t="n">
        <v>45972</v>
      </c>
      <c r="D286" t="inlineStr">
        <is>
          <t>NORRBOTTENS LÄN</t>
        </is>
      </c>
      <c r="E286" t="inlineStr">
        <is>
          <t>GÄLLIVARE</t>
        </is>
      </c>
      <c r="F286" t="inlineStr">
        <is>
          <t>Allmännings- och besparingsskogar</t>
        </is>
      </c>
      <c r="G286" t="n">
        <v>6.6</v>
      </c>
      <c r="H286" t="n">
        <v>0</v>
      </c>
      <c r="I286" t="n">
        <v>0</v>
      </c>
      <c r="J286" t="n">
        <v>0</v>
      </c>
      <c r="K286" t="n">
        <v>0</v>
      </c>
      <c r="L286" t="n">
        <v>0</v>
      </c>
      <c r="M286" t="n">
        <v>0</v>
      </c>
      <c r="N286" t="n">
        <v>0</v>
      </c>
      <c r="O286" t="n">
        <v>0</v>
      </c>
      <c r="P286" t="n">
        <v>0</v>
      </c>
      <c r="Q286" t="n">
        <v>0</v>
      </c>
      <c r="R286" s="2" t="inlineStr"/>
    </row>
    <row r="287" ht="15" customHeight="1">
      <c r="A287" t="inlineStr">
        <is>
          <t>A 53891-2024</t>
        </is>
      </c>
      <c r="B287" s="1" t="n">
        <v>45614</v>
      </c>
      <c r="C287" s="1" t="n">
        <v>45972</v>
      </c>
      <c r="D287" t="inlineStr">
        <is>
          <t>NORRBOTTENS LÄN</t>
        </is>
      </c>
      <c r="E287" t="inlineStr">
        <is>
          <t>GÄLLIVARE</t>
        </is>
      </c>
      <c r="F287" t="inlineStr">
        <is>
          <t>Allmännings- och besparingsskogar</t>
        </is>
      </c>
      <c r="G287" t="n">
        <v>27.3</v>
      </c>
      <c r="H287" t="n">
        <v>0</v>
      </c>
      <c r="I287" t="n">
        <v>0</v>
      </c>
      <c r="J287" t="n">
        <v>0</v>
      </c>
      <c r="K287" t="n">
        <v>0</v>
      </c>
      <c r="L287" t="n">
        <v>0</v>
      </c>
      <c r="M287" t="n">
        <v>0</v>
      </c>
      <c r="N287" t="n">
        <v>0</v>
      </c>
      <c r="O287" t="n">
        <v>0</v>
      </c>
      <c r="P287" t="n">
        <v>0</v>
      </c>
      <c r="Q287" t="n">
        <v>0</v>
      </c>
      <c r="R287" s="2" t="inlineStr"/>
    </row>
    <row r="288" ht="15" customHeight="1">
      <c r="A288" t="inlineStr">
        <is>
          <t>A 23613-2024</t>
        </is>
      </c>
      <c r="B288" s="1" t="n">
        <v>45454</v>
      </c>
      <c r="C288" s="1" t="n">
        <v>45972</v>
      </c>
      <c r="D288" t="inlineStr">
        <is>
          <t>NORRBOTTENS LÄN</t>
        </is>
      </c>
      <c r="E288" t="inlineStr">
        <is>
          <t>GÄLLIVARE</t>
        </is>
      </c>
      <c r="G288" t="n">
        <v>2.9</v>
      </c>
      <c r="H288" t="n">
        <v>0</v>
      </c>
      <c r="I288" t="n">
        <v>0</v>
      </c>
      <c r="J288" t="n">
        <v>0</v>
      </c>
      <c r="K288" t="n">
        <v>0</v>
      </c>
      <c r="L288" t="n">
        <v>0</v>
      </c>
      <c r="M288" t="n">
        <v>0</v>
      </c>
      <c r="N288" t="n">
        <v>0</v>
      </c>
      <c r="O288" t="n">
        <v>0</v>
      </c>
      <c r="P288" t="n">
        <v>0</v>
      </c>
      <c r="Q288" t="n">
        <v>0</v>
      </c>
      <c r="R288" s="2" t="inlineStr"/>
    </row>
    <row r="289" ht="15" customHeight="1">
      <c r="A289" t="inlineStr">
        <is>
          <t>A 49376-2025</t>
        </is>
      </c>
      <c r="B289" s="1" t="n">
        <v>45938.63606481482</v>
      </c>
      <c r="C289" s="1" t="n">
        <v>45972</v>
      </c>
      <c r="D289" t="inlineStr">
        <is>
          <t>NORRBOTTENS LÄN</t>
        </is>
      </c>
      <c r="E289" t="inlineStr">
        <is>
          <t>GÄLLIVARE</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25467-2024</t>
        </is>
      </c>
      <c r="B290" s="1" t="n">
        <v>45463</v>
      </c>
      <c r="C290" s="1" t="n">
        <v>45972</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50554-2024</t>
        </is>
      </c>
      <c r="B291" s="1" t="n">
        <v>45601.59497685185</v>
      </c>
      <c r="C291" s="1" t="n">
        <v>45972</v>
      </c>
      <c r="D291" t="inlineStr">
        <is>
          <t>NORRBOTTENS LÄN</t>
        </is>
      </c>
      <c r="E291" t="inlineStr">
        <is>
          <t>GÄLLIVARE</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49359-2025</t>
        </is>
      </c>
      <c r="B292" s="1" t="n">
        <v>45938.61662037037</v>
      </c>
      <c r="C292" s="1" t="n">
        <v>45972</v>
      </c>
      <c r="D292" t="inlineStr">
        <is>
          <t>NORRBOTTENS LÄN</t>
        </is>
      </c>
      <c r="E292" t="inlineStr">
        <is>
          <t>GÄLLIVARE</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48850-2025</t>
        </is>
      </c>
      <c r="B293" s="1" t="n">
        <v>45937.42935185185</v>
      </c>
      <c r="C293" s="1" t="n">
        <v>45972</v>
      </c>
      <c r="D293" t="inlineStr">
        <is>
          <t>NORRBOTTENS LÄN</t>
        </is>
      </c>
      <c r="E293" t="inlineStr">
        <is>
          <t>GÄLLIVARE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43109-2023</t>
        </is>
      </c>
      <c r="B294" s="1" t="n">
        <v>45182.94725694445</v>
      </c>
      <c r="C294" s="1" t="n">
        <v>45972</v>
      </c>
      <c r="D294" t="inlineStr">
        <is>
          <t>NORRBOTTENS LÄN</t>
        </is>
      </c>
      <c r="E294" t="inlineStr">
        <is>
          <t>GÄLLIVARE</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36980-2023</t>
        </is>
      </c>
      <c r="B295" s="1" t="n">
        <v>45154.95482638889</v>
      </c>
      <c r="C295" s="1" t="n">
        <v>45972</v>
      </c>
      <c r="D295" t="inlineStr">
        <is>
          <t>NORRBOTTENS LÄN</t>
        </is>
      </c>
      <c r="E295" t="inlineStr">
        <is>
          <t>GÄLLIVARE</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20884-2025</t>
        </is>
      </c>
      <c r="B296" s="1" t="n">
        <v>45777</v>
      </c>
      <c r="C296" s="1" t="n">
        <v>45972</v>
      </c>
      <c r="D296" t="inlineStr">
        <is>
          <t>NORRBOTTENS LÄN</t>
        </is>
      </c>
      <c r="E296" t="inlineStr">
        <is>
          <t>GÄLLIVARE</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44327-2024</t>
        </is>
      </c>
      <c r="B297" s="1" t="n">
        <v>45573</v>
      </c>
      <c r="C297" s="1" t="n">
        <v>45972</v>
      </c>
      <c r="D297" t="inlineStr">
        <is>
          <t>NORRBOTTENS LÄN</t>
        </is>
      </c>
      <c r="E297" t="inlineStr">
        <is>
          <t>GÄLLIVARE</t>
        </is>
      </c>
      <c r="G297" t="n">
        <v>7.6</v>
      </c>
      <c r="H297" t="n">
        <v>0</v>
      </c>
      <c r="I297" t="n">
        <v>0</v>
      </c>
      <c r="J297" t="n">
        <v>0</v>
      </c>
      <c r="K297" t="n">
        <v>0</v>
      </c>
      <c r="L297" t="n">
        <v>0</v>
      </c>
      <c r="M297" t="n">
        <v>0</v>
      </c>
      <c r="N297" t="n">
        <v>0</v>
      </c>
      <c r="O297" t="n">
        <v>0</v>
      </c>
      <c r="P297" t="n">
        <v>0</v>
      </c>
      <c r="Q297" t="n">
        <v>0</v>
      </c>
      <c r="R297" s="2" t="inlineStr"/>
    </row>
    <row r="298" ht="15" customHeight="1">
      <c r="A298" t="inlineStr">
        <is>
          <t>A 1609-2023</t>
        </is>
      </c>
      <c r="B298" s="1" t="n">
        <v>44937</v>
      </c>
      <c r="C298" s="1" t="n">
        <v>45972</v>
      </c>
      <c r="D298" t="inlineStr">
        <is>
          <t>NORRBOTTENS LÄN</t>
        </is>
      </c>
      <c r="E298" t="inlineStr">
        <is>
          <t>GÄLLIVARE</t>
        </is>
      </c>
      <c r="G298" t="n">
        <v>0.7</v>
      </c>
      <c r="H298" t="n">
        <v>0</v>
      </c>
      <c r="I298" t="n">
        <v>0</v>
      </c>
      <c r="J298" t="n">
        <v>0</v>
      </c>
      <c r="K298" t="n">
        <v>0</v>
      </c>
      <c r="L298" t="n">
        <v>0</v>
      </c>
      <c r="M298" t="n">
        <v>0</v>
      </c>
      <c r="N298" t="n">
        <v>0</v>
      </c>
      <c r="O298" t="n">
        <v>0</v>
      </c>
      <c r="P298" t="n">
        <v>0</v>
      </c>
      <c r="Q298" t="n">
        <v>0</v>
      </c>
      <c r="R298" s="2" t="inlineStr"/>
    </row>
    <row r="299" ht="15" customHeight="1">
      <c r="A299" t="inlineStr">
        <is>
          <t>A 61783-2023</t>
        </is>
      </c>
      <c r="B299" s="1" t="n">
        <v>45265.95695601852</v>
      </c>
      <c r="C299" s="1" t="n">
        <v>45972</v>
      </c>
      <c r="D299" t="inlineStr">
        <is>
          <t>NORRBOTTENS LÄN</t>
        </is>
      </c>
      <c r="E299" t="inlineStr">
        <is>
          <t>GÄLLIVARE</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41165-2025</t>
        </is>
      </c>
      <c r="B300" s="1" t="n">
        <v>45898.53658564815</v>
      </c>
      <c r="C300" s="1" t="n">
        <v>45972</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49827-2025</t>
        </is>
      </c>
      <c r="B301" s="1" t="n">
        <v>45940</v>
      </c>
      <c r="C301" s="1" t="n">
        <v>45972</v>
      </c>
      <c r="D301" t="inlineStr">
        <is>
          <t>NORRBOTTENS LÄN</t>
        </is>
      </c>
      <c r="E301" t="inlineStr">
        <is>
          <t>GÄLLIVARE</t>
        </is>
      </c>
      <c r="F301" t="inlineStr">
        <is>
          <t>SCA</t>
        </is>
      </c>
      <c r="G301" t="n">
        <v>11.9</v>
      </c>
      <c r="H301" t="n">
        <v>0</v>
      </c>
      <c r="I301" t="n">
        <v>0</v>
      </c>
      <c r="J301" t="n">
        <v>0</v>
      </c>
      <c r="K301" t="n">
        <v>0</v>
      </c>
      <c r="L301" t="n">
        <v>0</v>
      </c>
      <c r="M301" t="n">
        <v>0</v>
      </c>
      <c r="N301" t="n">
        <v>0</v>
      </c>
      <c r="O301" t="n">
        <v>0</v>
      </c>
      <c r="P301" t="n">
        <v>0</v>
      </c>
      <c r="Q301" t="n">
        <v>0</v>
      </c>
      <c r="R301" s="2" t="inlineStr"/>
    </row>
    <row r="302" ht="15" customHeight="1">
      <c r="A302" t="inlineStr">
        <is>
          <t>A 53828-2024</t>
        </is>
      </c>
      <c r="B302" s="1" t="n">
        <v>45615.61438657407</v>
      </c>
      <c r="C302" s="1" t="n">
        <v>45972</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45972</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29011-2024</t>
        </is>
      </c>
      <c r="B304" s="1" t="n">
        <v>45481</v>
      </c>
      <c r="C304" s="1" t="n">
        <v>45972</v>
      </c>
      <c r="D304" t="inlineStr">
        <is>
          <t>NORRBOTTENS LÄN</t>
        </is>
      </c>
      <c r="E304" t="inlineStr">
        <is>
          <t>GÄLLIVARE</t>
        </is>
      </c>
      <c r="G304" t="n">
        <v>0.7</v>
      </c>
      <c r="H304" t="n">
        <v>0</v>
      </c>
      <c r="I304" t="n">
        <v>0</v>
      </c>
      <c r="J304" t="n">
        <v>0</v>
      </c>
      <c r="K304" t="n">
        <v>0</v>
      </c>
      <c r="L304" t="n">
        <v>0</v>
      </c>
      <c r="M304" t="n">
        <v>0</v>
      </c>
      <c r="N304" t="n">
        <v>0</v>
      </c>
      <c r="O304" t="n">
        <v>0</v>
      </c>
      <c r="P304" t="n">
        <v>0</v>
      </c>
      <c r="Q304" t="n">
        <v>0</v>
      </c>
      <c r="R304" s="2" t="inlineStr"/>
    </row>
    <row r="305" ht="15" customHeight="1">
      <c r="A305" t="inlineStr">
        <is>
          <t>A 10298-2023</t>
        </is>
      </c>
      <c r="B305" s="1" t="n">
        <v>44986</v>
      </c>
      <c r="C305" s="1" t="n">
        <v>45972</v>
      </c>
      <c r="D305" t="inlineStr">
        <is>
          <t>NORRBOTTENS LÄN</t>
        </is>
      </c>
      <c r="E305" t="inlineStr">
        <is>
          <t>GÄLLIVARE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41169-2025</t>
        </is>
      </c>
      <c r="B306" s="1" t="n">
        <v>45898.54578703704</v>
      </c>
      <c r="C306" s="1" t="n">
        <v>45972</v>
      </c>
      <c r="D306" t="inlineStr">
        <is>
          <t>NORRBOTTENS LÄN</t>
        </is>
      </c>
      <c r="E306" t="inlineStr">
        <is>
          <t>GÄLLIVARE</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59680-2024</t>
        </is>
      </c>
      <c r="B307" s="1" t="n">
        <v>45639</v>
      </c>
      <c r="C307" s="1" t="n">
        <v>45972</v>
      </c>
      <c r="D307" t="inlineStr">
        <is>
          <t>NORRBOTTENS LÄN</t>
        </is>
      </c>
      <c r="E307" t="inlineStr">
        <is>
          <t>GÄLLIVARE</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21246-2025</t>
        </is>
      </c>
      <c r="B308" s="1" t="n">
        <v>45779</v>
      </c>
      <c r="C308" s="1" t="n">
        <v>45972</v>
      </c>
      <c r="D308" t="inlineStr">
        <is>
          <t>NORRBOTTENS LÄN</t>
        </is>
      </c>
      <c r="E308" t="inlineStr">
        <is>
          <t>GÄLLIVARE</t>
        </is>
      </c>
      <c r="F308" t="inlineStr">
        <is>
          <t>SCA</t>
        </is>
      </c>
      <c r="G308" t="n">
        <v>16.6</v>
      </c>
      <c r="H308" t="n">
        <v>0</v>
      </c>
      <c r="I308" t="n">
        <v>0</v>
      </c>
      <c r="J308" t="n">
        <v>0</v>
      </c>
      <c r="K308" t="n">
        <v>0</v>
      </c>
      <c r="L308" t="n">
        <v>0</v>
      </c>
      <c r="M308" t="n">
        <v>0</v>
      </c>
      <c r="N308" t="n">
        <v>0</v>
      </c>
      <c r="O308" t="n">
        <v>0</v>
      </c>
      <c r="P308" t="n">
        <v>0</v>
      </c>
      <c r="Q308" t="n">
        <v>0</v>
      </c>
      <c r="R308" s="2" t="inlineStr"/>
    </row>
    <row r="309" ht="15" customHeight="1">
      <c r="A309" t="inlineStr">
        <is>
          <t>A 49665-2025</t>
        </is>
      </c>
      <c r="B309" s="1" t="n">
        <v>45939.63638888889</v>
      </c>
      <c r="C309" s="1" t="n">
        <v>45972</v>
      </c>
      <c r="D309" t="inlineStr">
        <is>
          <t>NORRBOTTENS LÄN</t>
        </is>
      </c>
      <c r="E309" t="inlineStr">
        <is>
          <t>GÄLLIVARE</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23607-2025</t>
        </is>
      </c>
      <c r="B310" s="1" t="n">
        <v>45792.65668981482</v>
      </c>
      <c r="C310" s="1" t="n">
        <v>45972</v>
      </c>
      <c r="D310" t="inlineStr">
        <is>
          <t>NORRBOTTENS LÄN</t>
        </is>
      </c>
      <c r="E310" t="inlineStr">
        <is>
          <t>GÄLLIVARE</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23638-2025</t>
        </is>
      </c>
      <c r="B311" s="1" t="n">
        <v>45792</v>
      </c>
      <c r="C311" s="1" t="n">
        <v>45972</v>
      </c>
      <c r="D311" t="inlineStr">
        <is>
          <t>NORRBOTTENS LÄN</t>
        </is>
      </c>
      <c r="E311" t="inlineStr">
        <is>
          <t>GÄLLIVARE</t>
        </is>
      </c>
      <c r="F311" t="inlineStr">
        <is>
          <t>Allmännings- och besparingsskogar</t>
        </is>
      </c>
      <c r="G311" t="n">
        <v>19.3</v>
      </c>
      <c r="H311" t="n">
        <v>0</v>
      </c>
      <c r="I311" t="n">
        <v>0</v>
      </c>
      <c r="J311" t="n">
        <v>0</v>
      </c>
      <c r="K311" t="n">
        <v>0</v>
      </c>
      <c r="L311" t="n">
        <v>0</v>
      </c>
      <c r="M311" t="n">
        <v>0</v>
      </c>
      <c r="N311" t="n">
        <v>0</v>
      </c>
      <c r="O311" t="n">
        <v>0</v>
      </c>
      <c r="P311" t="n">
        <v>0</v>
      </c>
      <c r="Q311" t="n">
        <v>0</v>
      </c>
      <c r="R311" s="2" t="inlineStr"/>
    </row>
    <row r="312" ht="15" customHeight="1">
      <c r="A312" t="inlineStr">
        <is>
          <t>A 39559-2022</t>
        </is>
      </c>
      <c r="B312" s="1" t="n">
        <v>44818</v>
      </c>
      <c r="C312" s="1" t="n">
        <v>45972</v>
      </c>
      <c r="D312" t="inlineStr">
        <is>
          <t>NORRBOTTENS LÄN</t>
        </is>
      </c>
      <c r="E312" t="inlineStr">
        <is>
          <t>GÄLLIVARE</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833-2025</t>
        </is>
      </c>
      <c r="B313" s="1" t="n">
        <v>45665</v>
      </c>
      <c r="C313" s="1" t="n">
        <v>45972</v>
      </c>
      <c r="D313" t="inlineStr">
        <is>
          <t>NORRBOTTENS LÄN</t>
        </is>
      </c>
      <c r="E313" t="inlineStr">
        <is>
          <t>GÄLLIVARE</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836-2025</t>
        </is>
      </c>
      <c r="B314" s="1" t="n">
        <v>45665</v>
      </c>
      <c r="C314" s="1" t="n">
        <v>45972</v>
      </c>
      <c r="D314" t="inlineStr">
        <is>
          <t>NORRBOTTENS LÄN</t>
        </is>
      </c>
      <c r="E314" t="inlineStr">
        <is>
          <t>GÄLLIVARE</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839-2025</t>
        </is>
      </c>
      <c r="B315" s="1" t="n">
        <v>45665</v>
      </c>
      <c r="C315" s="1" t="n">
        <v>45972</v>
      </c>
      <c r="D315" t="inlineStr">
        <is>
          <t>NORRBOTTENS LÄN</t>
        </is>
      </c>
      <c r="E315" t="inlineStr">
        <is>
          <t>GÄLLIVARE</t>
        </is>
      </c>
      <c r="F315" t="inlineStr">
        <is>
          <t>Sveaskog</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41789-2025</t>
        </is>
      </c>
      <c r="B316" s="1" t="n">
        <v>45902.59466435185</v>
      </c>
      <c r="C316" s="1" t="n">
        <v>45972</v>
      </c>
      <c r="D316" t="inlineStr">
        <is>
          <t>NORRBOTTENS LÄN</t>
        </is>
      </c>
      <c r="E316" t="inlineStr">
        <is>
          <t>GÄLLIVARE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41791-2025</t>
        </is>
      </c>
      <c r="B317" s="1" t="n">
        <v>45902.59523148148</v>
      </c>
      <c r="C317" s="1" t="n">
        <v>45972</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59675-2024</t>
        </is>
      </c>
      <c r="B318" s="1" t="n">
        <v>45639</v>
      </c>
      <c r="C318" s="1" t="n">
        <v>45972</v>
      </c>
      <c r="D318" t="inlineStr">
        <is>
          <t>NORRBOTTENS LÄN</t>
        </is>
      </c>
      <c r="E318" t="inlineStr">
        <is>
          <t>GÄLLIVARE</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24139-2025</t>
        </is>
      </c>
      <c r="B319" s="1" t="n">
        <v>45796</v>
      </c>
      <c r="C319" s="1" t="n">
        <v>45972</v>
      </c>
      <c r="D319" t="inlineStr">
        <is>
          <t>NORRBOTTENS LÄN</t>
        </is>
      </c>
      <c r="E319" t="inlineStr">
        <is>
          <t>GÄLLIVARE</t>
        </is>
      </c>
      <c r="G319" t="n">
        <v>1.6</v>
      </c>
      <c r="H319" t="n">
        <v>0</v>
      </c>
      <c r="I319" t="n">
        <v>0</v>
      </c>
      <c r="J319" t="n">
        <v>0</v>
      </c>
      <c r="K319" t="n">
        <v>0</v>
      </c>
      <c r="L319" t="n">
        <v>0</v>
      </c>
      <c r="M319" t="n">
        <v>0</v>
      </c>
      <c r="N319" t="n">
        <v>0</v>
      </c>
      <c r="O319" t="n">
        <v>0</v>
      </c>
      <c r="P319" t="n">
        <v>0</v>
      </c>
      <c r="Q319" t="n">
        <v>0</v>
      </c>
      <c r="R319" s="2" t="inlineStr"/>
    </row>
    <row r="320" ht="15" customHeight="1">
      <c r="A320" t="inlineStr">
        <is>
          <t>A 5166-2025</t>
        </is>
      </c>
      <c r="B320" s="1" t="n">
        <v>45691</v>
      </c>
      <c r="C320" s="1" t="n">
        <v>45972</v>
      </c>
      <c r="D320" t="inlineStr">
        <is>
          <t>NORRBOTTENS LÄN</t>
        </is>
      </c>
      <c r="E320" t="inlineStr">
        <is>
          <t>GÄLLIVARE</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24125-2025</t>
        </is>
      </c>
      <c r="B321" s="1" t="n">
        <v>45796</v>
      </c>
      <c r="C321" s="1" t="n">
        <v>45972</v>
      </c>
      <c r="D321" t="inlineStr">
        <is>
          <t>NORRBOTTENS LÄN</t>
        </is>
      </c>
      <c r="E321" t="inlineStr">
        <is>
          <t>GÄLLIVARE</t>
        </is>
      </c>
      <c r="F321" t="inlineStr">
        <is>
          <t>Allmännings- och besparingsskogar</t>
        </is>
      </c>
      <c r="G321" t="n">
        <v>7.4</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45972</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41450-2025</t>
        </is>
      </c>
      <c r="B323" s="1" t="n">
        <v>45901.42961805555</v>
      </c>
      <c r="C323" s="1" t="n">
        <v>45972</v>
      </c>
      <c r="D323" t="inlineStr">
        <is>
          <t>NORRBOTTENS LÄN</t>
        </is>
      </c>
      <c r="E323" t="inlineStr">
        <is>
          <t>GÄLLIVARE</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49664-2025</t>
        </is>
      </c>
      <c r="B324" s="1" t="n">
        <v>45939</v>
      </c>
      <c r="C324" s="1" t="n">
        <v>45972</v>
      </c>
      <c r="D324" t="inlineStr">
        <is>
          <t>NORRBOTTENS LÄN</t>
        </is>
      </c>
      <c r="E324" t="inlineStr">
        <is>
          <t>GÄLLIVARE</t>
        </is>
      </c>
      <c r="F324" t="inlineStr">
        <is>
          <t>SCA</t>
        </is>
      </c>
      <c r="G324" t="n">
        <v>11.1</v>
      </c>
      <c r="H324" t="n">
        <v>0</v>
      </c>
      <c r="I324" t="n">
        <v>0</v>
      </c>
      <c r="J324" t="n">
        <v>0</v>
      </c>
      <c r="K324" t="n">
        <v>0</v>
      </c>
      <c r="L324" t="n">
        <v>0</v>
      </c>
      <c r="M324" t="n">
        <v>0</v>
      </c>
      <c r="N324" t="n">
        <v>0</v>
      </c>
      <c r="O324" t="n">
        <v>0</v>
      </c>
      <c r="P324" t="n">
        <v>0</v>
      </c>
      <c r="Q324" t="n">
        <v>0</v>
      </c>
      <c r="R324" s="2" t="inlineStr"/>
    </row>
    <row r="325" ht="15" customHeight="1">
      <c r="A325" t="inlineStr">
        <is>
          <t>A 24148-2025</t>
        </is>
      </c>
      <c r="B325" s="1" t="n">
        <v>45796</v>
      </c>
      <c r="C325" s="1" t="n">
        <v>45972</v>
      </c>
      <c r="D325" t="inlineStr">
        <is>
          <t>NORRBOTTENS LÄN</t>
        </is>
      </c>
      <c r="E325" t="inlineStr">
        <is>
          <t>GÄLLIVARE</t>
        </is>
      </c>
      <c r="G325" t="n">
        <v>3.6</v>
      </c>
      <c r="H325" t="n">
        <v>0</v>
      </c>
      <c r="I325" t="n">
        <v>0</v>
      </c>
      <c r="J325" t="n">
        <v>0</v>
      </c>
      <c r="K325" t="n">
        <v>0</v>
      </c>
      <c r="L325" t="n">
        <v>0</v>
      </c>
      <c r="M325" t="n">
        <v>0</v>
      </c>
      <c r="N325" t="n">
        <v>0</v>
      </c>
      <c r="O325" t="n">
        <v>0</v>
      </c>
      <c r="P325" t="n">
        <v>0</v>
      </c>
      <c r="Q325" t="n">
        <v>0</v>
      </c>
      <c r="R325" s="2" t="inlineStr"/>
    </row>
    <row r="326" ht="15" customHeight="1">
      <c r="A326" t="inlineStr">
        <is>
          <t>A 48531-2023</t>
        </is>
      </c>
      <c r="B326" s="1" t="n">
        <v>45208</v>
      </c>
      <c r="C326" s="1" t="n">
        <v>45972</v>
      </c>
      <c r="D326" t="inlineStr">
        <is>
          <t>NORRBOTTENS LÄN</t>
        </is>
      </c>
      <c r="E326" t="inlineStr">
        <is>
          <t>GÄLLIVARE</t>
        </is>
      </c>
      <c r="G326" t="n">
        <v>16.5</v>
      </c>
      <c r="H326" t="n">
        <v>0</v>
      </c>
      <c r="I326" t="n">
        <v>0</v>
      </c>
      <c r="J326" t="n">
        <v>0</v>
      </c>
      <c r="K326" t="n">
        <v>0</v>
      </c>
      <c r="L326" t="n">
        <v>0</v>
      </c>
      <c r="M326" t="n">
        <v>0</v>
      </c>
      <c r="N326" t="n">
        <v>0</v>
      </c>
      <c r="O326" t="n">
        <v>0</v>
      </c>
      <c r="P326" t="n">
        <v>0</v>
      </c>
      <c r="Q326" t="n">
        <v>0</v>
      </c>
      <c r="R326" s="2" t="inlineStr"/>
    </row>
    <row r="327" ht="15" customHeight="1">
      <c r="A327" t="inlineStr">
        <is>
          <t>A 53893-2024</t>
        </is>
      </c>
      <c r="B327" s="1" t="n">
        <v>45615</v>
      </c>
      <c r="C327" s="1" t="n">
        <v>45972</v>
      </c>
      <c r="D327" t="inlineStr">
        <is>
          <t>NORRBOTTENS LÄN</t>
        </is>
      </c>
      <c r="E327" t="inlineStr">
        <is>
          <t>GÄLLIVARE</t>
        </is>
      </c>
      <c r="G327" t="n">
        <v>3.4</v>
      </c>
      <c r="H327" t="n">
        <v>0</v>
      </c>
      <c r="I327" t="n">
        <v>0</v>
      </c>
      <c r="J327" t="n">
        <v>0</v>
      </c>
      <c r="K327" t="n">
        <v>0</v>
      </c>
      <c r="L327" t="n">
        <v>0</v>
      </c>
      <c r="M327" t="n">
        <v>0</v>
      </c>
      <c r="N327" t="n">
        <v>0</v>
      </c>
      <c r="O327" t="n">
        <v>0</v>
      </c>
      <c r="P327" t="n">
        <v>0</v>
      </c>
      <c r="Q327" t="n">
        <v>0</v>
      </c>
      <c r="R327" s="2" t="inlineStr"/>
    </row>
    <row r="328" ht="15" customHeight="1">
      <c r="A328" t="inlineStr">
        <is>
          <t>A 20286-2025</t>
        </is>
      </c>
      <c r="B328" s="1" t="n">
        <v>45774</v>
      </c>
      <c r="C328" s="1" t="n">
        <v>45972</v>
      </c>
      <c r="D328" t="inlineStr">
        <is>
          <t>NORRBOTTENS LÄN</t>
        </is>
      </c>
      <c r="E328" t="inlineStr">
        <is>
          <t>GÄLLIVARE</t>
        </is>
      </c>
      <c r="F328" t="inlineStr">
        <is>
          <t>SCA</t>
        </is>
      </c>
      <c r="G328" t="n">
        <v>5.1</v>
      </c>
      <c r="H328" t="n">
        <v>0</v>
      </c>
      <c r="I328" t="n">
        <v>0</v>
      </c>
      <c r="J328" t="n">
        <v>0</v>
      </c>
      <c r="K328" t="n">
        <v>0</v>
      </c>
      <c r="L328" t="n">
        <v>0</v>
      </c>
      <c r="M328" t="n">
        <v>0</v>
      </c>
      <c r="N328" t="n">
        <v>0</v>
      </c>
      <c r="O328" t="n">
        <v>0</v>
      </c>
      <c r="P328" t="n">
        <v>0</v>
      </c>
      <c r="Q328" t="n">
        <v>0</v>
      </c>
      <c r="R328" s="2" t="inlineStr"/>
    </row>
    <row r="329" ht="15" customHeight="1">
      <c r="A329" t="inlineStr">
        <is>
          <t>A 41790-2025</t>
        </is>
      </c>
      <c r="B329" s="1" t="n">
        <v>45902.59489583333</v>
      </c>
      <c r="C329" s="1" t="n">
        <v>45972</v>
      </c>
      <c r="D329" t="inlineStr">
        <is>
          <t>NORRBOTTENS LÄN</t>
        </is>
      </c>
      <c r="E329" t="inlineStr">
        <is>
          <t>GÄLLIVARE</t>
        </is>
      </c>
      <c r="F329" t="inlineStr">
        <is>
          <t>SCA</t>
        </is>
      </c>
      <c r="G329" t="n">
        <v>10.3</v>
      </c>
      <c r="H329" t="n">
        <v>0</v>
      </c>
      <c r="I329" t="n">
        <v>0</v>
      </c>
      <c r="J329" t="n">
        <v>0</v>
      </c>
      <c r="K329" t="n">
        <v>0</v>
      </c>
      <c r="L329" t="n">
        <v>0</v>
      </c>
      <c r="M329" t="n">
        <v>0</v>
      </c>
      <c r="N329" t="n">
        <v>0</v>
      </c>
      <c r="O329" t="n">
        <v>0</v>
      </c>
      <c r="P329" t="n">
        <v>0</v>
      </c>
      <c r="Q329" t="n">
        <v>0</v>
      </c>
      <c r="R329" s="2" t="inlineStr"/>
    </row>
    <row r="330" ht="15" customHeight="1">
      <c r="A330" t="inlineStr">
        <is>
          <t>A 53784-2024</t>
        </is>
      </c>
      <c r="B330" s="1" t="n">
        <v>45615</v>
      </c>
      <c r="C330" s="1" t="n">
        <v>45972</v>
      </c>
      <c r="D330" t="inlineStr">
        <is>
          <t>NORRBOTTENS LÄN</t>
        </is>
      </c>
      <c r="E330" t="inlineStr">
        <is>
          <t>GÄLLIVARE</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5086-2025</t>
        </is>
      </c>
      <c r="B331" s="1" t="n">
        <v>45691</v>
      </c>
      <c r="C331" s="1" t="n">
        <v>45972</v>
      </c>
      <c r="D331" t="inlineStr">
        <is>
          <t>NORRBOTTENS LÄN</t>
        </is>
      </c>
      <c r="E331" t="inlineStr">
        <is>
          <t>GÄLLIVARE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59698-2024</t>
        </is>
      </c>
      <c r="B332" s="1" t="n">
        <v>45639</v>
      </c>
      <c r="C332" s="1" t="n">
        <v>45972</v>
      </c>
      <c r="D332" t="inlineStr">
        <is>
          <t>NORRBOTTENS LÄN</t>
        </is>
      </c>
      <c r="E332" t="inlineStr">
        <is>
          <t>GÄLLIVARE</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59704-2024</t>
        </is>
      </c>
      <c r="B333" s="1" t="n">
        <v>45639</v>
      </c>
      <c r="C333" s="1" t="n">
        <v>45972</v>
      </c>
      <c r="D333" t="inlineStr">
        <is>
          <t>NORRBOTTENS LÄN</t>
        </is>
      </c>
      <c r="E333" t="inlineStr">
        <is>
          <t>GÄLLIVARE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45972</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36322-2023</t>
        </is>
      </c>
      <c r="B335" s="1" t="n">
        <v>45152</v>
      </c>
      <c r="C335" s="1" t="n">
        <v>45972</v>
      </c>
      <c r="D335" t="inlineStr">
        <is>
          <t>NORRBOTTENS LÄN</t>
        </is>
      </c>
      <c r="E335" t="inlineStr">
        <is>
          <t>GÄLLIVARE</t>
        </is>
      </c>
      <c r="F335" t="inlineStr">
        <is>
          <t>Allmännings- och besparingsskogar</t>
        </is>
      </c>
      <c r="G335" t="n">
        <v>36.8</v>
      </c>
      <c r="H335" t="n">
        <v>0</v>
      </c>
      <c r="I335" t="n">
        <v>0</v>
      </c>
      <c r="J335" t="n">
        <v>0</v>
      </c>
      <c r="K335" t="n">
        <v>0</v>
      </c>
      <c r="L335" t="n">
        <v>0</v>
      </c>
      <c r="M335" t="n">
        <v>0</v>
      </c>
      <c r="N335" t="n">
        <v>0</v>
      </c>
      <c r="O335" t="n">
        <v>0</v>
      </c>
      <c r="P335" t="n">
        <v>0</v>
      </c>
      <c r="Q335" t="n">
        <v>0</v>
      </c>
      <c r="R335" s="2" t="inlineStr"/>
    </row>
    <row r="336" ht="15" customHeight="1">
      <c r="A336" t="inlineStr">
        <is>
          <t>A 50005-2025</t>
        </is>
      </c>
      <c r="B336" s="1" t="n">
        <v>45943.34489583333</v>
      </c>
      <c r="C336" s="1" t="n">
        <v>45972</v>
      </c>
      <c r="D336" t="inlineStr">
        <is>
          <t>NORRBOTTENS LÄN</t>
        </is>
      </c>
      <c r="E336" t="inlineStr">
        <is>
          <t>GÄLLIVARE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24624-2025</t>
        </is>
      </c>
      <c r="B337" s="1" t="n">
        <v>45798.59435185185</v>
      </c>
      <c r="C337" s="1" t="n">
        <v>45972</v>
      </c>
      <c r="D337" t="inlineStr">
        <is>
          <t>NORRBOTTENS LÄN</t>
        </is>
      </c>
      <c r="E337" t="inlineStr">
        <is>
          <t>GÄLLIVARE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24237-2025</t>
        </is>
      </c>
      <c r="B338" s="1" t="n">
        <v>45797</v>
      </c>
      <c r="C338" s="1" t="n">
        <v>45972</v>
      </c>
      <c r="D338" t="inlineStr">
        <is>
          <t>NORRBOTTENS LÄN</t>
        </is>
      </c>
      <c r="E338" t="inlineStr">
        <is>
          <t>GÄLLIVARE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41792-2025</t>
        </is>
      </c>
      <c r="B339" s="1" t="n">
        <v>45902.59528935186</v>
      </c>
      <c r="C339" s="1" t="n">
        <v>45972</v>
      </c>
      <c r="D339" t="inlineStr">
        <is>
          <t>NORRBOTTENS LÄN</t>
        </is>
      </c>
      <c r="E339" t="inlineStr">
        <is>
          <t>GÄLLIVARE</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44340-2024</t>
        </is>
      </c>
      <c r="B340" s="1" t="n">
        <v>45573</v>
      </c>
      <c r="C340" s="1" t="n">
        <v>45972</v>
      </c>
      <c r="D340" t="inlineStr">
        <is>
          <t>NORRBOTTENS LÄN</t>
        </is>
      </c>
      <c r="E340" t="inlineStr">
        <is>
          <t>GÄLLIVARE</t>
        </is>
      </c>
      <c r="G340" t="n">
        <v>3.5</v>
      </c>
      <c r="H340" t="n">
        <v>0</v>
      </c>
      <c r="I340" t="n">
        <v>0</v>
      </c>
      <c r="J340" t="n">
        <v>0</v>
      </c>
      <c r="K340" t="n">
        <v>0</v>
      </c>
      <c r="L340" t="n">
        <v>0</v>
      </c>
      <c r="M340" t="n">
        <v>0</v>
      </c>
      <c r="N340" t="n">
        <v>0</v>
      </c>
      <c r="O340" t="n">
        <v>0</v>
      </c>
      <c r="P340" t="n">
        <v>0</v>
      </c>
      <c r="Q340" t="n">
        <v>0</v>
      </c>
      <c r="R340" s="2" t="inlineStr"/>
    </row>
    <row r="341" ht="15" customHeight="1">
      <c r="A341" t="inlineStr">
        <is>
          <t>A 24221-2025</t>
        </is>
      </c>
      <c r="B341" s="1" t="n">
        <v>45797.36483796296</v>
      </c>
      <c r="C341" s="1" t="n">
        <v>45972</v>
      </c>
      <c r="D341" t="inlineStr">
        <is>
          <t>NORRBOTTENS LÄN</t>
        </is>
      </c>
      <c r="E341" t="inlineStr">
        <is>
          <t>GÄLLIVARE</t>
        </is>
      </c>
      <c r="G341" t="n">
        <v>5.6</v>
      </c>
      <c r="H341" t="n">
        <v>0</v>
      </c>
      <c r="I341" t="n">
        <v>0</v>
      </c>
      <c r="J341" t="n">
        <v>0</v>
      </c>
      <c r="K341" t="n">
        <v>0</v>
      </c>
      <c r="L341" t="n">
        <v>0</v>
      </c>
      <c r="M341" t="n">
        <v>0</v>
      </c>
      <c r="N341" t="n">
        <v>0</v>
      </c>
      <c r="O341" t="n">
        <v>0</v>
      </c>
      <c r="P341" t="n">
        <v>0</v>
      </c>
      <c r="Q341" t="n">
        <v>0</v>
      </c>
      <c r="R341" s="2" t="inlineStr"/>
    </row>
    <row r="342" ht="15" customHeight="1">
      <c r="A342" t="inlineStr">
        <is>
          <t>A 57535-2024</t>
        </is>
      </c>
      <c r="B342" s="1" t="n">
        <v>45630.42950231482</v>
      </c>
      <c r="C342" s="1" t="n">
        <v>45972</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24276-2025</t>
        </is>
      </c>
      <c r="B343" s="1" t="n">
        <v>45797.44836805556</v>
      </c>
      <c r="C343" s="1" t="n">
        <v>45972</v>
      </c>
      <c r="D343" t="inlineStr">
        <is>
          <t>NORRBOTTENS LÄN</t>
        </is>
      </c>
      <c r="E343" t="inlineStr">
        <is>
          <t>GÄLLIVARE</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65517-2021</t>
        </is>
      </c>
      <c r="B344" s="1" t="n">
        <v>44516</v>
      </c>
      <c r="C344" s="1" t="n">
        <v>45972</v>
      </c>
      <c r="D344" t="inlineStr">
        <is>
          <t>NORRBOTTENS LÄN</t>
        </is>
      </c>
      <c r="E344" t="inlineStr">
        <is>
          <t>GÄLLIVARE</t>
        </is>
      </c>
      <c r="G344" t="n">
        <v>5</v>
      </c>
      <c r="H344" t="n">
        <v>0</v>
      </c>
      <c r="I344" t="n">
        <v>0</v>
      </c>
      <c r="J344" t="n">
        <v>0</v>
      </c>
      <c r="K344" t="n">
        <v>0</v>
      </c>
      <c r="L344" t="n">
        <v>0</v>
      </c>
      <c r="M344" t="n">
        <v>0</v>
      </c>
      <c r="N344" t="n">
        <v>0</v>
      </c>
      <c r="O344" t="n">
        <v>0</v>
      </c>
      <c r="P344" t="n">
        <v>0</v>
      </c>
      <c r="Q344" t="n">
        <v>0</v>
      </c>
      <c r="R344" s="2" t="inlineStr"/>
    </row>
    <row r="345" ht="15" customHeight="1">
      <c r="A345" t="inlineStr">
        <is>
          <t>A 45654-2024</t>
        </is>
      </c>
      <c r="B345" s="1" t="n">
        <v>45579</v>
      </c>
      <c r="C345" s="1" t="n">
        <v>45972</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25035-2025</t>
        </is>
      </c>
      <c r="B346" s="1" t="n">
        <v>45799.65689814815</v>
      </c>
      <c r="C346" s="1" t="n">
        <v>45972</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24734-2025</t>
        </is>
      </c>
      <c r="B347" s="1" t="n">
        <v>45799</v>
      </c>
      <c r="C347" s="1" t="n">
        <v>45972</v>
      </c>
      <c r="D347" t="inlineStr">
        <is>
          <t>NORRBOTTENS LÄN</t>
        </is>
      </c>
      <c r="E347" t="inlineStr">
        <is>
          <t>GÄLLIVARE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50773-2025</t>
        </is>
      </c>
      <c r="B348" s="1" t="n">
        <v>45946.44894675926</v>
      </c>
      <c r="C348" s="1" t="n">
        <v>45972</v>
      </c>
      <c r="D348" t="inlineStr">
        <is>
          <t>NORRBOTTENS LÄN</t>
        </is>
      </c>
      <c r="E348" t="inlineStr">
        <is>
          <t>GÄLLIVARE</t>
        </is>
      </c>
      <c r="G348" t="n">
        <v>21.8</v>
      </c>
      <c r="H348" t="n">
        <v>0</v>
      </c>
      <c r="I348" t="n">
        <v>0</v>
      </c>
      <c r="J348" t="n">
        <v>0</v>
      </c>
      <c r="K348" t="n">
        <v>0</v>
      </c>
      <c r="L348" t="n">
        <v>0</v>
      </c>
      <c r="M348" t="n">
        <v>0</v>
      </c>
      <c r="N348" t="n">
        <v>0</v>
      </c>
      <c r="O348" t="n">
        <v>0</v>
      </c>
      <c r="P348" t="n">
        <v>0</v>
      </c>
      <c r="Q348" t="n">
        <v>0</v>
      </c>
      <c r="R348" s="2" t="inlineStr"/>
    </row>
    <row r="349" ht="15" customHeight="1">
      <c r="A349" t="inlineStr">
        <is>
          <t>A 25038-2025</t>
        </is>
      </c>
      <c r="B349" s="1" t="n">
        <v>45799.65711805555</v>
      </c>
      <c r="C349" s="1" t="n">
        <v>45972</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24739-2025</t>
        </is>
      </c>
      <c r="B350" s="1" t="n">
        <v>45799</v>
      </c>
      <c r="C350" s="1" t="n">
        <v>45972</v>
      </c>
      <c r="D350" t="inlineStr">
        <is>
          <t>NORRBOTTENS LÄN</t>
        </is>
      </c>
      <c r="E350" t="inlineStr">
        <is>
          <t>GÄLLIVARE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24741-2025</t>
        </is>
      </c>
      <c r="B351" s="1" t="n">
        <v>45799.34563657407</v>
      </c>
      <c r="C351" s="1" t="n">
        <v>45972</v>
      </c>
      <c r="D351" t="inlineStr">
        <is>
          <t>NORRBOTTENS LÄN</t>
        </is>
      </c>
      <c r="E351" t="inlineStr">
        <is>
          <t>GÄLLIVARE</t>
        </is>
      </c>
      <c r="F351" t="inlineStr">
        <is>
          <t>SCA</t>
        </is>
      </c>
      <c r="G351" t="n">
        <v>16.2</v>
      </c>
      <c r="H351" t="n">
        <v>0</v>
      </c>
      <c r="I351" t="n">
        <v>0</v>
      </c>
      <c r="J351" t="n">
        <v>0</v>
      </c>
      <c r="K351" t="n">
        <v>0</v>
      </c>
      <c r="L351" t="n">
        <v>0</v>
      </c>
      <c r="M351" t="n">
        <v>0</v>
      </c>
      <c r="N351" t="n">
        <v>0</v>
      </c>
      <c r="O351" t="n">
        <v>0</v>
      </c>
      <c r="P351" t="n">
        <v>0</v>
      </c>
      <c r="Q351" t="n">
        <v>0</v>
      </c>
      <c r="R351" s="2" t="inlineStr"/>
    </row>
    <row r="352" ht="15" customHeight="1">
      <c r="A352" t="inlineStr">
        <is>
          <t>A 50534-2025</t>
        </is>
      </c>
      <c r="B352" s="1" t="n">
        <v>45945.48403935185</v>
      </c>
      <c r="C352" s="1" t="n">
        <v>45972</v>
      </c>
      <c r="D352" t="inlineStr">
        <is>
          <t>NORRBOTTENS LÄN</t>
        </is>
      </c>
      <c r="E352" t="inlineStr">
        <is>
          <t>GÄLLIVARE</t>
        </is>
      </c>
      <c r="G352" t="n">
        <v>0.8</v>
      </c>
      <c r="H352" t="n">
        <v>0</v>
      </c>
      <c r="I352" t="n">
        <v>0</v>
      </c>
      <c r="J352" t="n">
        <v>0</v>
      </c>
      <c r="K352" t="n">
        <v>0</v>
      </c>
      <c r="L352" t="n">
        <v>0</v>
      </c>
      <c r="M352" t="n">
        <v>0</v>
      </c>
      <c r="N352" t="n">
        <v>0</v>
      </c>
      <c r="O352" t="n">
        <v>0</v>
      </c>
      <c r="P352" t="n">
        <v>0</v>
      </c>
      <c r="Q352" t="n">
        <v>0</v>
      </c>
      <c r="R352" s="2" t="inlineStr"/>
    </row>
    <row r="353" ht="15" customHeight="1">
      <c r="A353" t="inlineStr">
        <is>
          <t>A 50258-2025</t>
        </is>
      </c>
      <c r="B353" s="1" t="n">
        <v>45944.34482638889</v>
      </c>
      <c r="C353" s="1" t="n">
        <v>45972</v>
      </c>
      <c r="D353" t="inlineStr">
        <is>
          <t>NORRBOTTENS LÄN</t>
        </is>
      </c>
      <c r="E353" t="inlineStr">
        <is>
          <t>GÄLLIVARE</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47239-2023</t>
        </is>
      </c>
      <c r="B354" s="1" t="n">
        <v>45196</v>
      </c>
      <c r="C354" s="1" t="n">
        <v>45972</v>
      </c>
      <c r="D354" t="inlineStr">
        <is>
          <t>NORRBOTTENS LÄN</t>
        </is>
      </c>
      <c r="E354" t="inlineStr">
        <is>
          <t>GÄLLIVARE</t>
        </is>
      </c>
      <c r="F354" t="inlineStr">
        <is>
          <t>Övriga statliga verk och myndigheter</t>
        </is>
      </c>
      <c r="G354" t="n">
        <v>65.40000000000001</v>
      </c>
      <c r="H354" t="n">
        <v>0</v>
      </c>
      <c r="I354" t="n">
        <v>0</v>
      </c>
      <c r="J354" t="n">
        <v>0</v>
      </c>
      <c r="K354" t="n">
        <v>0</v>
      </c>
      <c r="L354" t="n">
        <v>0</v>
      </c>
      <c r="M354" t="n">
        <v>0</v>
      </c>
      <c r="N354" t="n">
        <v>0</v>
      </c>
      <c r="O354" t="n">
        <v>0</v>
      </c>
      <c r="P354" t="n">
        <v>0</v>
      </c>
      <c r="Q354" t="n">
        <v>0</v>
      </c>
      <c r="R354" s="2" t="inlineStr"/>
    </row>
    <row r="355" ht="15" customHeight="1">
      <c r="A355" t="inlineStr">
        <is>
          <t>A 47239-2023</t>
        </is>
      </c>
      <c r="B355" s="1" t="n">
        <v>45196</v>
      </c>
      <c r="C355" s="1" t="n">
        <v>45972</v>
      </c>
      <c r="D355" t="inlineStr">
        <is>
          <t>NORRBOTTENS LÄN</t>
        </is>
      </c>
      <c r="E355" t="inlineStr">
        <is>
          <t>GÄLLIVARE</t>
        </is>
      </c>
      <c r="F355" t="inlineStr">
        <is>
          <t>Övriga statliga verk och myndigheter</t>
        </is>
      </c>
      <c r="G355" t="n">
        <v>3.6</v>
      </c>
      <c r="H355" t="n">
        <v>0</v>
      </c>
      <c r="I355" t="n">
        <v>0</v>
      </c>
      <c r="J355" t="n">
        <v>0</v>
      </c>
      <c r="K355" t="n">
        <v>0</v>
      </c>
      <c r="L355" t="n">
        <v>0</v>
      </c>
      <c r="M355" t="n">
        <v>0</v>
      </c>
      <c r="N355" t="n">
        <v>0</v>
      </c>
      <c r="O355" t="n">
        <v>0</v>
      </c>
      <c r="P355" t="n">
        <v>0</v>
      </c>
      <c r="Q355" t="n">
        <v>0</v>
      </c>
      <c r="R355" s="2" t="inlineStr"/>
    </row>
    <row r="356" ht="15" customHeight="1">
      <c r="A356" t="inlineStr">
        <is>
          <t>A 50536-2025</t>
        </is>
      </c>
      <c r="B356" s="1" t="n">
        <v>45945.48712962963</v>
      </c>
      <c r="C356" s="1" t="n">
        <v>45972</v>
      </c>
      <c r="D356" t="inlineStr">
        <is>
          <t>NORRBOTTENS LÄN</t>
        </is>
      </c>
      <c r="E356" t="inlineStr">
        <is>
          <t>GÄLLIVARE</t>
        </is>
      </c>
      <c r="G356" t="n">
        <v>2.5</v>
      </c>
      <c r="H356" t="n">
        <v>0</v>
      </c>
      <c r="I356" t="n">
        <v>0</v>
      </c>
      <c r="J356" t="n">
        <v>0</v>
      </c>
      <c r="K356" t="n">
        <v>0</v>
      </c>
      <c r="L356" t="n">
        <v>0</v>
      </c>
      <c r="M356" t="n">
        <v>0</v>
      </c>
      <c r="N356" t="n">
        <v>0</v>
      </c>
      <c r="O356" t="n">
        <v>0</v>
      </c>
      <c r="P356" t="n">
        <v>0</v>
      </c>
      <c r="Q356" t="n">
        <v>0</v>
      </c>
      <c r="R356" s="2" t="inlineStr"/>
    </row>
    <row r="357" ht="15" customHeight="1">
      <c r="A357" t="inlineStr">
        <is>
          <t>A 25981-2025</t>
        </is>
      </c>
      <c r="B357" s="1" t="n">
        <v>45804</v>
      </c>
      <c r="C357" s="1" t="n">
        <v>45972</v>
      </c>
      <c r="D357" t="inlineStr">
        <is>
          <t>NORRBOTTENS LÄN</t>
        </is>
      </c>
      <c r="E357" t="inlineStr">
        <is>
          <t>GÄLLIVARE</t>
        </is>
      </c>
      <c r="G357" t="n">
        <v>5.9</v>
      </c>
      <c r="H357" t="n">
        <v>0</v>
      </c>
      <c r="I357" t="n">
        <v>0</v>
      </c>
      <c r="J357" t="n">
        <v>0</v>
      </c>
      <c r="K357" t="n">
        <v>0</v>
      </c>
      <c r="L357" t="n">
        <v>0</v>
      </c>
      <c r="M357" t="n">
        <v>0</v>
      </c>
      <c r="N357" t="n">
        <v>0</v>
      </c>
      <c r="O357" t="n">
        <v>0</v>
      </c>
      <c r="P357" t="n">
        <v>0</v>
      </c>
      <c r="Q357" t="n">
        <v>0</v>
      </c>
      <c r="R357" s="2" t="inlineStr"/>
    </row>
    <row r="358" ht="15" customHeight="1">
      <c r="A358" t="inlineStr">
        <is>
          <t>A 26284-2025</t>
        </is>
      </c>
      <c r="B358" s="1" t="n">
        <v>45805</v>
      </c>
      <c r="C358" s="1" t="n">
        <v>45972</v>
      </c>
      <c r="D358" t="inlineStr">
        <is>
          <t>NORRBOTTENS LÄN</t>
        </is>
      </c>
      <c r="E358" t="inlineStr">
        <is>
          <t>GÄLLIVARE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50532-2025</t>
        </is>
      </c>
      <c r="B359" s="1" t="n">
        <v>45945.47921296296</v>
      </c>
      <c r="C359" s="1" t="n">
        <v>45972</v>
      </c>
      <c r="D359" t="inlineStr">
        <is>
          <t>NORRBOTTENS LÄN</t>
        </is>
      </c>
      <c r="E359" t="inlineStr">
        <is>
          <t>GÄLLIVARE</t>
        </is>
      </c>
      <c r="G359" t="n">
        <v>1.9</v>
      </c>
      <c r="H359" t="n">
        <v>0</v>
      </c>
      <c r="I359" t="n">
        <v>0</v>
      </c>
      <c r="J359" t="n">
        <v>0</v>
      </c>
      <c r="K359" t="n">
        <v>0</v>
      </c>
      <c r="L359" t="n">
        <v>0</v>
      </c>
      <c r="M359" t="n">
        <v>0</v>
      </c>
      <c r="N359" t="n">
        <v>0</v>
      </c>
      <c r="O359" t="n">
        <v>0</v>
      </c>
      <c r="P359" t="n">
        <v>0</v>
      </c>
      <c r="Q359" t="n">
        <v>0</v>
      </c>
      <c r="R359" s="2" t="inlineStr"/>
    </row>
    <row r="360" ht="15" customHeight="1">
      <c r="A360" t="inlineStr">
        <is>
          <t>A 26243-2025</t>
        </is>
      </c>
      <c r="B360" s="1" t="n">
        <v>45805.57359953703</v>
      </c>
      <c r="C360" s="1" t="n">
        <v>45972</v>
      </c>
      <c r="D360" t="inlineStr">
        <is>
          <t>NORRBOTTENS LÄN</t>
        </is>
      </c>
      <c r="E360" t="inlineStr">
        <is>
          <t>GÄLLIVARE</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26291-2025</t>
        </is>
      </c>
      <c r="B361" s="1" t="n">
        <v>45805</v>
      </c>
      <c r="C361" s="1" t="n">
        <v>45972</v>
      </c>
      <c r="D361" t="inlineStr">
        <is>
          <t>NORRBOTTENS LÄN</t>
        </is>
      </c>
      <c r="E361" t="inlineStr">
        <is>
          <t>GÄLLIVARE</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26242-2025</t>
        </is>
      </c>
      <c r="B362" s="1" t="n">
        <v>45805</v>
      </c>
      <c r="C362" s="1" t="n">
        <v>45972</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26208-2025</t>
        </is>
      </c>
      <c r="B363" s="1" t="n">
        <v>45805.53162037037</v>
      </c>
      <c r="C363" s="1" t="n">
        <v>45972</v>
      </c>
      <c r="D363" t="inlineStr">
        <is>
          <t>NORRBOTTENS LÄN</t>
        </is>
      </c>
      <c r="E363" t="inlineStr">
        <is>
          <t>GÄLLIVARE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14974-2025</t>
        </is>
      </c>
      <c r="B364" s="1" t="n">
        <v>45743</v>
      </c>
      <c r="C364" s="1" t="n">
        <v>45972</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8152-2025</t>
        </is>
      </c>
      <c r="B365" s="1" t="n">
        <v>45708</v>
      </c>
      <c r="C365" s="1" t="n">
        <v>45972</v>
      </c>
      <c r="D365" t="inlineStr">
        <is>
          <t>NORRBOTTENS LÄN</t>
        </is>
      </c>
      <c r="E365" t="inlineStr">
        <is>
          <t>GÄLLIVARE</t>
        </is>
      </c>
      <c r="F365" t="inlineStr">
        <is>
          <t>Sveaskog</t>
        </is>
      </c>
      <c r="G365" t="n">
        <v>42.1</v>
      </c>
      <c r="H365" t="n">
        <v>0</v>
      </c>
      <c r="I365" t="n">
        <v>0</v>
      </c>
      <c r="J365" t="n">
        <v>0</v>
      </c>
      <c r="K365" t="n">
        <v>0</v>
      </c>
      <c r="L365" t="n">
        <v>0</v>
      </c>
      <c r="M365" t="n">
        <v>0</v>
      </c>
      <c r="N365" t="n">
        <v>0</v>
      </c>
      <c r="O365" t="n">
        <v>0</v>
      </c>
      <c r="P365" t="n">
        <v>0</v>
      </c>
      <c r="Q365" t="n">
        <v>0</v>
      </c>
      <c r="R365" s="2" t="inlineStr"/>
    </row>
    <row r="366" ht="15" customHeight="1">
      <c r="A366" t="inlineStr">
        <is>
          <t>A 27182-2025</t>
        </is>
      </c>
      <c r="B366" s="1" t="n">
        <v>45812</v>
      </c>
      <c r="C366" s="1" t="n">
        <v>45972</v>
      </c>
      <c r="D366" t="inlineStr">
        <is>
          <t>NORRBOTTENS LÄN</t>
        </is>
      </c>
      <c r="E366" t="inlineStr">
        <is>
          <t>GÄLLIVARE</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26772-2025</t>
        </is>
      </c>
      <c r="B367" s="1" t="n">
        <v>45810</v>
      </c>
      <c r="C367" s="1" t="n">
        <v>45972</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51453-2025</t>
        </is>
      </c>
      <c r="B368" s="1" t="n">
        <v>45950.59462962963</v>
      </c>
      <c r="C368" s="1" t="n">
        <v>45972</v>
      </c>
      <c r="D368" t="inlineStr">
        <is>
          <t>NORRBOTTENS LÄN</t>
        </is>
      </c>
      <c r="E368" t="inlineStr">
        <is>
          <t>GÄLLIVARE</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45972</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51480-2025</t>
        </is>
      </c>
      <c r="B370" s="1" t="n">
        <v>45950.61998842593</v>
      </c>
      <c r="C370" s="1" t="n">
        <v>45972</v>
      </c>
      <c r="D370" t="inlineStr">
        <is>
          <t>NORRBOTTENS LÄN</t>
        </is>
      </c>
      <c r="E370" t="inlineStr">
        <is>
          <t>GÄLLIVARE</t>
        </is>
      </c>
      <c r="F370" t="inlineStr">
        <is>
          <t>Naturvårdsverket</t>
        </is>
      </c>
      <c r="G370" t="n">
        <v>8.5</v>
      </c>
      <c r="H370" t="n">
        <v>0</v>
      </c>
      <c r="I370" t="n">
        <v>0</v>
      </c>
      <c r="J370" t="n">
        <v>0</v>
      </c>
      <c r="K370" t="n">
        <v>0</v>
      </c>
      <c r="L370" t="n">
        <v>0</v>
      </c>
      <c r="M370" t="n">
        <v>0</v>
      </c>
      <c r="N370" t="n">
        <v>0</v>
      </c>
      <c r="O370" t="n">
        <v>0</v>
      </c>
      <c r="P370" t="n">
        <v>0</v>
      </c>
      <c r="Q370" t="n">
        <v>0</v>
      </c>
      <c r="R370" s="2" t="inlineStr"/>
    </row>
    <row r="371" ht="15" customHeight="1">
      <c r="A371" t="inlineStr">
        <is>
          <t>A 42896-2025</t>
        </is>
      </c>
      <c r="B371" s="1" t="n">
        <v>45908.67270833333</v>
      </c>
      <c r="C371" s="1" t="n">
        <v>45972</v>
      </c>
      <c r="D371" t="inlineStr">
        <is>
          <t>NORRBOTTENS LÄN</t>
        </is>
      </c>
      <c r="E371" t="inlineStr">
        <is>
          <t>GÄLLIVARE</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36511-2024</t>
        </is>
      </c>
      <c r="B372" s="1" t="n">
        <v>45537</v>
      </c>
      <c r="C372" s="1" t="n">
        <v>45972</v>
      </c>
      <c r="D372" t="inlineStr">
        <is>
          <t>NORRBOTTENS LÄN</t>
        </is>
      </c>
      <c r="E372" t="inlineStr">
        <is>
          <t>GÄLLIVARE</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51494-2025</t>
        </is>
      </c>
      <c r="B373" s="1" t="n">
        <v>45950.63609953703</v>
      </c>
      <c r="C373" s="1" t="n">
        <v>45972</v>
      </c>
      <c r="D373" t="inlineStr">
        <is>
          <t>NORRBOTTENS LÄN</t>
        </is>
      </c>
      <c r="E373" t="inlineStr">
        <is>
          <t>GÄLLIVARE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42458-2025</t>
        </is>
      </c>
      <c r="B374" s="1" t="n">
        <v>45905.45395833333</v>
      </c>
      <c r="C374" s="1" t="n">
        <v>45972</v>
      </c>
      <c r="D374" t="inlineStr">
        <is>
          <t>NORRBOTTENS LÄN</t>
        </is>
      </c>
      <c r="E374" t="inlineStr">
        <is>
          <t>GÄLLIVARE</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42895-2025</t>
        </is>
      </c>
      <c r="B375" s="1" t="n">
        <v>45908.67048611111</v>
      </c>
      <c r="C375" s="1" t="n">
        <v>45972</v>
      </c>
      <c r="D375" t="inlineStr">
        <is>
          <t>NORRBOTTENS LÄN</t>
        </is>
      </c>
      <c r="E375" t="inlineStr">
        <is>
          <t>GÄLLIVARE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5111-2025</t>
        </is>
      </c>
      <c r="B376" s="1" t="n">
        <v>45691</v>
      </c>
      <c r="C376" s="1" t="n">
        <v>45972</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42906-2025</t>
        </is>
      </c>
      <c r="B377" s="1" t="n">
        <v>45908.68728009259</v>
      </c>
      <c r="C377" s="1" t="n">
        <v>45972</v>
      </c>
      <c r="D377" t="inlineStr">
        <is>
          <t>NORRBOTTENS LÄN</t>
        </is>
      </c>
      <c r="E377" t="inlineStr">
        <is>
          <t>GÄLLIVARE</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50771-2025</t>
        </is>
      </c>
      <c r="B378" s="1" t="n">
        <v>45946</v>
      </c>
      <c r="C378" s="1" t="n">
        <v>45972</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46857-2023</t>
        </is>
      </c>
      <c r="B379" s="1" t="n">
        <v>45199.97033564815</v>
      </c>
      <c r="C379" s="1" t="n">
        <v>45972</v>
      </c>
      <c r="D379" t="inlineStr">
        <is>
          <t>NORRBOTTENS LÄN</t>
        </is>
      </c>
      <c r="E379" t="inlineStr">
        <is>
          <t>GÄLLIVARE</t>
        </is>
      </c>
      <c r="F379" t="inlineStr">
        <is>
          <t>SCA</t>
        </is>
      </c>
      <c r="G379" t="n">
        <v>6.9</v>
      </c>
      <c r="H379" t="n">
        <v>0</v>
      </c>
      <c r="I379" t="n">
        <v>0</v>
      </c>
      <c r="J379" t="n">
        <v>0</v>
      </c>
      <c r="K379" t="n">
        <v>0</v>
      </c>
      <c r="L379" t="n">
        <v>0</v>
      </c>
      <c r="M379" t="n">
        <v>0</v>
      </c>
      <c r="N379" t="n">
        <v>0</v>
      </c>
      <c r="O379" t="n">
        <v>0</v>
      </c>
      <c r="P379" t="n">
        <v>0</v>
      </c>
      <c r="Q379" t="n">
        <v>0</v>
      </c>
      <c r="R379" s="2" t="inlineStr"/>
    </row>
    <row r="380" ht="15" customHeight="1">
      <c r="A380" t="inlineStr">
        <is>
          <t>A 51904-2025</t>
        </is>
      </c>
      <c r="B380" s="1" t="n">
        <v>45952.4490625</v>
      </c>
      <c r="C380" s="1" t="n">
        <v>45972</v>
      </c>
      <c r="D380" t="inlineStr">
        <is>
          <t>NORRBOTTENS LÄN</t>
        </is>
      </c>
      <c r="E380" t="inlineStr">
        <is>
          <t>GÄLLIVARE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8018-2022</t>
        </is>
      </c>
      <c r="B381" s="1" t="n">
        <v>44609</v>
      </c>
      <c r="C381" s="1" t="n">
        <v>45972</v>
      </c>
      <c r="D381" t="inlineStr">
        <is>
          <t>NORRBOTTENS LÄN</t>
        </is>
      </c>
      <c r="E381" t="inlineStr">
        <is>
          <t>GÄLLIVARE</t>
        </is>
      </c>
      <c r="G381" t="n">
        <v>1.8</v>
      </c>
      <c r="H381" t="n">
        <v>0</v>
      </c>
      <c r="I381" t="n">
        <v>0</v>
      </c>
      <c r="J381" t="n">
        <v>0</v>
      </c>
      <c r="K381" t="n">
        <v>0</v>
      </c>
      <c r="L381" t="n">
        <v>0</v>
      </c>
      <c r="M381" t="n">
        <v>0</v>
      </c>
      <c r="N381" t="n">
        <v>0</v>
      </c>
      <c r="O381" t="n">
        <v>0</v>
      </c>
      <c r="P381" t="n">
        <v>0</v>
      </c>
      <c r="Q381" t="n">
        <v>0</v>
      </c>
      <c r="R381" s="2" t="inlineStr"/>
    </row>
    <row r="382" ht="15" customHeight="1">
      <c r="A382" t="inlineStr">
        <is>
          <t>A 4633-2025</t>
        </is>
      </c>
      <c r="B382" s="1" t="n">
        <v>45687</v>
      </c>
      <c r="C382" s="1" t="n">
        <v>45972</v>
      </c>
      <c r="D382" t="inlineStr">
        <is>
          <t>NORRBOTTENS LÄN</t>
        </is>
      </c>
      <c r="E382" t="inlineStr">
        <is>
          <t>GÄLLIVARE</t>
        </is>
      </c>
      <c r="G382" t="n">
        <v>11.8</v>
      </c>
      <c r="H382" t="n">
        <v>0</v>
      </c>
      <c r="I382" t="n">
        <v>0</v>
      </c>
      <c r="J382" t="n">
        <v>0</v>
      </c>
      <c r="K382" t="n">
        <v>0</v>
      </c>
      <c r="L382" t="n">
        <v>0</v>
      </c>
      <c r="M382" t="n">
        <v>0</v>
      </c>
      <c r="N382" t="n">
        <v>0</v>
      </c>
      <c r="O382" t="n">
        <v>0</v>
      </c>
      <c r="P382" t="n">
        <v>0</v>
      </c>
      <c r="Q382" t="n">
        <v>0</v>
      </c>
      <c r="R382" s="2" t="inlineStr"/>
    </row>
    <row r="383" ht="15" customHeight="1">
      <c r="A383" t="inlineStr">
        <is>
          <t>A 51524-2025</t>
        </is>
      </c>
      <c r="B383" s="1" t="n">
        <v>45950.66767361111</v>
      </c>
      <c r="C383" s="1" t="n">
        <v>45972</v>
      </c>
      <c r="D383" t="inlineStr">
        <is>
          <t>NORRBOTTENS LÄN</t>
        </is>
      </c>
      <c r="E383" t="inlineStr">
        <is>
          <t>GÄLLIVARE</t>
        </is>
      </c>
      <c r="G383" t="n">
        <v>5.4</v>
      </c>
      <c r="H383" t="n">
        <v>0</v>
      </c>
      <c r="I383" t="n">
        <v>0</v>
      </c>
      <c r="J383" t="n">
        <v>0</v>
      </c>
      <c r="K383" t="n">
        <v>0</v>
      </c>
      <c r="L383" t="n">
        <v>0</v>
      </c>
      <c r="M383" t="n">
        <v>0</v>
      </c>
      <c r="N383" t="n">
        <v>0</v>
      </c>
      <c r="O383" t="n">
        <v>0</v>
      </c>
      <c r="P383" t="n">
        <v>0</v>
      </c>
      <c r="Q383" t="n">
        <v>0</v>
      </c>
      <c r="R383" s="2" t="inlineStr"/>
    </row>
    <row r="384" ht="15" customHeight="1">
      <c r="A384" t="inlineStr">
        <is>
          <t>A 50772-2025</t>
        </is>
      </c>
      <c r="B384" s="1" t="n">
        <v>45946.44892361111</v>
      </c>
      <c r="C384" s="1" t="n">
        <v>45972</v>
      </c>
      <c r="D384" t="inlineStr">
        <is>
          <t>NORRBOTTENS LÄN</t>
        </is>
      </c>
      <c r="E384" t="inlineStr">
        <is>
          <t>GÄLLIVARE</t>
        </is>
      </c>
      <c r="G384" t="n">
        <v>0.7</v>
      </c>
      <c r="H384" t="n">
        <v>0</v>
      </c>
      <c r="I384" t="n">
        <v>0</v>
      </c>
      <c r="J384" t="n">
        <v>0</v>
      </c>
      <c r="K384" t="n">
        <v>0</v>
      </c>
      <c r="L384" t="n">
        <v>0</v>
      </c>
      <c r="M384" t="n">
        <v>0</v>
      </c>
      <c r="N384" t="n">
        <v>0</v>
      </c>
      <c r="O384" t="n">
        <v>0</v>
      </c>
      <c r="P384" t="n">
        <v>0</v>
      </c>
      <c r="Q384" t="n">
        <v>0</v>
      </c>
      <c r="R384" s="2" t="inlineStr"/>
    </row>
    <row r="385" ht="15" customHeight="1">
      <c r="A385" t="inlineStr">
        <is>
          <t>A 51871-2025</t>
        </is>
      </c>
      <c r="B385" s="1" t="n">
        <v>45952.38618055556</v>
      </c>
      <c r="C385" s="1" t="n">
        <v>45972</v>
      </c>
      <c r="D385" t="inlineStr">
        <is>
          <t>NORRBOTTENS LÄN</t>
        </is>
      </c>
      <c r="E385" t="inlineStr">
        <is>
          <t>GÄLLIVARE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51881-2025</t>
        </is>
      </c>
      <c r="B386" s="1" t="n">
        <v>45952.40670138889</v>
      </c>
      <c r="C386" s="1" t="n">
        <v>45972</v>
      </c>
      <c r="D386" t="inlineStr">
        <is>
          <t>NORRBOTTENS LÄN</t>
        </is>
      </c>
      <c r="E386" t="inlineStr">
        <is>
          <t>GÄLLIVARE</t>
        </is>
      </c>
      <c r="F386" t="inlineStr">
        <is>
          <t>SCA</t>
        </is>
      </c>
      <c r="G386" t="n">
        <v>7.4</v>
      </c>
      <c r="H386" t="n">
        <v>0</v>
      </c>
      <c r="I386" t="n">
        <v>0</v>
      </c>
      <c r="J386" t="n">
        <v>0</v>
      </c>
      <c r="K386" t="n">
        <v>0</v>
      </c>
      <c r="L386" t="n">
        <v>0</v>
      </c>
      <c r="M386" t="n">
        <v>0</v>
      </c>
      <c r="N386" t="n">
        <v>0</v>
      </c>
      <c r="O386" t="n">
        <v>0</v>
      </c>
      <c r="P386" t="n">
        <v>0</v>
      </c>
      <c r="Q386" t="n">
        <v>0</v>
      </c>
      <c r="R386" s="2" t="inlineStr"/>
    </row>
    <row r="387" ht="15" customHeight="1">
      <c r="A387" t="inlineStr">
        <is>
          <t>A 27567-2025</t>
        </is>
      </c>
      <c r="B387" s="1" t="n">
        <v>45813.48991898148</v>
      </c>
      <c r="C387" s="1" t="n">
        <v>45972</v>
      </c>
      <c r="D387" t="inlineStr">
        <is>
          <t>NORRBOTTENS LÄN</t>
        </is>
      </c>
      <c r="E387" t="inlineStr">
        <is>
          <t>GÄLLIVARE</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43070-2025</t>
        </is>
      </c>
      <c r="B388" s="1" t="n">
        <v>45909.59554398148</v>
      </c>
      <c r="C388" s="1" t="n">
        <v>45972</v>
      </c>
      <c r="D388" t="inlineStr">
        <is>
          <t>NORRBOTTENS LÄN</t>
        </is>
      </c>
      <c r="E388" t="inlineStr">
        <is>
          <t>GÄLLIVARE</t>
        </is>
      </c>
      <c r="G388" t="n">
        <v>24.5</v>
      </c>
      <c r="H388" t="n">
        <v>0</v>
      </c>
      <c r="I388" t="n">
        <v>0</v>
      </c>
      <c r="J388" t="n">
        <v>0</v>
      </c>
      <c r="K388" t="n">
        <v>0</v>
      </c>
      <c r="L388" t="n">
        <v>0</v>
      </c>
      <c r="M388" t="n">
        <v>0</v>
      </c>
      <c r="N388" t="n">
        <v>0</v>
      </c>
      <c r="O388" t="n">
        <v>0</v>
      </c>
      <c r="P388" t="n">
        <v>0</v>
      </c>
      <c r="Q388" t="n">
        <v>0</v>
      </c>
      <c r="R388" s="2" t="inlineStr"/>
    </row>
    <row r="389" ht="15" customHeight="1">
      <c r="A389" t="inlineStr">
        <is>
          <t>A 52574-2025</t>
        </is>
      </c>
      <c r="B389" s="1" t="n">
        <v>45954.61017361111</v>
      </c>
      <c r="C389" s="1" t="n">
        <v>45972</v>
      </c>
      <c r="D389" t="inlineStr">
        <is>
          <t>NORRBOTTENS LÄN</t>
        </is>
      </c>
      <c r="E389" t="inlineStr">
        <is>
          <t>GÄLLIVARE</t>
        </is>
      </c>
      <c r="G389" t="n">
        <v>22.1</v>
      </c>
      <c r="H389" t="n">
        <v>0</v>
      </c>
      <c r="I389" t="n">
        <v>0</v>
      </c>
      <c r="J389" t="n">
        <v>0</v>
      </c>
      <c r="K389" t="n">
        <v>0</v>
      </c>
      <c r="L389" t="n">
        <v>0</v>
      </c>
      <c r="M389" t="n">
        <v>0</v>
      </c>
      <c r="N389" t="n">
        <v>0</v>
      </c>
      <c r="O389" t="n">
        <v>0</v>
      </c>
      <c r="P389" t="n">
        <v>0</v>
      </c>
      <c r="Q389" t="n">
        <v>0</v>
      </c>
      <c r="R389" s="2" t="inlineStr"/>
    </row>
    <row r="390" ht="15" customHeight="1">
      <c r="A390" t="inlineStr">
        <is>
          <t>A 52581-2025</t>
        </is>
      </c>
      <c r="B390" s="1" t="n">
        <v>45954.61824074074</v>
      </c>
      <c r="C390" s="1" t="n">
        <v>45972</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43813-2025</t>
        </is>
      </c>
      <c r="B391" s="1" t="n">
        <v>45912.59456018519</v>
      </c>
      <c r="C391" s="1" t="n">
        <v>45972</v>
      </c>
      <c r="D391" t="inlineStr">
        <is>
          <t>NORRBOTTENS LÄN</t>
        </is>
      </c>
      <c r="E391" t="inlineStr">
        <is>
          <t>GÄLLIVARE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43816-2025</t>
        </is>
      </c>
      <c r="B392" s="1" t="n">
        <v>45912.59518518519</v>
      </c>
      <c r="C392" s="1" t="n">
        <v>45972</v>
      </c>
      <c r="D392" t="inlineStr">
        <is>
          <t>NORRBOTTENS LÄN</t>
        </is>
      </c>
      <c r="E392" t="inlineStr">
        <is>
          <t>GÄLLIVARE</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28272-2025</t>
        </is>
      </c>
      <c r="B393" s="1" t="n">
        <v>45818</v>
      </c>
      <c r="C393" s="1" t="n">
        <v>45972</v>
      </c>
      <c r="D393" t="inlineStr">
        <is>
          <t>NORRBOTTENS LÄN</t>
        </is>
      </c>
      <c r="E393" t="inlineStr">
        <is>
          <t>GÄLLIVARE</t>
        </is>
      </c>
      <c r="F393" t="inlineStr">
        <is>
          <t>Sveaskog</t>
        </is>
      </c>
      <c r="G393" t="n">
        <v>24.8</v>
      </c>
      <c r="H393" t="n">
        <v>0</v>
      </c>
      <c r="I393" t="n">
        <v>0</v>
      </c>
      <c r="J393" t="n">
        <v>0</v>
      </c>
      <c r="K393" t="n">
        <v>0</v>
      </c>
      <c r="L393" t="n">
        <v>0</v>
      </c>
      <c r="M393" t="n">
        <v>0</v>
      </c>
      <c r="N393" t="n">
        <v>0</v>
      </c>
      <c r="O393" t="n">
        <v>0</v>
      </c>
      <c r="P393" t="n">
        <v>0</v>
      </c>
      <c r="Q393" t="n">
        <v>0</v>
      </c>
      <c r="R393" s="2" t="inlineStr"/>
    </row>
    <row r="394" ht="15" customHeight="1">
      <c r="A394" t="inlineStr">
        <is>
          <t>A 36014-2023</t>
        </is>
      </c>
      <c r="B394" s="1" t="n">
        <v>45148</v>
      </c>
      <c r="C394" s="1" t="n">
        <v>45972</v>
      </c>
      <c r="D394" t="inlineStr">
        <is>
          <t>NORRBOTTENS LÄN</t>
        </is>
      </c>
      <c r="E394" t="inlineStr">
        <is>
          <t>GÄLLIVARE</t>
        </is>
      </c>
      <c r="F394" t="inlineStr">
        <is>
          <t>Allmännings- och besparingsskogar</t>
        </is>
      </c>
      <c r="G394" t="n">
        <v>9.9</v>
      </c>
      <c r="H394" t="n">
        <v>0</v>
      </c>
      <c r="I394" t="n">
        <v>0</v>
      </c>
      <c r="J394" t="n">
        <v>0</v>
      </c>
      <c r="K394" t="n">
        <v>0</v>
      </c>
      <c r="L394" t="n">
        <v>0</v>
      </c>
      <c r="M394" t="n">
        <v>0</v>
      </c>
      <c r="N394" t="n">
        <v>0</v>
      </c>
      <c r="O394" t="n">
        <v>0</v>
      </c>
      <c r="P394" t="n">
        <v>0</v>
      </c>
      <c r="Q394" t="n">
        <v>0</v>
      </c>
      <c r="R394" s="2" t="inlineStr"/>
    </row>
    <row r="395" ht="15" customHeight="1">
      <c r="A395" t="inlineStr">
        <is>
          <t>A 15373-2024</t>
        </is>
      </c>
      <c r="B395" s="1" t="n">
        <v>45400</v>
      </c>
      <c r="C395" s="1" t="n">
        <v>45972</v>
      </c>
      <c r="D395" t="inlineStr">
        <is>
          <t>NORRBOTTENS LÄN</t>
        </is>
      </c>
      <c r="E395" t="inlineStr">
        <is>
          <t>GÄLLIVARE</t>
        </is>
      </c>
      <c r="G395" t="n">
        <v>4.1</v>
      </c>
      <c r="H395" t="n">
        <v>0</v>
      </c>
      <c r="I395" t="n">
        <v>0</v>
      </c>
      <c r="J395" t="n">
        <v>0</v>
      </c>
      <c r="K395" t="n">
        <v>0</v>
      </c>
      <c r="L395" t="n">
        <v>0</v>
      </c>
      <c r="M395" t="n">
        <v>0</v>
      </c>
      <c r="N395" t="n">
        <v>0</v>
      </c>
      <c r="O395" t="n">
        <v>0</v>
      </c>
      <c r="P395" t="n">
        <v>0</v>
      </c>
      <c r="Q395" t="n">
        <v>0</v>
      </c>
      <c r="R395" s="2" t="inlineStr"/>
    </row>
    <row r="396" ht="15" customHeight="1">
      <c r="A396" t="inlineStr">
        <is>
          <t>A 43786-2025</t>
        </is>
      </c>
      <c r="B396" s="1" t="n">
        <v>45912.53837962963</v>
      </c>
      <c r="C396" s="1" t="n">
        <v>45972</v>
      </c>
      <c r="D396" t="inlineStr">
        <is>
          <t>NORRBOTTENS LÄN</t>
        </is>
      </c>
      <c r="E396" t="inlineStr">
        <is>
          <t>GÄLLIVARE</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56259-2023</t>
        </is>
      </c>
      <c r="B397" s="1" t="n">
        <v>45240.94666666666</v>
      </c>
      <c r="C397" s="1" t="n">
        <v>45972</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21556-2023</t>
        </is>
      </c>
      <c r="B398" s="1" t="n">
        <v>45063</v>
      </c>
      <c r="C398" s="1" t="n">
        <v>45972</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17418-2024</t>
        </is>
      </c>
      <c r="B399" s="1" t="n">
        <v>45414</v>
      </c>
      <c r="C399" s="1" t="n">
        <v>45972</v>
      </c>
      <c r="D399" t="inlineStr">
        <is>
          <t>NORRBOTTENS LÄN</t>
        </is>
      </c>
      <c r="E399" t="inlineStr">
        <is>
          <t>GÄLLIVARE</t>
        </is>
      </c>
      <c r="F399" t="inlineStr">
        <is>
          <t>SCA</t>
        </is>
      </c>
      <c r="G399" t="n">
        <v>48.6</v>
      </c>
      <c r="H399" t="n">
        <v>0</v>
      </c>
      <c r="I399" t="n">
        <v>0</v>
      </c>
      <c r="J399" t="n">
        <v>0</v>
      </c>
      <c r="K399" t="n">
        <v>0</v>
      </c>
      <c r="L399" t="n">
        <v>0</v>
      </c>
      <c r="M399" t="n">
        <v>0</v>
      </c>
      <c r="N399" t="n">
        <v>0</v>
      </c>
      <c r="O399" t="n">
        <v>0</v>
      </c>
      <c r="P399" t="n">
        <v>0</v>
      </c>
      <c r="Q399" t="n">
        <v>0</v>
      </c>
      <c r="R399" s="2" t="inlineStr"/>
    </row>
    <row r="400" ht="15" customHeight="1">
      <c r="A400" t="inlineStr">
        <is>
          <t>A 28126-2025</t>
        </is>
      </c>
      <c r="B400" s="1" t="n">
        <v>45818.31854166667</v>
      </c>
      <c r="C400" s="1" t="n">
        <v>45972</v>
      </c>
      <c r="D400" t="inlineStr">
        <is>
          <t>NORRBOTTENS LÄN</t>
        </is>
      </c>
      <c r="E400" t="inlineStr">
        <is>
          <t>GÄLLIVARE</t>
        </is>
      </c>
      <c r="F400" t="inlineStr">
        <is>
          <t>Sveaskog</t>
        </is>
      </c>
      <c r="G400" t="n">
        <v>29.9</v>
      </c>
      <c r="H400" t="n">
        <v>0</v>
      </c>
      <c r="I400" t="n">
        <v>0</v>
      </c>
      <c r="J400" t="n">
        <v>0</v>
      </c>
      <c r="K400" t="n">
        <v>0</v>
      </c>
      <c r="L400" t="n">
        <v>0</v>
      </c>
      <c r="M400" t="n">
        <v>0</v>
      </c>
      <c r="N400" t="n">
        <v>0</v>
      </c>
      <c r="O400" t="n">
        <v>0</v>
      </c>
      <c r="P400" t="n">
        <v>0</v>
      </c>
      <c r="Q400" t="n">
        <v>0</v>
      </c>
      <c r="R400" s="2" t="inlineStr"/>
    </row>
    <row r="401" ht="15" customHeight="1">
      <c r="A401" t="inlineStr">
        <is>
          <t>A 35730-2023</t>
        </is>
      </c>
      <c r="B401" s="1" t="n">
        <v>45147</v>
      </c>
      <c r="C401" s="1" t="n">
        <v>45972</v>
      </c>
      <c r="D401" t="inlineStr">
        <is>
          <t>NORRBOTTENS LÄN</t>
        </is>
      </c>
      <c r="E401" t="inlineStr">
        <is>
          <t>GÄLLIVARE</t>
        </is>
      </c>
      <c r="G401" t="n">
        <v>0.4</v>
      </c>
      <c r="H401" t="n">
        <v>0</v>
      </c>
      <c r="I401" t="n">
        <v>0</v>
      </c>
      <c r="J401" t="n">
        <v>0</v>
      </c>
      <c r="K401" t="n">
        <v>0</v>
      </c>
      <c r="L401" t="n">
        <v>0</v>
      </c>
      <c r="M401" t="n">
        <v>0</v>
      </c>
      <c r="N401" t="n">
        <v>0</v>
      </c>
      <c r="O401" t="n">
        <v>0</v>
      </c>
      <c r="P401" t="n">
        <v>0</v>
      </c>
      <c r="Q401" t="n">
        <v>0</v>
      </c>
      <c r="R401" s="2" t="inlineStr"/>
    </row>
    <row r="402" ht="15" customHeight="1">
      <c r="A402" t="inlineStr">
        <is>
          <t>A 20126-2023</t>
        </is>
      </c>
      <c r="B402" s="1" t="n">
        <v>45051</v>
      </c>
      <c r="C402" s="1" t="n">
        <v>45972</v>
      </c>
      <c r="D402" t="inlineStr">
        <is>
          <t>NORRBOTTENS LÄN</t>
        </is>
      </c>
      <c r="E402" t="inlineStr">
        <is>
          <t>GÄLLIVARE</t>
        </is>
      </c>
      <c r="G402" t="n">
        <v>2.8</v>
      </c>
      <c r="H402" t="n">
        <v>0</v>
      </c>
      <c r="I402" t="n">
        <v>0</v>
      </c>
      <c r="J402" t="n">
        <v>0</v>
      </c>
      <c r="K402" t="n">
        <v>0</v>
      </c>
      <c r="L402" t="n">
        <v>0</v>
      </c>
      <c r="M402" t="n">
        <v>0</v>
      </c>
      <c r="N402" t="n">
        <v>0</v>
      </c>
      <c r="O402" t="n">
        <v>0</v>
      </c>
      <c r="P402" t="n">
        <v>0</v>
      </c>
      <c r="Q402" t="n">
        <v>0</v>
      </c>
      <c r="R402" s="2" t="inlineStr"/>
    </row>
    <row r="403" ht="15" customHeight="1">
      <c r="A403" t="inlineStr">
        <is>
          <t>A 35362-2023</t>
        </is>
      </c>
      <c r="B403" s="1" t="n">
        <v>45146</v>
      </c>
      <c r="C403" s="1" t="n">
        <v>45972</v>
      </c>
      <c r="D403" t="inlineStr">
        <is>
          <t>NORRBOTTENS LÄN</t>
        </is>
      </c>
      <c r="E403" t="inlineStr">
        <is>
          <t>GÄLLIVARE</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4639-2025</t>
        </is>
      </c>
      <c r="B404" s="1" t="n">
        <v>45687.65006944445</v>
      </c>
      <c r="C404" s="1" t="n">
        <v>45972</v>
      </c>
      <c r="D404" t="inlineStr">
        <is>
          <t>NORRBOTTENS LÄN</t>
        </is>
      </c>
      <c r="E404" t="inlineStr">
        <is>
          <t>GÄLLIVARE</t>
        </is>
      </c>
      <c r="G404" t="n">
        <v>1.2</v>
      </c>
      <c r="H404" t="n">
        <v>0</v>
      </c>
      <c r="I404" t="n">
        <v>0</v>
      </c>
      <c r="J404" t="n">
        <v>0</v>
      </c>
      <c r="K404" t="n">
        <v>0</v>
      </c>
      <c r="L404" t="n">
        <v>0</v>
      </c>
      <c r="M404" t="n">
        <v>0</v>
      </c>
      <c r="N404" t="n">
        <v>0</v>
      </c>
      <c r="O404" t="n">
        <v>0</v>
      </c>
      <c r="P404" t="n">
        <v>0</v>
      </c>
      <c r="Q404" t="n">
        <v>0</v>
      </c>
      <c r="R404" s="2" t="inlineStr"/>
    </row>
    <row r="405" ht="15" customHeight="1">
      <c r="A405" t="inlineStr">
        <is>
          <t>A 28124-2025</t>
        </is>
      </c>
      <c r="B405" s="1" t="n">
        <v>45818.31184027778</v>
      </c>
      <c r="C405" s="1" t="n">
        <v>45972</v>
      </c>
      <c r="D405" t="inlineStr">
        <is>
          <t>NORRBOTTENS LÄN</t>
        </is>
      </c>
      <c r="E405" t="inlineStr">
        <is>
          <t>GÄLLIVARE</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28125-2025</t>
        </is>
      </c>
      <c r="B406" s="1" t="n">
        <v>45818.31322916667</v>
      </c>
      <c r="C406" s="1" t="n">
        <v>45972</v>
      </c>
      <c r="D406" t="inlineStr">
        <is>
          <t>NORRBOTTENS LÄN</t>
        </is>
      </c>
      <c r="E406" t="inlineStr">
        <is>
          <t>GÄLLIVARE</t>
        </is>
      </c>
      <c r="F406" t="inlineStr">
        <is>
          <t>Sveaskog</t>
        </is>
      </c>
      <c r="G406" t="n">
        <v>11.3</v>
      </c>
      <c r="H406" t="n">
        <v>0</v>
      </c>
      <c r="I406" t="n">
        <v>0</v>
      </c>
      <c r="J406" t="n">
        <v>0</v>
      </c>
      <c r="K406" t="n">
        <v>0</v>
      </c>
      <c r="L406" t="n">
        <v>0</v>
      </c>
      <c r="M406" t="n">
        <v>0</v>
      </c>
      <c r="N406" t="n">
        <v>0</v>
      </c>
      <c r="O406" t="n">
        <v>0</v>
      </c>
      <c r="P406" t="n">
        <v>0</v>
      </c>
      <c r="Q406" t="n">
        <v>0</v>
      </c>
      <c r="R406" s="2" t="inlineStr"/>
    </row>
    <row r="407" ht="15" customHeight="1">
      <c r="A407" t="inlineStr">
        <is>
          <t>A 28580-2025</t>
        </is>
      </c>
      <c r="B407" s="1" t="n">
        <v>45819.57340277778</v>
      </c>
      <c r="C407" s="1" t="n">
        <v>45972</v>
      </c>
      <c r="D407" t="inlineStr">
        <is>
          <t>NORRBOTTENS LÄN</t>
        </is>
      </c>
      <c r="E407" t="inlineStr">
        <is>
          <t>GÄLLIVARE</t>
        </is>
      </c>
      <c r="G407" t="n">
        <v>11.9</v>
      </c>
      <c r="H407" t="n">
        <v>0</v>
      </c>
      <c r="I407" t="n">
        <v>0</v>
      </c>
      <c r="J407" t="n">
        <v>0</v>
      </c>
      <c r="K407" t="n">
        <v>0</v>
      </c>
      <c r="L407" t="n">
        <v>0</v>
      </c>
      <c r="M407" t="n">
        <v>0</v>
      </c>
      <c r="N407" t="n">
        <v>0</v>
      </c>
      <c r="O407" t="n">
        <v>0</v>
      </c>
      <c r="P407" t="n">
        <v>0</v>
      </c>
      <c r="Q407" t="n">
        <v>0</v>
      </c>
      <c r="R407" s="2" t="inlineStr"/>
    </row>
    <row r="408" ht="15" customHeight="1">
      <c r="A408" t="inlineStr">
        <is>
          <t>A 53909-2024</t>
        </is>
      </c>
      <c r="B408" s="1" t="n">
        <v>45615.7202662037</v>
      </c>
      <c r="C408" s="1" t="n">
        <v>45972</v>
      </c>
      <c r="D408" t="inlineStr">
        <is>
          <t>NORRBOTTENS LÄN</t>
        </is>
      </c>
      <c r="E408" t="inlineStr">
        <is>
          <t>GÄLLIVARE</t>
        </is>
      </c>
      <c r="G408" t="n">
        <v>3.8</v>
      </c>
      <c r="H408" t="n">
        <v>0</v>
      </c>
      <c r="I408" t="n">
        <v>0</v>
      </c>
      <c r="J408" t="n">
        <v>0</v>
      </c>
      <c r="K408" t="n">
        <v>0</v>
      </c>
      <c r="L408" t="n">
        <v>0</v>
      </c>
      <c r="M408" t="n">
        <v>0</v>
      </c>
      <c r="N408" t="n">
        <v>0</v>
      </c>
      <c r="O408" t="n">
        <v>0</v>
      </c>
      <c r="P408" t="n">
        <v>0</v>
      </c>
      <c r="Q408" t="n">
        <v>0</v>
      </c>
      <c r="R408" s="2" t="inlineStr"/>
    </row>
    <row r="409" ht="15" customHeight="1">
      <c r="A409" t="inlineStr">
        <is>
          <t>A 31450-2024</t>
        </is>
      </c>
      <c r="B409" s="1" t="n">
        <v>45505</v>
      </c>
      <c r="C409" s="1" t="n">
        <v>45972</v>
      </c>
      <c r="D409" t="inlineStr">
        <is>
          <t>NORRBOTTENS LÄN</t>
        </is>
      </c>
      <c r="E409" t="inlineStr">
        <is>
          <t>GÄLLIVARE</t>
        </is>
      </c>
      <c r="G409" t="n">
        <v>5.5</v>
      </c>
      <c r="H409" t="n">
        <v>0</v>
      </c>
      <c r="I409" t="n">
        <v>0</v>
      </c>
      <c r="J409" t="n">
        <v>0</v>
      </c>
      <c r="K409" t="n">
        <v>0</v>
      </c>
      <c r="L409" t="n">
        <v>0</v>
      </c>
      <c r="M409" t="n">
        <v>0</v>
      </c>
      <c r="N409" t="n">
        <v>0</v>
      </c>
      <c r="O409" t="n">
        <v>0</v>
      </c>
      <c r="P409" t="n">
        <v>0</v>
      </c>
      <c r="Q409" t="n">
        <v>0</v>
      </c>
      <c r="R409" s="2" t="inlineStr"/>
    </row>
    <row r="410" ht="15" customHeight="1">
      <c r="A410" t="inlineStr">
        <is>
          <t>A 43815-2025</t>
        </is>
      </c>
      <c r="B410" s="1" t="n">
        <v>45912.59493055556</v>
      </c>
      <c r="C410" s="1" t="n">
        <v>45972</v>
      </c>
      <c r="D410" t="inlineStr">
        <is>
          <t>NORRBOTTENS LÄN</t>
        </is>
      </c>
      <c r="E410" t="inlineStr">
        <is>
          <t>GÄLLIVARE</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41873-2024</t>
        </is>
      </c>
      <c r="B411" s="1" t="n">
        <v>45561.47195601852</v>
      </c>
      <c r="C411" s="1" t="n">
        <v>45972</v>
      </c>
      <c r="D411" t="inlineStr">
        <is>
          <t>NORRBOTTENS LÄN</t>
        </is>
      </c>
      <c r="E411" t="inlineStr">
        <is>
          <t>GÄLLIVARE</t>
        </is>
      </c>
      <c r="G411" t="n">
        <v>2.1</v>
      </c>
      <c r="H411" t="n">
        <v>0</v>
      </c>
      <c r="I411" t="n">
        <v>0</v>
      </c>
      <c r="J411" t="n">
        <v>0</v>
      </c>
      <c r="K411" t="n">
        <v>0</v>
      </c>
      <c r="L411" t="n">
        <v>0</v>
      </c>
      <c r="M411" t="n">
        <v>0</v>
      </c>
      <c r="N411" t="n">
        <v>0</v>
      </c>
      <c r="O411" t="n">
        <v>0</v>
      </c>
      <c r="P411" t="n">
        <v>0</v>
      </c>
      <c r="Q411" t="n">
        <v>0</v>
      </c>
      <c r="R411" s="2" t="inlineStr"/>
    </row>
    <row r="412" ht="15" customHeight="1">
      <c r="A412" t="inlineStr">
        <is>
          <t>A 41917-2024</t>
        </is>
      </c>
      <c r="B412" s="1" t="n">
        <v>45561.55268518518</v>
      </c>
      <c r="C412" s="1" t="n">
        <v>45972</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58776-2022</t>
        </is>
      </c>
      <c r="B413" s="1" t="n">
        <v>44895</v>
      </c>
      <c r="C413" s="1" t="n">
        <v>45972</v>
      </c>
      <c r="D413" t="inlineStr">
        <is>
          <t>NORRBOTTENS LÄN</t>
        </is>
      </c>
      <c r="E413" t="inlineStr">
        <is>
          <t>GÄLLIVARE</t>
        </is>
      </c>
      <c r="G413" t="n">
        <v>12.1</v>
      </c>
      <c r="H413" t="n">
        <v>0</v>
      </c>
      <c r="I413" t="n">
        <v>0</v>
      </c>
      <c r="J413" t="n">
        <v>0</v>
      </c>
      <c r="K413" t="n">
        <v>0</v>
      </c>
      <c r="L413" t="n">
        <v>0</v>
      </c>
      <c r="M413" t="n">
        <v>0</v>
      </c>
      <c r="N413" t="n">
        <v>0</v>
      </c>
      <c r="O413" t="n">
        <v>0</v>
      </c>
      <c r="P413" t="n">
        <v>0</v>
      </c>
      <c r="Q413" t="n">
        <v>0</v>
      </c>
      <c r="R413" s="2" t="inlineStr"/>
    </row>
    <row r="414" ht="15" customHeight="1">
      <c r="A414" t="inlineStr">
        <is>
          <t>A 29383-2025</t>
        </is>
      </c>
      <c r="B414" s="1" t="n">
        <v>45824</v>
      </c>
      <c r="C414" s="1" t="n">
        <v>45972</v>
      </c>
      <c r="D414" t="inlineStr">
        <is>
          <t>NORRBOTTENS LÄN</t>
        </is>
      </c>
      <c r="E414" t="inlineStr">
        <is>
          <t>GÄLLIVARE</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29481-2025</t>
        </is>
      </c>
      <c r="B415" s="1" t="n">
        <v>45824</v>
      </c>
      <c r="C415" s="1" t="n">
        <v>45972</v>
      </c>
      <c r="D415" t="inlineStr">
        <is>
          <t>NORRBOTTENS LÄN</t>
        </is>
      </c>
      <c r="E415" t="inlineStr">
        <is>
          <t>GÄLLIVARE</t>
        </is>
      </c>
      <c r="F415" t="inlineStr">
        <is>
          <t>Allmännings- och besparingsskogar</t>
        </is>
      </c>
      <c r="G415" t="n">
        <v>4.5</v>
      </c>
      <c r="H415" t="n">
        <v>0</v>
      </c>
      <c r="I415" t="n">
        <v>0</v>
      </c>
      <c r="J415" t="n">
        <v>0</v>
      </c>
      <c r="K415" t="n">
        <v>0</v>
      </c>
      <c r="L415" t="n">
        <v>0</v>
      </c>
      <c r="M415" t="n">
        <v>0</v>
      </c>
      <c r="N415" t="n">
        <v>0</v>
      </c>
      <c r="O415" t="n">
        <v>0</v>
      </c>
      <c r="P415" t="n">
        <v>0</v>
      </c>
      <c r="Q415" t="n">
        <v>0</v>
      </c>
      <c r="R415" s="2" t="inlineStr"/>
    </row>
    <row r="416" ht="15" customHeight="1">
      <c r="A416" t="inlineStr">
        <is>
          <t>A 29728-2021</t>
        </is>
      </c>
      <c r="B416" s="1" t="n">
        <v>44362</v>
      </c>
      <c r="C416" s="1" t="n">
        <v>45972</v>
      </c>
      <c r="D416" t="inlineStr">
        <is>
          <t>NORRBOTTENS LÄN</t>
        </is>
      </c>
      <c r="E416" t="inlineStr">
        <is>
          <t>GÄLLIVARE</t>
        </is>
      </c>
      <c r="F416" t="inlineStr">
        <is>
          <t>Övriga statliga verk och myndigheter</t>
        </is>
      </c>
      <c r="G416" t="n">
        <v>21.2</v>
      </c>
      <c r="H416" t="n">
        <v>0</v>
      </c>
      <c r="I416" t="n">
        <v>0</v>
      </c>
      <c r="J416" t="n">
        <v>0</v>
      </c>
      <c r="K416" t="n">
        <v>0</v>
      </c>
      <c r="L416" t="n">
        <v>0</v>
      </c>
      <c r="M416" t="n">
        <v>0</v>
      </c>
      <c r="N416" t="n">
        <v>0</v>
      </c>
      <c r="O416" t="n">
        <v>0</v>
      </c>
      <c r="P416" t="n">
        <v>0</v>
      </c>
      <c r="Q416" t="n">
        <v>0</v>
      </c>
      <c r="R416" s="2" t="inlineStr"/>
    </row>
    <row r="417" ht="15" customHeight="1">
      <c r="A417" t="inlineStr">
        <is>
          <t>A 29478-2025</t>
        </is>
      </c>
      <c r="B417" s="1" t="n">
        <v>45824</v>
      </c>
      <c r="C417" s="1" t="n">
        <v>45972</v>
      </c>
      <c r="D417" t="inlineStr">
        <is>
          <t>NORRBOTTENS LÄN</t>
        </is>
      </c>
      <c r="E417" t="inlineStr">
        <is>
          <t>GÄLLIVARE</t>
        </is>
      </c>
      <c r="F417" t="inlineStr">
        <is>
          <t>Allmännings- och besparingsskogar</t>
        </is>
      </c>
      <c r="G417" t="n">
        <v>6.1</v>
      </c>
      <c r="H417" t="n">
        <v>0</v>
      </c>
      <c r="I417" t="n">
        <v>0</v>
      </c>
      <c r="J417" t="n">
        <v>0</v>
      </c>
      <c r="K417" t="n">
        <v>0</v>
      </c>
      <c r="L417" t="n">
        <v>0</v>
      </c>
      <c r="M417" t="n">
        <v>0</v>
      </c>
      <c r="N417" t="n">
        <v>0</v>
      </c>
      <c r="O417" t="n">
        <v>0</v>
      </c>
      <c r="P417" t="n">
        <v>0</v>
      </c>
      <c r="Q417" t="n">
        <v>0</v>
      </c>
      <c r="R417" s="2" t="inlineStr"/>
    </row>
    <row r="418" ht="15" customHeight="1">
      <c r="A418" t="inlineStr">
        <is>
          <t>A 29476-2025</t>
        </is>
      </c>
      <c r="B418" s="1" t="n">
        <v>45824</v>
      </c>
      <c r="C418" s="1" t="n">
        <v>45972</v>
      </c>
      <c r="D418" t="inlineStr">
        <is>
          <t>NORRBOTTENS LÄN</t>
        </is>
      </c>
      <c r="E418" t="inlineStr">
        <is>
          <t>GÄLLIVARE</t>
        </is>
      </c>
      <c r="F418" t="inlineStr">
        <is>
          <t>Allmännings- och besparingsskogar</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29841-2025</t>
        </is>
      </c>
      <c r="B419" s="1" t="n">
        <v>45826.30746527778</v>
      </c>
      <c r="C419" s="1" t="n">
        <v>45972</v>
      </c>
      <c r="D419" t="inlineStr">
        <is>
          <t>NORRBOTTENS LÄN</t>
        </is>
      </c>
      <c r="E419" t="inlineStr">
        <is>
          <t>GÄLLIVARE</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29196-2021</t>
        </is>
      </c>
      <c r="B420" s="1" t="n">
        <v>44358</v>
      </c>
      <c r="C420" s="1" t="n">
        <v>45972</v>
      </c>
      <c r="D420" t="inlineStr">
        <is>
          <t>NORRBOTTENS LÄN</t>
        </is>
      </c>
      <c r="E420" t="inlineStr">
        <is>
          <t>GÄLLIVARE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30030-2025</t>
        </is>
      </c>
      <c r="B421" s="1" t="n">
        <v>45826.56829861111</v>
      </c>
      <c r="C421" s="1" t="n">
        <v>45972</v>
      </c>
      <c r="D421" t="inlineStr">
        <is>
          <t>NORRBOTTENS LÄN</t>
        </is>
      </c>
      <c r="E421" t="inlineStr">
        <is>
          <t>GÄLLIVARE</t>
        </is>
      </c>
      <c r="F421" t="inlineStr">
        <is>
          <t>Sveaskog</t>
        </is>
      </c>
      <c r="G421" t="n">
        <v>17.4</v>
      </c>
      <c r="H421" t="n">
        <v>0</v>
      </c>
      <c r="I421" t="n">
        <v>0</v>
      </c>
      <c r="J421" t="n">
        <v>0</v>
      </c>
      <c r="K421" t="n">
        <v>0</v>
      </c>
      <c r="L421" t="n">
        <v>0</v>
      </c>
      <c r="M421" t="n">
        <v>0</v>
      </c>
      <c r="N421" t="n">
        <v>0</v>
      </c>
      <c r="O421" t="n">
        <v>0</v>
      </c>
      <c r="P421" t="n">
        <v>0</v>
      </c>
      <c r="Q421" t="n">
        <v>0</v>
      </c>
      <c r="R421" s="2" t="inlineStr"/>
    </row>
    <row r="422" ht="15" customHeight="1">
      <c r="A422" t="inlineStr">
        <is>
          <t>A 36245-2023</t>
        </is>
      </c>
      <c r="B422" s="1" t="n">
        <v>45150</v>
      </c>
      <c r="C422" s="1" t="n">
        <v>45972</v>
      </c>
      <c r="D422" t="inlineStr">
        <is>
          <t>NORRBOTTENS LÄN</t>
        </is>
      </c>
      <c r="E422" t="inlineStr">
        <is>
          <t>GÄLLIVARE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64262-2023</t>
        </is>
      </c>
      <c r="B423" s="1" t="n">
        <v>45279</v>
      </c>
      <c r="C423" s="1" t="n">
        <v>45972</v>
      </c>
      <c r="D423" t="inlineStr">
        <is>
          <t>NORRBOTTENS LÄN</t>
        </is>
      </c>
      <c r="E423" t="inlineStr">
        <is>
          <t>GÄLLIVARE</t>
        </is>
      </c>
      <c r="G423" t="n">
        <v>3.5</v>
      </c>
      <c r="H423" t="n">
        <v>0</v>
      </c>
      <c r="I423" t="n">
        <v>0</v>
      </c>
      <c r="J423" t="n">
        <v>0</v>
      </c>
      <c r="K423" t="n">
        <v>0</v>
      </c>
      <c r="L423" t="n">
        <v>0</v>
      </c>
      <c r="M423" t="n">
        <v>0</v>
      </c>
      <c r="N423" t="n">
        <v>0</v>
      </c>
      <c r="O423" t="n">
        <v>0</v>
      </c>
      <c r="P423" t="n">
        <v>0</v>
      </c>
      <c r="Q423" t="n">
        <v>0</v>
      </c>
      <c r="R423" s="2" t="inlineStr"/>
    </row>
    <row r="424" ht="15" customHeight="1">
      <c r="A424" t="inlineStr">
        <is>
          <t>A 36881-2023</t>
        </is>
      </c>
      <c r="B424" s="1" t="n">
        <v>45154</v>
      </c>
      <c r="C424" s="1" t="n">
        <v>45972</v>
      </c>
      <c r="D424" t="inlineStr">
        <is>
          <t>NORRBOTTENS LÄN</t>
        </is>
      </c>
      <c r="E424" t="inlineStr">
        <is>
          <t>GÄLLIVARE</t>
        </is>
      </c>
      <c r="G424" t="n">
        <v>3.8</v>
      </c>
      <c r="H424" t="n">
        <v>0</v>
      </c>
      <c r="I424" t="n">
        <v>0</v>
      </c>
      <c r="J424" t="n">
        <v>0</v>
      </c>
      <c r="K424" t="n">
        <v>0</v>
      </c>
      <c r="L424" t="n">
        <v>0</v>
      </c>
      <c r="M424" t="n">
        <v>0</v>
      </c>
      <c r="N424" t="n">
        <v>0</v>
      </c>
      <c r="O424" t="n">
        <v>0</v>
      </c>
      <c r="P424" t="n">
        <v>0</v>
      </c>
      <c r="Q424" t="n">
        <v>0</v>
      </c>
      <c r="R424" s="2" t="inlineStr"/>
    </row>
    <row r="425" ht="15" customHeight="1">
      <c r="A425" t="inlineStr">
        <is>
          <t>A 30253-2025</t>
        </is>
      </c>
      <c r="B425" s="1" t="n">
        <v>45827.4234375</v>
      </c>
      <c r="C425" s="1" t="n">
        <v>45972</v>
      </c>
      <c r="D425" t="inlineStr">
        <is>
          <t>NORRBOTTENS LÄN</t>
        </is>
      </c>
      <c r="E425" t="inlineStr">
        <is>
          <t>GÄLLIVARE</t>
        </is>
      </c>
      <c r="F425" t="inlineStr">
        <is>
          <t>Sveaskog</t>
        </is>
      </c>
      <c r="G425" t="n">
        <v>25.6</v>
      </c>
      <c r="H425" t="n">
        <v>0</v>
      </c>
      <c r="I425" t="n">
        <v>0</v>
      </c>
      <c r="J425" t="n">
        <v>0</v>
      </c>
      <c r="K425" t="n">
        <v>0</v>
      </c>
      <c r="L425" t="n">
        <v>0</v>
      </c>
      <c r="M425" t="n">
        <v>0</v>
      </c>
      <c r="N425" t="n">
        <v>0</v>
      </c>
      <c r="O425" t="n">
        <v>0</v>
      </c>
      <c r="P425" t="n">
        <v>0</v>
      </c>
      <c r="Q425" t="n">
        <v>0</v>
      </c>
      <c r="R425" s="2" t="inlineStr"/>
    </row>
    <row r="426" ht="15" customHeight="1">
      <c r="A426" t="inlineStr">
        <is>
          <t>A 30305-2025</t>
        </is>
      </c>
      <c r="B426" s="1" t="n">
        <v>45827.48145833334</v>
      </c>
      <c r="C426" s="1" t="n">
        <v>45972</v>
      </c>
      <c r="D426" t="inlineStr">
        <is>
          <t>NORRBOTTENS LÄN</t>
        </is>
      </c>
      <c r="E426" t="inlineStr">
        <is>
          <t>GÄLLIVARE</t>
        </is>
      </c>
      <c r="F426" t="inlineStr">
        <is>
          <t>Sveaskog</t>
        </is>
      </c>
      <c r="G426" t="n">
        <v>33.6</v>
      </c>
      <c r="H426" t="n">
        <v>0</v>
      </c>
      <c r="I426" t="n">
        <v>0</v>
      </c>
      <c r="J426" t="n">
        <v>0</v>
      </c>
      <c r="K426" t="n">
        <v>0</v>
      </c>
      <c r="L426" t="n">
        <v>0</v>
      </c>
      <c r="M426" t="n">
        <v>0</v>
      </c>
      <c r="N426" t="n">
        <v>0</v>
      </c>
      <c r="O426" t="n">
        <v>0</v>
      </c>
      <c r="P426" t="n">
        <v>0</v>
      </c>
      <c r="Q426" t="n">
        <v>0</v>
      </c>
      <c r="R426" s="2" t="inlineStr"/>
    </row>
    <row r="427" ht="15" customHeight="1">
      <c r="A427" t="inlineStr">
        <is>
          <t>A 55584-2023</t>
        </is>
      </c>
      <c r="B427" s="1" t="n">
        <v>45238</v>
      </c>
      <c r="C427" s="1" t="n">
        <v>45972</v>
      </c>
      <c r="D427" t="inlineStr">
        <is>
          <t>NORRBOTTENS LÄN</t>
        </is>
      </c>
      <c r="E427" t="inlineStr">
        <is>
          <t>GÄLLIVARE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30476-2025</t>
        </is>
      </c>
      <c r="B428" s="1" t="n">
        <v>45828</v>
      </c>
      <c r="C428" s="1" t="n">
        <v>45972</v>
      </c>
      <c r="D428" t="inlineStr">
        <is>
          <t>NORRBOTTENS LÄN</t>
        </is>
      </c>
      <c r="E428" t="inlineStr">
        <is>
          <t>GÄLLIVARE</t>
        </is>
      </c>
      <c r="G428" t="n">
        <v>8.1</v>
      </c>
      <c r="H428" t="n">
        <v>0</v>
      </c>
      <c r="I428" t="n">
        <v>0</v>
      </c>
      <c r="J428" t="n">
        <v>0</v>
      </c>
      <c r="K428" t="n">
        <v>0</v>
      </c>
      <c r="L428" t="n">
        <v>0</v>
      </c>
      <c r="M428" t="n">
        <v>0</v>
      </c>
      <c r="N428" t="n">
        <v>0</v>
      </c>
      <c r="O428" t="n">
        <v>0</v>
      </c>
      <c r="P428" t="n">
        <v>0</v>
      </c>
      <c r="Q428" t="n">
        <v>0</v>
      </c>
      <c r="R428" s="2" t="inlineStr"/>
    </row>
    <row r="429" ht="15" customHeight="1">
      <c r="A429" t="inlineStr">
        <is>
          <t>A 44444-2025</t>
        </is>
      </c>
      <c r="B429" s="1" t="n">
        <v>45916.59509259259</v>
      </c>
      <c r="C429" s="1" t="n">
        <v>45972</v>
      </c>
      <c r="D429" t="inlineStr">
        <is>
          <t>NORRBOTTENS LÄN</t>
        </is>
      </c>
      <c r="E429" t="inlineStr">
        <is>
          <t>GÄLLIVARE</t>
        </is>
      </c>
      <c r="F429" t="inlineStr">
        <is>
          <t>Sveaskog</t>
        </is>
      </c>
      <c r="G429" t="n">
        <v>10.5</v>
      </c>
      <c r="H429" t="n">
        <v>0</v>
      </c>
      <c r="I429" t="n">
        <v>0</v>
      </c>
      <c r="J429" t="n">
        <v>0</v>
      </c>
      <c r="K429" t="n">
        <v>0</v>
      </c>
      <c r="L429" t="n">
        <v>0</v>
      </c>
      <c r="M429" t="n">
        <v>0</v>
      </c>
      <c r="N429" t="n">
        <v>0</v>
      </c>
      <c r="O429" t="n">
        <v>0</v>
      </c>
      <c r="P429" t="n">
        <v>0</v>
      </c>
      <c r="Q429" t="n">
        <v>0</v>
      </c>
      <c r="R429" s="2" t="inlineStr"/>
    </row>
    <row r="430" ht="15" customHeight="1">
      <c r="A430" t="inlineStr">
        <is>
          <t>A 44449-2025</t>
        </is>
      </c>
      <c r="B430" s="1" t="n">
        <v>45916</v>
      </c>
      <c r="C430" s="1" t="n">
        <v>45972</v>
      </c>
      <c r="D430" t="inlineStr">
        <is>
          <t>NORRBOTTENS LÄN</t>
        </is>
      </c>
      <c r="E430" t="inlineStr">
        <is>
          <t>GÄLLIVARE</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24564-2022</t>
        </is>
      </c>
      <c r="B431" s="1" t="n">
        <v>44726</v>
      </c>
      <c r="C431" s="1" t="n">
        <v>45972</v>
      </c>
      <c r="D431" t="inlineStr">
        <is>
          <t>NORRBOTTENS LÄN</t>
        </is>
      </c>
      <c r="E431" t="inlineStr">
        <is>
          <t>GÄLLIVARE</t>
        </is>
      </c>
      <c r="G431" t="n">
        <v>12.9</v>
      </c>
      <c r="H431" t="n">
        <v>0</v>
      </c>
      <c r="I431" t="n">
        <v>0</v>
      </c>
      <c r="J431" t="n">
        <v>0</v>
      </c>
      <c r="K431" t="n">
        <v>0</v>
      </c>
      <c r="L431" t="n">
        <v>0</v>
      </c>
      <c r="M431" t="n">
        <v>0</v>
      </c>
      <c r="N431" t="n">
        <v>0</v>
      </c>
      <c r="O431" t="n">
        <v>0</v>
      </c>
      <c r="P431" t="n">
        <v>0</v>
      </c>
      <c r="Q431" t="n">
        <v>0</v>
      </c>
      <c r="R431" s="2" t="inlineStr"/>
    </row>
    <row r="432" ht="15" customHeight="1">
      <c r="A432" t="inlineStr">
        <is>
          <t>A 47239-2023</t>
        </is>
      </c>
      <c r="B432" s="1" t="n">
        <v>45196</v>
      </c>
      <c r="C432" s="1" t="n">
        <v>45972</v>
      </c>
      <c r="D432" t="inlineStr">
        <is>
          <t>NORRBOTTENS LÄN</t>
        </is>
      </c>
      <c r="E432" t="inlineStr">
        <is>
          <t>GÄLLIVARE</t>
        </is>
      </c>
      <c r="F432" t="inlineStr">
        <is>
          <t>Övriga statliga verk och myndigheter</t>
        </is>
      </c>
      <c r="G432" t="n">
        <v>28.1</v>
      </c>
      <c r="H432" t="n">
        <v>0</v>
      </c>
      <c r="I432" t="n">
        <v>0</v>
      </c>
      <c r="J432" t="n">
        <v>0</v>
      </c>
      <c r="K432" t="n">
        <v>0</v>
      </c>
      <c r="L432" t="n">
        <v>0</v>
      </c>
      <c r="M432" t="n">
        <v>0</v>
      </c>
      <c r="N432" t="n">
        <v>0</v>
      </c>
      <c r="O432" t="n">
        <v>0</v>
      </c>
      <c r="P432" t="n">
        <v>0</v>
      </c>
      <c r="Q432" t="n">
        <v>0</v>
      </c>
      <c r="R432" s="2" t="inlineStr"/>
    </row>
    <row r="433" ht="15" customHeight="1">
      <c r="A433" t="inlineStr">
        <is>
          <t>A 52641-2025</t>
        </is>
      </c>
      <c r="B433" s="1" t="n">
        <v>45955.34559027778</v>
      </c>
      <c r="C433" s="1" t="n">
        <v>45972</v>
      </c>
      <c r="D433" t="inlineStr">
        <is>
          <t>NORRBOTTENS LÄN</t>
        </is>
      </c>
      <c r="E433" t="inlineStr">
        <is>
          <t>GÄLLIVARE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48760-2023</t>
        </is>
      </c>
      <c r="B434" s="1" t="n">
        <v>45208.92326388889</v>
      </c>
      <c r="C434" s="1" t="n">
        <v>45972</v>
      </c>
      <c r="D434" t="inlineStr">
        <is>
          <t>NORRBOTTENS LÄN</t>
        </is>
      </c>
      <c r="E434" t="inlineStr">
        <is>
          <t>GÄLLIVARE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31097-2025</t>
        </is>
      </c>
      <c r="B435" s="1" t="n">
        <v>45832.59638888889</v>
      </c>
      <c r="C435" s="1" t="n">
        <v>45972</v>
      </c>
      <c r="D435" t="inlineStr">
        <is>
          <t>NORRBOTTENS LÄN</t>
        </is>
      </c>
      <c r="E435" t="inlineStr">
        <is>
          <t>GÄLLIVARE</t>
        </is>
      </c>
      <c r="G435" t="n">
        <v>6.6</v>
      </c>
      <c r="H435" t="n">
        <v>0</v>
      </c>
      <c r="I435" t="n">
        <v>0</v>
      </c>
      <c r="J435" t="n">
        <v>0</v>
      </c>
      <c r="K435" t="n">
        <v>0</v>
      </c>
      <c r="L435" t="n">
        <v>0</v>
      </c>
      <c r="M435" t="n">
        <v>0</v>
      </c>
      <c r="N435" t="n">
        <v>0</v>
      </c>
      <c r="O435" t="n">
        <v>0</v>
      </c>
      <c r="P435" t="n">
        <v>0</v>
      </c>
      <c r="Q435" t="n">
        <v>0</v>
      </c>
      <c r="R435" s="2" t="inlineStr"/>
    </row>
    <row r="436" ht="15" customHeight="1">
      <c r="A436" t="inlineStr">
        <is>
          <t>A 53154-2025</t>
        </is>
      </c>
      <c r="B436" s="1" t="n">
        <v>45958.48908564815</v>
      </c>
      <c r="C436" s="1" t="n">
        <v>45972</v>
      </c>
      <c r="D436" t="inlineStr">
        <is>
          <t>NORRBOTTENS LÄN</t>
        </is>
      </c>
      <c r="E436" t="inlineStr">
        <is>
          <t>GÄLLIVARE</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31652-2025</t>
        </is>
      </c>
      <c r="B437" s="1" t="n">
        <v>45834</v>
      </c>
      <c r="C437" s="1" t="n">
        <v>45972</v>
      </c>
      <c r="D437" t="inlineStr">
        <is>
          <t>NORRBOTTENS LÄN</t>
        </is>
      </c>
      <c r="E437" t="inlineStr">
        <is>
          <t>GÄLLIVARE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45972</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52716-2025</t>
        </is>
      </c>
      <c r="B439" s="1" t="n">
        <v>45957.3212037037</v>
      </c>
      <c r="C439" s="1" t="n">
        <v>45972</v>
      </c>
      <c r="D439" t="inlineStr">
        <is>
          <t>NORRBOTTENS LÄN</t>
        </is>
      </c>
      <c r="E439" t="inlineStr">
        <is>
          <t>GÄLLIVARE</t>
        </is>
      </c>
      <c r="G439" t="n">
        <v>0.3</v>
      </c>
      <c r="H439" t="n">
        <v>0</v>
      </c>
      <c r="I439" t="n">
        <v>0</v>
      </c>
      <c r="J439" t="n">
        <v>0</v>
      </c>
      <c r="K439" t="n">
        <v>0</v>
      </c>
      <c r="L439" t="n">
        <v>0</v>
      </c>
      <c r="M439" t="n">
        <v>0</v>
      </c>
      <c r="N439" t="n">
        <v>0</v>
      </c>
      <c r="O439" t="n">
        <v>0</v>
      </c>
      <c r="P439" t="n">
        <v>0</v>
      </c>
      <c r="Q439" t="n">
        <v>0</v>
      </c>
      <c r="R439" s="2" t="inlineStr"/>
    </row>
    <row r="440" ht="15" customHeight="1">
      <c r="A440" t="inlineStr">
        <is>
          <t>A 44373-2025</t>
        </is>
      </c>
      <c r="B440" s="1" t="n">
        <v>45916.46555555556</v>
      </c>
      <c r="C440" s="1" t="n">
        <v>45972</v>
      </c>
      <c r="D440" t="inlineStr">
        <is>
          <t>NORRBOTTENS LÄN</t>
        </is>
      </c>
      <c r="E440" t="inlineStr">
        <is>
          <t>GÄLLIVARE</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52715-2025</t>
        </is>
      </c>
      <c r="B441" s="1" t="n">
        <v>45957.31655092593</v>
      </c>
      <c r="C441" s="1" t="n">
        <v>45972</v>
      </c>
      <c r="D441" t="inlineStr">
        <is>
          <t>NORRBOTTENS LÄN</t>
        </is>
      </c>
      <c r="E441" t="inlineStr">
        <is>
          <t>GÄLLIVARE</t>
        </is>
      </c>
      <c r="G441" t="n">
        <v>0.9</v>
      </c>
      <c r="H441" t="n">
        <v>0</v>
      </c>
      <c r="I441" t="n">
        <v>0</v>
      </c>
      <c r="J441" t="n">
        <v>0</v>
      </c>
      <c r="K441" t="n">
        <v>0</v>
      </c>
      <c r="L441" t="n">
        <v>0</v>
      </c>
      <c r="M441" t="n">
        <v>0</v>
      </c>
      <c r="N441" t="n">
        <v>0</v>
      </c>
      <c r="O441" t="n">
        <v>0</v>
      </c>
      <c r="P441" t="n">
        <v>0</v>
      </c>
      <c r="Q441" t="n">
        <v>0</v>
      </c>
      <c r="R441" s="2" t="inlineStr"/>
    </row>
    <row r="442" ht="15" customHeight="1">
      <c r="A442" t="inlineStr">
        <is>
          <t>A 44440-2025</t>
        </is>
      </c>
      <c r="B442" s="1" t="n">
        <v>45916.58972222222</v>
      </c>
      <c r="C442" s="1" t="n">
        <v>45972</v>
      </c>
      <c r="D442" t="inlineStr">
        <is>
          <t>NORRBOTTENS LÄN</t>
        </is>
      </c>
      <c r="E442" t="inlineStr">
        <is>
          <t>GÄLLIVARE</t>
        </is>
      </c>
      <c r="F442" t="inlineStr">
        <is>
          <t>Sveaskog</t>
        </is>
      </c>
      <c r="G442" t="n">
        <v>6.3</v>
      </c>
      <c r="H442" t="n">
        <v>0</v>
      </c>
      <c r="I442" t="n">
        <v>0</v>
      </c>
      <c r="J442" t="n">
        <v>0</v>
      </c>
      <c r="K442" t="n">
        <v>0</v>
      </c>
      <c r="L442" t="n">
        <v>0</v>
      </c>
      <c r="M442" t="n">
        <v>0</v>
      </c>
      <c r="N442" t="n">
        <v>0</v>
      </c>
      <c r="O442" t="n">
        <v>0</v>
      </c>
      <c r="P442" t="n">
        <v>0</v>
      </c>
      <c r="Q442" t="n">
        <v>0</v>
      </c>
      <c r="R442" s="2" t="inlineStr"/>
    </row>
    <row r="443" ht="15" customHeight="1">
      <c r="A443" t="inlineStr">
        <is>
          <t>A 40974-2023</t>
        </is>
      </c>
      <c r="B443" s="1" t="n">
        <v>45173</v>
      </c>
      <c r="C443" s="1" t="n">
        <v>45972</v>
      </c>
      <c r="D443" t="inlineStr">
        <is>
          <t>NORRBOTTENS LÄN</t>
        </is>
      </c>
      <c r="E443" t="inlineStr">
        <is>
          <t>GÄLLIVARE</t>
        </is>
      </c>
      <c r="G443" t="n">
        <v>3</v>
      </c>
      <c r="H443" t="n">
        <v>0</v>
      </c>
      <c r="I443" t="n">
        <v>0</v>
      </c>
      <c r="J443" t="n">
        <v>0</v>
      </c>
      <c r="K443" t="n">
        <v>0</v>
      </c>
      <c r="L443" t="n">
        <v>0</v>
      </c>
      <c r="M443" t="n">
        <v>0</v>
      </c>
      <c r="N443" t="n">
        <v>0</v>
      </c>
      <c r="O443" t="n">
        <v>0</v>
      </c>
      <c r="P443" t="n">
        <v>0</v>
      </c>
      <c r="Q443" t="n">
        <v>0</v>
      </c>
      <c r="R443" s="2" t="inlineStr"/>
    </row>
    <row r="444" ht="15" customHeight="1">
      <c r="A444" t="inlineStr">
        <is>
          <t>A 31647-2025</t>
        </is>
      </c>
      <c r="B444" s="1" t="n">
        <v>45834.34582175926</v>
      </c>
      <c r="C444" s="1" t="n">
        <v>45972</v>
      </c>
      <c r="D444" t="inlineStr">
        <is>
          <t>NORRBOTTENS LÄN</t>
        </is>
      </c>
      <c r="E444" t="inlineStr">
        <is>
          <t>GÄLLIVARE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53176-2025</t>
        </is>
      </c>
      <c r="B445" s="1" t="n">
        <v>45958.5297337963</v>
      </c>
      <c r="C445" s="1" t="n">
        <v>45972</v>
      </c>
      <c r="D445" t="inlineStr">
        <is>
          <t>NORRBOTTENS LÄN</t>
        </is>
      </c>
      <c r="E445" t="inlineStr">
        <is>
          <t>GÄLLIVARE</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31541-2025</t>
        </is>
      </c>
      <c r="B446" s="1" t="n">
        <v>45833</v>
      </c>
      <c r="C446" s="1" t="n">
        <v>45972</v>
      </c>
      <c r="D446" t="inlineStr">
        <is>
          <t>NORRBOTTENS LÄN</t>
        </is>
      </c>
      <c r="E446" t="inlineStr">
        <is>
          <t>GÄLLIVARE</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31643-2025</t>
        </is>
      </c>
      <c r="B447" s="1" t="n">
        <v>45834.34496527778</v>
      </c>
      <c r="C447" s="1" t="n">
        <v>45972</v>
      </c>
      <c r="D447" t="inlineStr">
        <is>
          <t>NORRBOTTENS LÄN</t>
        </is>
      </c>
      <c r="E447" t="inlineStr">
        <is>
          <t>GÄLLIVARE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31644-2025</t>
        </is>
      </c>
      <c r="B448" s="1" t="n">
        <v>45834.34519675926</v>
      </c>
      <c r="C448" s="1" t="n">
        <v>45972</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31648-2025</t>
        </is>
      </c>
      <c r="B449" s="1" t="n">
        <v>45834</v>
      </c>
      <c r="C449" s="1" t="n">
        <v>45972</v>
      </c>
      <c r="D449" t="inlineStr">
        <is>
          <t>NORRBOTTENS LÄN</t>
        </is>
      </c>
      <c r="E449" t="inlineStr">
        <is>
          <t>GÄLLIVARE</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31650-2025</t>
        </is>
      </c>
      <c r="B450" s="1" t="n">
        <v>45834.3466087963</v>
      </c>
      <c r="C450" s="1" t="n">
        <v>45972</v>
      </c>
      <c r="D450" t="inlineStr">
        <is>
          <t>NORRBOTTENS LÄN</t>
        </is>
      </c>
      <c r="E450" t="inlineStr">
        <is>
          <t>GÄLLIVARE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31653-2025</t>
        </is>
      </c>
      <c r="B451" s="1" t="n">
        <v>45834.34711805556</v>
      </c>
      <c r="C451" s="1" t="n">
        <v>45972</v>
      </c>
      <c r="D451" t="inlineStr">
        <is>
          <t>NORRBOTTENS LÄN</t>
        </is>
      </c>
      <c r="E451" t="inlineStr">
        <is>
          <t>GÄLLIVARE</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31430-2025</t>
        </is>
      </c>
      <c r="B452" s="1" t="n">
        <v>45833.49342592592</v>
      </c>
      <c r="C452" s="1" t="n">
        <v>45972</v>
      </c>
      <c r="D452" t="inlineStr">
        <is>
          <t>NORRBOTTENS LÄN</t>
        </is>
      </c>
      <c r="E452" t="inlineStr">
        <is>
          <t>GÄLLIVARE</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31436-2025</t>
        </is>
      </c>
      <c r="B453" s="1" t="n">
        <v>45833.49737268518</v>
      </c>
      <c r="C453" s="1" t="n">
        <v>45972</v>
      </c>
      <c r="D453" t="inlineStr">
        <is>
          <t>NORRBOTTENS LÄN</t>
        </is>
      </c>
      <c r="E453" t="inlineStr">
        <is>
          <t>GÄLLIVARE</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31553-2025</t>
        </is>
      </c>
      <c r="B454" s="1" t="n">
        <v>45833</v>
      </c>
      <c r="C454" s="1" t="n">
        <v>45972</v>
      </c>
      <c r="D454" t="inlineStr">
        <is>
          <t>NORRBOTTENS LÄN</t>
        </is>
      </c>
      <c r="E454" t="inlineStr">
        <is>
          <t>GÄLLIVARE</t>
        </is>
      </c>
      <c r="F454" t="inlineStr">
        <is>
          <t>Allmännings- och besparingsskogar</t>
        </is>
      </c>
      <c r="G454" t="n">
        <v>40.8</v>
      </c>
      <c r="H454" t="n">
        <v>0</v>
      </c>
      <c r="I454" t="n">
        <v>0</v>
      </c>
      <c r="J454" t="n">
        <v>0</v>
      </c>
      <c r="K454" t="n">
        <v>0</v>
      </c>
      <c r="L454" t="n">
        <v>0</v>
      </c>
      <c r="M454" t="n">
        <v>0</v>
      </c>
      <c r="N454" t="n">
        <v>0</v>
      </c>
      <c r="O454" t="n">
        <v>0</v>
      </c>
      <c r="P454" t="n">
        <v>0</v>
      </c>
      <c r="Q454" t="n">
        <v>0</v>
      </c>
      <c r="R454" s="2" t="inlineStr"/>
    </row>
    <row r="455" ht="15" customHeight="1">
      <c r="A455" t="inlineStr">
        <is>
          <t>A 53621-2025</t>
        </is>
      </c>
      <c r="B455" s="1" t="n">
        <v>45960.48842592593</v>
      </c>
      <c r="C455" s="1" t="n">
        <v>45972</v>
      </c>
      <c r="D455" t="inlineStr">
        <is>
          <t>NORRBOTTENS LÄN</t>
        </is>
      </c>
      <c r="E455" t="inlineStr">
        <is>
          <t>GÄLLIVARE</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53636-2025</t>
        </is>
      </c>
      <c r="B456" s="1" t="n">
        <v>45960.50246527778</v>
      </c>
      <c r="C456" s="1" t="n">
        <v>45972</v>
      </c>
      <c r="D456" t="inlineStr">
        <is>
          <t>NORRBOTTENS LÄN</t>
        </is>
      </c>
      <c r="E456" t="inlineStr">
        <is>
          <t>GÄLLIVARE</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47162-2023</t>
        </is>
      </c>
      <c r="B457" s="1" t="n">
        <v>45201</v>
      </c>
      <c r="C457" s="1" t="n">
        <v>45972</v>
      </c>
      <c r="D457" t="inlineStr">
        <is>
          <t>NORRBOTTENS LÄN</t>
        </is>
      </c>
      <c r="E457" t="inlineStr">
        <is>
          <t>GÄLLIVARE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55755-2024</t>
        </is>
      </c>
      <c r="B458" s="1" t="n">
        <v>45623</v>
      </c>
      <c r="C458" s="1" t="n">
        <v>45972</v>
      </c>
      <c r="D458" t="inlineStr">
        <is>
          <t>NORRBOTTENS LÄN</t>
        </is>
      </c>
      <c r="E458" t="inlineStr">
        <is>
          <t>GÄLLIVARE</t>
        </is>
      </c>
      <c r="G458" t="n">
        <v>7.6</v>
      </c>
      <c r="H458" t="n">
        <v>0</v>
      </c>
      <c r="I458" t="n">
        <v>0</v>
      </c>
      <c r="J458" t="n">
        <v>0</v>
      </c>
      <c r="K458" t="n">
        <v>0</v>
      </c>
      <c r="L458" t="n">
        <v>0</v>
      </c>
      <c r="M458" t="n">
        <v>0</v>
      </c>
      <c r="N458" t="n">
        <v>0</v>
      </c>
      <c r="O458" t="n">
        <v>0</v>
      </c>
      <c r="P458" t="n">
        <v>0</v>
      </c>
      <c r="Q458" t="n">
        <v>0</v>
      </c>
      <c r="R458" s="2" t="inlineStr"/>
    </row>
    <row r="459" ht="15" customHeight="1">
      <c r="A459" t="inlineStr">
        <is>
          <t>A 53634-2025</t>
        </is>
      </c>
      <c r="B459" s="1" t="n">
        <v>45960.50048611111</v>
      </c>
      <c r="C459" s="1" t="n">
        <v>45972</v>
      </c>
      <c r="D459" t="inlineStr">
        <is>
          <t>NORRBOTTENS LÄN</t>
        </is>
      </c>
      <c r="E459" t="inlineStr">
        <is>
          <t>GÄLLIVARE</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53637-2025</t>
        </is>
      </c>
      <c r="B460" s="1" t="n">
        <v>45960.50347222222</v>
      </c>
      <c r="C460" s="1" t="n">
        <v>45972</v>
      </c>
      <c r="D460" t="inlineStr">
        <is>
          <t>NORRBOTTENS LÄN</t>
        </is>
      </c>
      <c r="E460" t="inlineStr">
        <is>
          <t>GÄLLIVARE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33226-2025</t>
        </is>
      </c>
      <c r="B461" s="1" t="n">
        <v>45840.63622685185</v>
      </c>
      <c r="C461" s="1" t="n">
        <v>45972</v>
      </c>
      <c r="D461" t="inlineStr">
        <is>
          <t>NORRBOTTENS LÄN</t>
        </is>
      </c>
      <c r="E461" t="inlineStr">
        <is>
          <t>GÄLLIVARE</t>
        </is>
      </c>
      <c r="F461" t="inlineStr">
        <is>
          <t>SCA</t>
        </is>
      </c>
      <c r="G461" t="n">
        <v>10.8</v>
      </c>
      <c r="H461" t="n">
        <v>0</v>
      </c>
      <c r="I461" t="n">
        <v>0</v>
      </c>
      <c r="J461" t="n">
        <v>0</v>
      </c>
      <c r="K461" t="n">
        <v>0</v>
      </c>
      <c r="L461" t="n">
        <v>0</v>
      </c>
      <c r="M461" t="n">
        <v>0</v>
      </c>
      <c r="N461" t="n">
        <v>0</v>
      </c>
      <c r="O461" t="n">
        <v>0</v>
      </c>
      <c r="P461" t="n">
        <v>0</v>
      </c>
      <c r="Q461" t="n">
        <v>0</v>
      </c>
      <c r="R461" s="2" t="inlineStr"/>
    </row>
    <row r="462" ht="15" customHeight="1">
      <c r="A462" t="inlineStr">
        <is>
          <t>A 53420-2025</t>
        </is>
      </c>
      <c r="B462" s="1" t="n">
        <v>45959.59439814815</v>
      </c>
      <c r="C462" s="1" t="n">
        <v>45972</v>
      </c>
      <c r="D462" t="inlineStr">
        <is>
          <t>NORRBOTTENS LÄN</t>
        </is>
      </c>
      <c r="E462" t="inlineStr">
        <is>
          <t>GÄLLIVARE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32943-2025</t>
        </is>
      </c>
      <c r="B463" s="1" t="n">
        <v>45839</v>
      </c>
      <c r="C463" s="1" t="n">
        <v>45972</v>
      </c>
      <c r="D463" t="inlineStr">
        <is>
          <t>NORRBOTTENS LÄN</t>
        </is>
      </c>
      <c r="E463" t="inlineStr">
        <is>
          <t>GÄLLIVARE</t>
        </is>
      </c>
      <c r="G463" t="n">
        <v>16.8</v>
      </c>
      <c r="H463" t="n">
        <v>0</v>
      </c>
      <c r="I463" t="n">
        <v>0</v>
      </c>
      <c r="J463" t="n">
        <v>0</v>
      </c>
      <c r="K463" t="n">
        <v>0</v>
      </c>
      <c r="L463" t="n">
        <v>0</v>
      </c>
      <c r="M463" t="n">
        <v>0</v>
      </c>
      <c r="N463" t="n">
        <v>0</v>
      </c>
      <c r="O463" t="n">
        <v>0</v>
      </c>
      <c r="P463" t="n">
        <v>0</v>
      </c>
      <c r="Q463" t="n">
        <v>0</v>
      </c>
      <c r="R463" s="2" t="inlineStr"/>
    </row>
    <row r="464" ht="15" customHeight="1">
      <c r="A464" t="inlineStr">
        <is>
          <t>A 32936-2025</t>
        </is>
      </c>
      <c r="B464" s="1" t="n">
        <v>45839</v>
      </c>
      <c r="C464" s="1" t="n">
        <v>45972</v>
      </c>
      <c r="D464" t="inlineStr">
        <is>
          <t>NORRBOTTENS LÄN</t>
        </is>
      </c>
      <c r="E464" t="inlineStr">
        <is>
          <t>GÄLLIVARE</t>
        </is>
      </c>
      <c r="G464" t="n">
        <v>3</v>
      </c>
      <c r="H464" t="n">
        <v>0</v>
      </c>
      <c r="I464" t="n">
        <v>0</v>
      </c>
      <c r="J464" t="n">
        <v>0</v>
      </c>
      <c r="K464" t="n">
        <v>0</v>
      </c>
      <c r="L464" t="n">
        <v>0</v>
      </c>
      <c r="M464" t="n">
        <v>0</v>
      </c>
      <c r="N464" t="n">
        <v>0</v>
      </c>
      <c r="O464" t="n">
        <v>0</v>
      </c>
      <c r="P464" t="n">
        <v>0</v>
      </c>
      <c r="Q464" t="n">
        <v>0</v>
      </c>
      <c r="R464" s="2" t="inlineStr"/>
    </row>
    <row r="465" ht="15" customHeight="1">
      <c r="A465" t="inlineStr">
        <is>
          <t>A 11783-2025</t>
        </is>
      </c>
      <c r="B465" s="1" t="n">
        <v>45727.71951388889</v>
      </c>
      <c r="C465" s="1" t="n">
        <v>45972</v>
      </c>
      <c r="D465" t="inlineStr">
        <is>
          <t>NORRBOTTENS LÄN</t>
        </is>
      </c>
      <c r="E465" t="inlineStr">
        <is>
          <t>GÄLLIVARE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64360-2023</t>
        </is>
      </c>
      <c r="B466" s="1" t="n">
        <v>45280</v>
      </c>
      <c r="C466" s="1" t="n">
        <v>45972</v>
      </c>
      <c r="D466" t="inlineStr">
        <is>
          <t>NORRBOTTENS LÄN</t>
        </is>
      </c>
      <c r="E466" t="inlineStr">
        <is>
          <t>GÄLLIVARE</t>
        </is>
      </c>
      <c r="G466" t="n">
        <v>2.1</v>
      </c>
      <c r="H466" t="n">
        <v>0</v>
      </c>
      <c r="I466" t="n">
        <v>0</v>
      </c>
      <c r="J466" t="n">
        <v>0</v>
      </c>
      <c r="K466" t="n">
        <v>0</v>
      </c>
      <c r="L466" t="n">
        <v>0</v>
      </c>
      <c r="M466" t="n">
        <v>0</v>
      </c>
      <c r="N466" t="n">
        <v>0</v>
      </c>
      <c r="O466" t="n">
        <v>0</v>
      </c>
      <c r="P466" t="n">
        <v>0</v>
      </c>
      <c r="Q466" t="n">
        <v>0</v>
      </c>
      <c r="R466" s="2" t="inlineStr"/>
    </row>
    <row r="467" ht="15" customHeight="1">
      <c r="A467" t="inlineStr">
        <is>
          <t>A 33307-2025</t>
        </is>
      </c>
      <c r="B467" s="1" t="n">
        <v>45841.31274305555</v>
      </c>
      <c r="C467" s="1" t="n">
        <v>45972</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33668-2025</t>
        </is>
      </c>
      <c r="B468" s="1" t="n">
        <v>45841.67427083333</v>
      </c>
      <c r="C468" s="1" t="n">
        <v>45972</v>
      </c>
      <c r="D468" t="inlineStr">
        <is>
          <t>NORRBOTTENS LÄN</t>
        </is>
      </c>
      <c r="E468" t="inlineStr">
        <is>
          <t>GÄLLIVARE</t>
        </is>
      </c>
      <c r="F468" t="inlineStr">
        <is>
          <t>Sveaskog</t>
        </is>
      </c>
      <c r="G468" t="n">
        <v>11.7</v>
      </c>
      <c r="H468" t="n">
        <v>0</v>
      </c>
      <c r="I468" t="n">
        <v>0</v>
      </c>
      <c r="J468" t="n">
        <v>0</v>
      </c>
      <c r="K468" t="n">
        <v>0</v>
      </c>
      <c r="L468" t="n">
        <v>0</v>
      </c>
      <c r="M468" t="n">
        <v>0</v>
      </c>
      <c r="N468" t="n">
        <v>0</v>
      </c>
      <c r="O468" t="n">
        <v>0</v>
      </c>
      <c r="P468" t="n">
        <v>0</v>
      </c>
      <c r="Q468" t="n">
        <v>0</v>
      </c>
      <c r="R468" s="2" t="inlineStr"/>
    </row>
    <row r="469" ht="15" customHeight="1">
      <c r="A469" t="inlineStr">
        <is>
          <t>A 53696-2025</t>
        </is>
      </c>
      <c r="B469" s="1" t="n">
        <v>45960.59054398148</v>
      </c>
      <c r="C469" s="1" t="n">
        <v>45972</v>
      </c>
      <c r="D469" t="inlineStr">
        <is>
          <t>NORRBOTTENS LÄN</t>
        </is>
      </c>
      <c r="E469" t="inlineStr">
        <is>
          <t>GÄLLIVARE</t>
        </is>
      </c>
      <c r="F469" t="inlineStr">
        <is>
          <t>Sveaskog</t>
        </is>
      </c>
      <c r="G469" t="n">
        <v>13.4</v>
      </c>
      <c r="H469" t="n">
        <v>0</v>
      </c>
      <c r="I469" t="n">
        <v>0</v>
      </c>
      <c r="J469" t="n">
        <v>0</v>
      </c>
      <c r="K469" t="n">
        <v>0</v>
      </c>
      <c r="L469" t="n">
        <v>0</v>
      </c>
      <c r="M469" t="n">
        <v>0</v>
      </c>
      <c r="N469" t="n">
        <v>0</v>
      </c>
      <c r="O469" t="n">
        <v>0</v>
      </c>
      <c r="P469" t="n">
        <v>0</v>
      </c>
      <c r="Q469" t="n">
        <v>0</v>
      </c>
      <c r="R469" s="2" t="inlineStr"/>
    </row>
    <row r="470" ht="15" customHeight="1">
      <c r="A470" t="inlineStr">
        <is>
          <t>A 52910-2025</t>
        </is>
      </c>
      <c r="B470" s="1" t="n">
        <v>45957</v>
      </c>
      <c r="C470" s="1" t="n">
        <v>45972</v>
      </c>
      <c r="D470" t="inlineStr">
        <is>
          <t>NORRBOTTENS LÄN</t>
        </is>
      </c>
      <c r="E470" t="inlineStr">
        <is>
          <t>GÄLLIVARE</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53622-2025</t>
        </is>
      </c>
      <c r="B471" s="1" t="n">
        <v>45960.48965277777</v>
      </c>
      <c r="C471" s="1" t="n">
        <v>45972</v>
      </c>
      <c r="D471" t="inlineStr">
        <is>
          <t>NORRBOTTENS LÄN</t>
        </is>
      </c>
      <c r="E471" t="inlineStr">
        <is>
          <t>GÄLLIVARE</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53626-2025</t>
        </is>
      </c>
      <c r="B472" s="1" t="n">
        <v>45960.49096064815</v>
      </c>
      <c r="C472" s="1" t="n">
        <v>45972</v>
      </c>
      <c r="D472" t="inlineStr">
        <is>
          <t>NORRBOTTENS LÄN</t>
        </is>
      </c>
      <c r="E472" t="inlineStr">
        <is>
          <t>GÄLLIVARE</t>
        </is>
      </c>
      <c r="F472" t="inlineStr">
        <is>
          <t>Sveaskog</t>
        </is>
      </c>
      <c r="G472" t="n">
        <v>2.7</v>
      </c>
      <c r="H472" t="n">
        <v>0</v>
      </c>
      <c r="I472" t="n">
        <v>0</v>
      </c>
      <c r="J472" t="n">
        <v>0</v>
      </c>
      <c r="K472" t="n">
        <v>0</v>
      </c>
      <c r="L472" t="n">
        <v>0</v>
      </c>
      <c r="M472" t="n">
        <v>0</v>
      </c>
      <c r="N472" t="n">
        <v>0</v>
      </c>
      <c r="O472" t="n">
        <v>0</v>
      </c>
      <c r="P472" t="n">
        <v>0</v>
      </c>
      <c r="Q472" t="n">
        <v>0</v>
      </c>
      <c r="R472" s="2" t="inlineStr"/>
    </row>
    <row r="473" ht="15" customHeight="1">
      <c r="A473" t="inlineStr">
        <is>
          <t>A 53635-2025</t>
        </is>
      </c>
      <c r="B473" s="1" t="n">
        <v>45960.50152777778</v>
      </c>
      <c r="C473" s="1" t="n">
        <v>45972</v>
      </c>
      <c r="D473" t="inlineStr">
        <is>
          <t>NORRBOTTENS LÄN</t>
        </is>
      </c>
      <c r="E473" t="inlineStr">
        <is>
          <t>GÄLLIVARE</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44982-2023</t>
        </is>
      </c>
      <c r="B474" s="1" t="n">
        <v>45190.95821759259</v>
      </c>
      <c r="C474" s="1" t="n">
        <v>45972</v>
      </c>
      <c r="D474" t="inlineStr">
        <is>
          <t>NORRBOTTENS LÄN</t>
        </is>
      </c>
      <c r="E474" t="inlineStr">
        <is>
          <t>GÄLLIVARE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44985-2023</t>
        </is>
      </c>
      <c r="B475" s="1" t="n">
        <v>45190.95814814815</v>
      </c>
      <c r="C475" s="1" t="n">
        <v>45972</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43672-2025</t>
        </is>
      </c>
      <c r="B476" s="1" t="n">
        <v>45912</v>
      </c>
      <c r="C476" s="1" t="n">
        <v>45972</v>
      </c>
      <c r="D476" t="inlineStr">
        <is>
          <t>NORRBOTTENS LÄN</t>
        </is>
      </c>
      <c r="E476" t="inlineStr">
        <is>
          <t>GÄLLIVARE</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33654-2025</t>
        </is>
      </c>
      <c r="B477" s="1" t="n">
        <v>45841.65853009259</v>
      </c>
      <c r="C477" s="1" t="n">
        <v>45972</v>
      </c>
      <c r="D477" t="inlineStr">
        <is>
          <t>NORRBOTTENS LÄN</t>
        </is>
      </c>
      <c r="E477" t="inlineStr">
        <is>
          <t>GÄLLIVARE</t>
        </is>
      </c>
      <c r="F477" t="inlineStr">
        <is>
          <t>Sveaskog</t>
        </is>
      </c>
      <c r="G477" t="n">
        <v>10.9</v>
      </c>
      <c r="H477" t="n">
        <v>0</v>
      </c>
      <c r="I477" t="n">
        <v>0</v>
      </c>
      <c r="J477" t="n">
        <v>0</v>
      </c>
      <c r="K477" t="n">
        <v>0</v>
      </c>
      <c r="L477" t="n">
        <v>0</v>
      </c>
      <c r="M477" t="n">
        <v>0</v>
      </c>
      <c r="N477" t="n">
        <v>0</v>
      </c>
      <c r="O477" t="n">
        <v>0</v>
      </c>
      <c r="P477" t="n">
        <v>0</v>
      </c>
      <c r="Q477" t="n">
        <v>0</v>
      </c>
      <c r="R477" s="2" t="inlineStr"/>
    </row>
    <row r="478" ht="15" customHeight="1">
      <c r="A478" t="inlineStr">
        <is>
          <t>A 34127-2025</t>
        </is>
      </c>
      <c r="B478" s="1" t="n">
        <v>45845.53070601852</v>
      </c>
      <c r="C478" s="1" t="n">
        <v>45972</v>
      </c>
      <c r="D478" t="inlineStr">
        <is>
          <t>NORRBOTTENS LÄN</t>
        </is>
      </c>
      <c r="E478" t="inlineStr">
        <is>
          <t>GÄLLIVARE</t>
        </is>
      </c>
      <c r="F478" t="inlineStr">
        <is>
          <t>Sveaskog</t>
        </is>
      </c>
      <c r="G478" t="n">
        <v>20.4</v>
      </c>
      <c r="H478" t="n">
        <v>0</v>
      </c>
      <c r="I478" t="n">
        <v>0</v>
      </c>
      <c r="J478" t="n">
        <v>0</v>
      </c>
      <c r="K478" t="n">
        <v>0</v>
      </c>
      <c r="L478" t="n">
        <v>0</v>
      </c>
      <c r="M478" t="n">
        <v>0</v>
      </c>
      <c r="N478" t="n">
        <v>0</v>
      </c>
      <c r="O478" t="n">
        <v>0</v>
      </c>
      <c r="P478" t="n">
        <v>0</v>
      </c>
      <c r="Q478" t="n">
        <v>0</v>
      </c>
      <c r="R478" s="2" t="inlineStr"/>
    </row>
    <row r="479" ht="15" customHeight="1">
      <c r="A479" t="inlineStr">
        <is>
          <t>A 34386-2025</t>
        </is>
      </c>
      <c r="B479" s="1" t="n">
        <v>45846</v>
      </c>
      <c r="C479" s="1" t="n">
        <v>45972</v>
      </c>
      <c r="D479" t="inlineStr">
        <is>
          <t>NORRBOTTENS LÄN</t>
        </is>
      </c>
      <c r="E479" t="inlineStr">
        <is>
          <t>GÄLLIVARE</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34129-2025</t>
        </is>
      </c>
      <c r="B480" s="1" t="n">
        <v>45845</v>
      </c>
      <c r="C480" s="1" t="n">
        <v>45972</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33980-2025</t>
        </is>
      </c>
      <c r="B481" s="1" t="n">
        <v>45843.34418981482</v>
      </c>
      <c r="C481" s="1" t="n">
        <v>45972</v>
      </c>
      <c r="D481" t="inlineStr">
        <is>
          <t>NORRBOTTENS LÄN</t>
        </is>
      </c>
      <c r="E481" t="inlineStr">
        <is>
          <t>GÄLLIVARE</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9655-2024</t>
        </is>
      </c>
      <c r="B482" s="1" t="n">
        <v>45362</v>
      </c>
      <c r="C482" s="1" t="n">
        <v>45972</v>
      </c>
      <c r="D482" t="inlineStr">
        <is>
          <t>NORRBOTTENS LÄN</t>
        </is>
      </c>
      <c r="E482" t="inlineStr">
        <is>
          <t>GÄLLIVARE</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2135-2024</t>
        </is>
      </c>
      <c r="B483" s="1" t="n">
        <v>45309</v>
      </c>
      <c r="C483" s="1" t="n">
        <v>45972</v>
      </c>
      <c r="D483" t="inlineStr">
        <is>
          <t>NORRBOTTENS LÄN</t>
        </is>
      </c>
      <c r="E483" t="inlineStr">
        <is>
          <t>GÄLLIVARE</t>
        </is>
      </c>
      <c r="G483" t="n">
        <v>2.7</v>
      </c>
      <c r="H483" t="n">
        <v>0</v>
      </c>
      <c r="I483" t="n">
        <v>0</v>
      </c>
      <c r="J483" t="n">
        <v>0</v>
      </c>
      <c r="K483" t="n">
        <v>0</v>
      </c>
      <c r="L483" t="n">
        <v>0</v>
      </c>
      <c r="M483" t="n">
        <v>0</v>
      </c>
      <c r="N483" t="n">
        <v>0</v>
      </c>
      <c r="O483" t="n">
        <v>0</v>
      </c>
      <c r="P483" t="n">
        <v>0</v>
      </c>
      <c r="Q483" t="n">
        <v>0</v>
      </c>
      <c r="R483" s="2" t="inlineStr"/>
    </row>
    <row r="484" ht="15" customHeight="1">
      <c r="A484" t="inlineStr">
        <is>
          <t>A 34130-2025</t>
        </is>
      </c>
      <c r="B484" s="1" t="n">
        <v>45845.53159722222</v>
      </c>
      <c r="C484" s="1" t="n">
        <v>45972</v>
      </c>
      <c r="D484" t="inlineStr">
        <is>
          <t>NORRBOTTENS LÄN</t>
        </is>
      </c>
      <c r="E484" t="inlineStr">
        <is>
          <t>GÄLLIVARE</t>
        </is>
      </c>
      <c r="G484" t="n">
        <v>6.2</v>
      </c>
      <c r="H484" t="n">
        <v>0</v>
      </c>
      <c r="I484" t="n">
        <v>0</v>
      </c>
      <c r="J484" t="n">
        <v>0</v>
      </c>
      <c r="K484" t="n">
        <v>0</v>
      </c>
      <c r="L484" t="n">
        <v>0</v>
      </c>
      <c r="M484" t="n">
        <v>0</v>
      </c>
      <c r="N484" t="n">
        <v>0</v>
      </c>
      <c r="O484" t="n">
        <v>0</v>
      </c>
      <c r="P484" t="n">
        <v>0</v>
      </c>
      <c r="Q484" t="n">
        <v>0</v>
      </c>
      <c r="R484" s="2" t="inlineStr"/>
    </row>
    <row r="485" ht="15" customHeight="1">
      <c r="A485" t="inlineStr">
        <is>
          <t>A 60868-2023</t>
        </is>
      </c>
      <c r="B485" s="1" t="n">
        <v>45260</v>
      </c>
      <c r="C485" s="1" t="n">
        <v>45972</v>
      </c>
      <c r="D485" t="inlineStr">
        <is>
          <t>NORRBOTTENS LÄN</t>
        </is>
      </c>
      <c r="E485" t="inlineStr">
        <is>
          <t>GÄLLIVARE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10948-2025</t>
        </is>
      </c>
      <c r="B486" s="1" t="n">
        <v>45723.34453703704</v>
      </c>
      <c r="C486" s="1" t="n">
        <v>45972</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61190-2023</t>
        </is>
      </c>
      <c r="B487" s="1" t="n">
        <v>45264</v>
      </c>
      <c r="C487" s="1" t="n">
        <v>45972</v>
      </c>
      <c r="D487" t="inlineStr">
        <is>
          <t>NORRBOTTENS LÄN</t>
        </is>
      </c>
      <c r="E487" t="inlineStr">
        <is>
          <t>GÄLLIVARE</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55606-2023</t>
        </is>
      </c>
      <c r="B488" s="1" t="n">
        <v>45238</v>
      </c>
      <c r="C488" s="1" t="n">
        <v>45972</v>
      </c>
      <c r="D488" t="inlineStr">
        <is>
          <t>NORRBOTTENS LÄN</t>
        </is>
      </c>
      <c r="E488" t="inlineStr">
        <is>
          <t>GÄLLIVARE</t>
        </is>
      </c>
      <c r="G488" t="n">
        <v>2.4</v>
      </c>
      <c r="H488" t="n">
        <v>0</v>
      </c>
      <c r="I488" t="n">
        <v>0</v>
      </c>
      <c r="J488" t="n">
        <v>0</v>
      </c>
      <c r="K488" t="n">
        <v>0</v>
      </c>
      <c r="L488" t="n">
        <v>0</v>
      </c>
      <c r="M488" t="n">
        <v>0</v>
      </c>
      <c r="N488" t="n">
        <v>0</v>
      </c>
      <c r="O488" t="n">
        <v>0</v>
      </c>
      <c r="P488" t="n">
        <v>0</v>
      </c>
      <c r="Q488" t="n">
        <v>0</v>
      </c>
      <c r="R488" s="2" t="inlineStr"/>
    </row>
    <row r="489" ht="15" customHeight="1">
      <c r="A489" t="inlineStr">
        <is>
          <t>A 29254-2024</t>
        </is>
      </c>
      <c r="B489" s="1" t="n">
        <v>45482</v>
      </c>
      <c r="C489" s="1" t="n">
        <v>45972</v>
      </c>
      <c r="D489" t="inlineStr">
        <is>
          <t>NORRBOTTENS LÄN</t>
        </is>
      </c>
      <c r="E489" t="inlineStr">
        <is>
          <t>GÄLLIVARE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29781-2024</t>
        </is>
      </c>
      <c r="B490" s="1" t="n">
        <v>45485.45442129629</v>
      </c>
      <c r="C490" s="1" t="n">
        <v>45972</v>
      </c>
      <c r="D490" t="inlineStr">
        <is>
          <t>NORRBOTTENS LÄN</t>
        </is>
      </c>
      <c r="E490" t="inlineStr">
        <is>
          <t>GÄLLIVARE</t>
        </is>
      </c>
      <c r="F490" t="inlineStr">
        <is>
          <t>Sveaskog</t>
        </is>
      </c>
      <c r="G490" t="n">
        <v>23.4</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45972</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52887-2023</t>
        </is>
      </c>
      <c r="B492" s="1" t="n">
        <v>45219</v>
      </c>
      <c r="C492" s="1" t="n">
        <v>45972</v>
      </c>
      <c r="D492" t="inlineStr">
        <is>
          <t>NORRBOTTENS LÄN</t>
        </is>
      </c>
      <c r="E492" t="inlineStr">
        <is>
          <t>GÄLLIVARE</t>
        </is>
      </c>
      <c r="F492" t="inlineStr">
        <is>
          <t>Övriga statliga verk och myndigheter</t>
        </is>
      </c>
      <c r="G492" t="n">
        <v>23.1</v>
      </c>
      <c r="H492" t="n">
        <v>0</v>
      </c>
      <c r="I492" t="n">
        <v>0</v>
      </c>
      <c r="J492" t="n">
        <v>0</v>
      </c>
      <c r="K492" t="n">
        <v>0</v>
      </c>
      <c r="L492" t="n">
        <v>0</v>
      </c>
      <c r="M492" t="n">
        <v>0</v>
      </c>
      <c r="N492" t="n">
        <v>0</v>
      </c>
      <c r="O492" t="n">
        <v>0</v>
      </c>
      <c r="P492" t="n">
        <v>0</v>
      </c>
      <c r="Q492" t="n">
        <v>0</v>
      </c>
      <c r="R492" s="2" t="inlineStr"/>
    </row>
    <row r="493" ht="15" customHeight="1">
      <c r="A493" t="inlineStr">
        <is>
          <t>A 35474-2025</t>
        </is>
      </c>
      <c r="B493" s="1" t="n">
        <v>45855</v>
      </c>
      <c r="C493" s="1" t="n">
        <v>45972</v>
      </c>
      <c r="D493" t="inlineStr">
        <is>
          <t>NORRBOTTENS LÄN</t>
        </is>
      </c>
      <c r="E493" t="inlineStr">
        <is>
          <t>GÄLLIVARE</t>
        </is>
      </c>
      <c r="F493" t="inlineStr">
        <is>
          <t>Allmännings- och besparingsskogar</t>
        </is>
      </c>
      <c r="G493" t="n">
        <v>28.5</v>
      </c>
      <c r="H493" t="n">
        <v>0</v>
      </c>
      <c r="I493" t="n">
        <v>0</v>
      </c>
      <c r="J493" t="n">
        <v>0</v>
      </c>
      <c r="K493" t="n">
        <v>0</v>
      </c>
      <c r="L493" t="n">
        <v>0</v>
      </c>
      <c r="M493" t="n">
        <v>0</v>
      </c>
      <c r="N493" t="n">
        <v>0</v>
      </c>
      <c r="O493" t="n">
        <v>0</v>
      </c>
      <c r="P493" t="n">
        <v>0</v>
      </c>
      <c r="Q493" t="n">
        <v>0</v>
      </c>
      <c r="R493" s="2" t="inlineStr"/>
    </row>
    <row r="494" ht="15" customHeight="1">
      <c r="A494" t="inlineStr">
        <is>
          <t>A 35470-2025</t>
        </is>
      </c>
      <c r="B494" s="1" t="n">
        <v>45855</v>
      </c>
      <c r="C494" s="1" t="n">
        <v>45972</v>
      </c>
      <c r="D494" t="inlineStr">
        <is>
          <t>NORRBOTTENS LÄN</t>
        </is>
      </c>
      <c r="E494" t="inlineStr">
        <is>
          <t>GÄLLIVARE</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35472-2025</t>
        </is>
      </c>
      <c r="B495" s="1" t="n">
        <v>45855</v>
      </c>
      <c r="C495" s="1" t="n">
        <v>45972</v>
      </c>
      <c r="D495" t="inlineStr">
        <is>
          <t>NORRBOTTENS LÄN</t>
        </is>
      </c>
      <c r="E495" t="inlineStr">
        <is>
          <t>GÄLLIVARE</t>
        </is>
      </c>
      <c r="F495" t="inlineStr">
        <is>
          <t>Allmännings- och besparingsskogar</t>
        </is>
      </c>
      <c r="G495" t="n">
        <v>5</v>
      </c>
      <c r="H495" t="n">
        <v>0</v>
      </c>
      <c r="I495" t="n">
        <v>0</v>
      </c>
      <c r="J495" t="n">
        <v>0</v>
      </c>
      <c r="K495" t="n">
        <v>0</v>
      </c>
      <c r="L495" t="n">
        <v>0</v>
      </c>
      <c r="M495" t="n">
        <v>0</v>
      </c>
      <c r="N495" t="n">
        <v>0</v>
      </c>
      <c r="O495" t="n">
        <v>0</v>
      </c>
      <c r="P495" t="n">
        <v>0</v>
      </c>
      <c r="Q495" t="n">
        <v>0</v>
      </c>
      <c r="R495" s="2" t="inlineStr"/>
    </row>
    <row r="496" ht="15" customHeight="1">
      <c r="A496" t="inlineStr">
        <is>
          <t>A 14664-2025</t>
        </is>
      </c>
      <c r="B496" s="1" t="n">
        <v>45742</v>
      </c>
      <c r="C496" s="1" t="n">
        <v>45972</v>
      </c>
      <c r="D496" t="inlineStr">
        <is>
          <t>NORRBOTTENS LÄN</t>
        </is>
      </c>
      <c r="E496" t="inlineStr">
        <is>
          <t>GÄLLIVARE</t>
        </is>
      </c>
      <c r="G496" t="n">
        <v>20.8</v>
      </c>
      <c r="H496" t="n">
        <v>0</v>
      </c>
      <c r="I496" t="n">
        <v>0</v>
      </c>
      <c r="J496" t="n">
        <v>0</v>
      </c>
      <c r="K496" t="n">
        <v>0</v>
      </c>
      <c r="L496" t="n">
        <v>0</v>
      </c>
      <c r="M496" t="n">
        <v>0</v>
      </c>
      <c r="N496" t="n">
        <v>0</v>
      </c>
      <c r="O496" t="n">
        <v>0</v>
      </c>
      <c r="P496" t="n">
        <v>0</v>
      </c>
      <c r="Q496" t="n">
        <v>0</v>
      </c>
      <c r="R496" s="2" t="inlineStr"/>
    </row>
    <row r="497" ht="15" customHeight="1">
      <c r="A497" t="inlineStr">
        <is>
          <t>A 35471-2025</t>
        </is>
      </c>
      <c r="B497" s="1" t="n">
        <v>45855</v>
      </c>
      <c r="C497" s="1" t="n">
        <v>45972</v>
      </c>
      <c r="D497" t="inlineStr">
        <is>
          <t>NORRBOTTENS LÄN</t>
        </is>
      </c>
      <c r="E497" t="inlineStr">
        <is>
          <t>GÄLLIVARE</t>
        </is>
      </c>
      <c r="F497" t="inlineStr">
        <is>
          <t>Allmännings- och besparingsskogar</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53993-2025</t>
        </is>
      </c>
      <c r="B498" s="1" t="n">
        <v>45961.58293981481</v>
      </c>
      <c r="C498" s="1" t="n">
        <v>45972</v>
      </c>
      <c r="D498" t="inlineStr">
        <is>
          <t>NORRBOTTENS LÄN</t>
        </is>
      </c>
      <c r="E498" t="inlineStr">
        <is>
          <t>GÄLLIVARE</t>
        </is>
      </c>
      <c r="F498" t="inlineStr">
        <is>
          <t>Sveaskog</t>
        </is>
      </c>
      <c r="G498" t="n">
        <v>11.8</v>
      </c>
      <c r="H498" t="n">
        <v>0</v>
      </c>
      <c r="I498" t="n">
        <v>0</v>
      </c>
      <c r="J498" t="n">
        <v>0</v>
      </c>
      <c r="K498" t="n">
        <v>0</v>
      </c>
      <c r="L498" t="n">
        <v>0</v>
      </c>
      <c r="M498" t="n">
        <v>0</v>
      </c>
      <c r="N498" t="n">
        <v>0</v>
      </c>
      <c r="O498" t="n">
        <v>0</v>
      </c>
      <c r="P498" t="n">
        <v>0</v>
      </c>
      <c r="Q498" t="n">
        <v>0</v>
      </c>
      <c r="R498" s="2" t="inlineStr"/>
    </row>
    <row r="499" ht="15" customHeight="1">
      <c r="A499" t="inlineStr">
        <is>
          <t>A 45387-2025</t>
        </is>
      </c>
      <c r="B499" s="1" t="n">
        <v>45922</v>
      </c>
      <c r="C499" s="1" t="n">
        <v>45972</v>
      </c>
      <c r="D499" t="inlineStr">
        <is>
          <t>NORRBOTTENS LÄN</t>
        </is>
      </c>
      <c r="E499" t="inlineStr">
        <is>
          <t>GÄLLIVARE</t>
        </is>
      </c>
      <c r="F499" t="inlineStr">
        <is>
          <t>SCA</t>
        </is>
      </c>
      <c r="G499" t="n">
        <v>28.4</v>
      </c>
      <c r="H499" t="n">
        <v>0</v>
      </c>
      <c r="I499" t="n">
        <v>0</v>
      </c>
      <c r="J499" t="n">
        <v>0</v>
      </c>
      <c r="K499" t="n">
        <v>0</v>
      </c>
      <c r="L499" t="n">
        <v>0</v>
      </c>
      <c r="M499" t="n">
        <v>0</v>
      </c>
      <c r="N499" t="n">
        <v>0</v>
      </c>
      <c r="O499" t="n">
        <v>0</v>
      </c>
      <c r="P499" t="n">
        <v>0</v>
      </c>
      <c r="Q499" t="n">
        <v>0</v>
      </c>
      <c r="R499" s="2" t="inlineStr"/>
    </row>
    <row r="500" ht="15" customHeight="1">
      <c r="A500" t="inlineStr">
        <is>
          <t>A 35949-2025</t>
        </is>
      </c>
      <c r="B500" s="1" t="n">
        <v>45862</v>
      </c>
      <c r="C500" s="1" t="n">
        <v>45972</v>
      </c>
      <c r="D500" t="inlineStr">
        <is>
          <t>NORRBOTTENS LÄN</t>
        </is>
      </c>
      <c r="E500" t="inlineStr">
        <is>
          <t>GÄLLIVARE</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53099-2025</t>
        </is>
      </c>
      <c r="B501" s="1" t="n">
        <v>45958</v>
      </c>
      <c r="C501" s="1" t="n">
        <v>45972</v>
      </c>
      <c r="D501" t="inlineStr">
        <is>
          <t>NORRBOTTENS LÄN</t>
        </is>
      </c>
      <c r="E501" t="inlineStr">
        <is>
          <t>GÄLLIVARE</t>
        </is>
      </c>
      <c r="G501" t="n">
        <v>12.6</v>
      </c>
      <c r="H501" t="n">
        <v>0</v>
      </c>
      <c r="I501" t="n">
        <v>0</v>
      </c>
      <c r="J501" t="n">
        <v>0</v>
      </c>
      <c r="K501" t="n">
        <v>0</v>
      </c>
      <c r="L501" t="n">
        <v>0</v>
      </c>
      <c r="M501" t="n">
        <v>0</v>
      </c>
      <c r="N501" t="n">
        <v>0</v>
      </c>
      <c r="O501" t="n">
        <v>0</v>
      </c>
      <c r="P501" t="n">
        <v>0</v>
      </c>
      <c r="Q501" t="n">
        <v>0</v>
      </c>
      <c r="R501" s="2" t="inlineStr"/>
    </row>
    <row r="502" ht="15" customHeight="1">
      <c r="A502" t="inlineStr">
        <is>
          <t>A 36137-2025</t>
        </is>
      </c>
      <c r="B502" s="1" t="n">
        <v>45866.64355324074</v>
      </c>
      <c r="C502" s="1" t="n">
        <v>45972</v>
      </c>
      <c r="D502" t="inlineStr">
        <is>
          <t>NORRBOTTENS LÄN</t>
        </is>
      </c>
      <c r="E502" t="inlineStr">
        <is>
          <t>GÄLLIVARE</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838-2025</t>
        </is>
      </c>
      <c r="B503" s="1" t="n">
        <v>45665</v>
      </c>
      <c r="C503" s="1" t="n">
        <v>45972</v>
      </c>
      <c r="D503" t="inlineStr">
        <is>
          <t>NORRBOTTENS LÄN</t>
        </is>
      </c>
      <c r="E503" t="inlineStr">
        <is>
          <t>GÄLLIVARE</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36321-2025</t>
        </is>
      </c>
      <c r="B504" s="1" t="n">
        <v>45868</v>
      </c>
      <c r="C504" s="1" t="n">
        <v>45972</v>
      </c>
      <c r="D504" t="inlineStr">
        <is>
          <t>NORRBOTTENS LÄN</t>
        </is>
      </c>
      <c r="E504" t="inlineStr">
        <is>
          <t>GÄLLIVARE</t>
        </is>
      </c>
      <c r="F504" t="inlineStr">
        <is>
          <t>Sveaskog</t>
        </is>
      </c>
      <c r="G504" t="n">
        <v>6.2</v>
      </c>
      <c r="H504" t="n">
        <v>0</v>
      </c>
      <c r="I504" t="n">
        <v>0</v>
      </c>
      <c r="J504" t="n">
        <v>0</v>
      </c>
      <c r="K504" t="n">
        <v>0</v>
      </c>
      <c r="L504" t="n">
        <v>0</v>
      </c>
      <c r="M504" t="n">
        <v>0</v>
      </c>
      <c r="N504" t="n">
        <v>0</v>
      </c>
      <c r="O504" t="n">
        <v>0</v>
      </c>
      <c r="P504" t="n">
        <v>0</v>
      </c>
      <c r="Q504" t="n">
        <v>0</v>
      </c>
      <c r="R504" s="2" t="inlineStr"/>
    </row>
    <row r="505" ht="15" customHeight="1">
      <c r="A505" t="inlineStr">
        <is>
          <t>A 36326-2025</t>
        </is>
      </c>
      <c r="B505" s="1" t="n">
        <v>45868.42105324074</v>
      </c>
      <c r="C505" s="1" t="n">
        <v>45972</v>
      </c>
      <c r="D505" t="inlineStr">
        <is>
          <t>NORRBOTTENS LÄN</t>
        </is>
      </c>
      <c r="E505" t="inlineStr">
        <is>
          <t>GÄLLIVARE</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36344-2025</t>
        </is>
      </c>
      <c r="B506" s="1" t="n">
        <v>45868.47358796297</v>
      </c>
      <c r="C506" s="1" t="n">
        <v>45972</v>
      </c>
      <c r="D506" t="inlineStr">
        <is>
          <t>NORRBOTTENS LÄN</t>
        </is>
      </c>
      <c r="E506" t="inlineStr">
        <is>
          <t>GÄLLIVARE</t>
        </is>
      </c>
      <c r="F506" t="inlineStr">
        <is>
          <t>Sveaskog</t>
        </is>
      </c>
      <c r="G506" t="n">
        <v>21.2</v>
      </c>
      <c r="H506" t="n">
        <v>0</v>
      </c>
      <c r="I506" t="n">
        <v>0</v>
      </c>
      <c r="J506" t="n">
        <v>0</v>
      </c>
      <c r="K506" t="n">
        <v>0</v>
      </c>
      <c r="L506" t="n">
        <v>0</v>
      </c>
      <c r="M506" t="n">
        <v>0</v>
      </c>
      <c r="N506" t="n">
        <v>0</v>
      </c>
      <c r="O506" t="n">
        <v>0</v>
      </c>
      <c r="P506" t="n">
        <v>0</v>
      </c>
      <c r="Q506" t="n">
        <v>0</v>
      </c>
      <c r="R506" s="2" t="inlineStr"/>
    </row>
    <row r="507" ht="15" customHeight="1">
      <c r="A507" t="inlineStr">
        <is>
          <t>A 36348-2025</t>
        </is>
      </c>
      <c r="B507" s="1" t="n">
        <v>45868.4797337963</v>
      </c>
      <c r="C507" s="1" t="n">
        <v>45972</v>
      </c>
      <c r="D507" t="inlineStr">
        <is>
          <t>NORRBOTTENS LÄN</t>
        </is>
      </c>
      <c r="E507" t="inlineStr">
        <is>
          <t>GÄLLIVARE</t>
        </is>
      </c>
      <c r="F507" t="inlineStr">
        <is>
          <t>Sveaskog</t>
        </is>
      </c>
      <c r="G507" t="n">
        <v>6.3</v>
      </c>
      <c r="H507" t="n">
        <v>0</v>
      </c>
      <c r="I507" t="n">
        <v>0</v>
      </c>
      <c r="J507" t="n">
        <v>0</v>
      </c>
      <c r="K507" t="n">
        <v>0</v>
      </c>
      <c r="L507" t="n">
        <v>0</v>
      </c>
      <c r="M507" t="n">
        <v>0</v>
      </c>
      <c r="N507" t="n">
        <v>0</v>
      </c>
      <c r="O507" t="n">
        <v>0</v>
      </c>
      <c r="P507" t="n">
        <v>0</v>
      </c>
      <c r="Q507" t="n">
        <v>0</v>
      </c>
      <c r="R507" s="2" t="inlineStr"/>
    </row>
    <row r="508" ht="15" customHeight="1">
      <c r="A508" t="inlineStr">
        <is>
          <t>A 36332-2025</t>
        </is>
      </c>
      <c r="B508" s="1" t="n">
        <v>45868</v>
      </c>
      <c r="C508" s="1" t="n">
        <v>45972</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26435-2024</t>
        </is>
      </c>
      <c r="B509" s="1" t="n">
        <v>45469.48792824074</v>
      </c>
      <c r="C509" s="1" t="n">
        <v>45972</v>
      </c>
      <c r="D509" t="inlineStr">
        <is>
          <t>NORRBOTTENS LÄN</t>
        </is>
      </c>
      <c r="E509" t="inlineStr">
        <is>
          <t>GÄLLIVARE</t>
        </is>
      </c>
      <c r="G509" t="n">
        <v>31.9</v>
      </c>
      <c r="H509" t="n">
        <v>0</v>
      </c>
      <c r="I509" t="n">
        <v>0</v>
      </c>
      <c r="J509" t="n">
        <v>0</v>
      </c>
      <c r="K509" t="n">
        <v>0</v>
      </c>
      <c r="L509" t="n">
        <v>0</v>
      </c>
      <c r="M509" t="n">
        <v>0</v>
      </c>
      <c r="N509" t="n">
        <v>0</v>
      </c>
      <c r="O509" t="n">
        <v>0</v>
      </c>
      <c r="P509" t="n">
        <v>0</v>
      </c>
      <c r="Q509" t="n">
        <v>0</v>
      </c>
      <c r="R509" s="2" t="inlineStr"/>
    </row>
    <row r="510" ht="15" customHeight="1">
      <c r="A510" t="inlineStr">
        <is>
          <t>A 36346-2025</t>
        </is>
      </c>
      <c r="B510" s="1" t="n">
        <v>45868.47645833333</v>
      </c>
      <c r="C510" s="1" t="n">
        <v>45972</v>
      </c>
      <c r="D510" t="inlineStr">
        <is>
          <t>NORRBOTTENS LÄN</t>
        </is>
      </c>
      <c r="E510" t="inlineStr">
        <is>
          <t>GÄLLIVARE</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36351-2025</t>
        </is>
      </c>
      <c r="B511" s="1" t="n">
        <v>45868.48922453704</v>
      </c>
      <c r="C511" s="1" t="n">
        <v>45972</v>
      </c>
      <c r="D511" t="inlineStr">
        <is>
          <t>NORRBOTTENS LÄN</t>
        </is>
      </c>
      <c r="E511" t="inlineStr">
        <is>
          <t>GÄLLIVARE</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28646-2023</t>
        </is>
      </c>
      <c r="B512" s="1" t="n">
        <v>45096</v>
      </c>
      <c r="C512" s="1" t="n">
        <v>45972</v>
      </c>
      <c r="D512" t="inlineStr">
        <is>
          <t>NORRBOTTENS LÄN</t>
        </is>
      </c>
      <c r="E512" t="inlineStr">
        <is>
          <t>GÄLLIVARE</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36556-2025</t>
        </is>
      </c>
      <c r="B513" s="1" t="n">
        <v>45870.34478009259</v>
      </c>
      <c r="C513" s="1" t="n">
        <v>45972</v>
      </c>
      <c r="D513" t="inlineStr">
        <is>
          <t>NORRBOTTENS LÄN</t>
        </is>
      </c>
      <c r="E513" t="inlineStr">
        <is>
          <t>GÄLLIVARE</t>
        </is>
      </c>
      <c r="G513" t="n">
        <v>7.3</v>
      </c>
      <c r="H513" t="n">
        <v>0</v>
      </c>
      <c r="I513" t="n">
        <v>0</v>
      </c>
      <c r="J513" t="n">
        <v>0</v>
      </c>
      <c r="K513" t="n">
        <v>0</v>
      </c>
      <c r="L513" t="n">
        <v>0</v>
      </c>
      <c r="M513" t="n">
        <v>0</v>
      </c>
      <c r="N513" t="n">
        <v>0</v>
      </c>
      <c r="O513" t="n">
        <v>0</v>
      </c>
      <c r="P513" t="n">
        <v>0</v>
      </c>
      <c r="Q513" t="n">
        <v>0</v>
      </c>
      <c r="R513" s="2" t="inlineStr"/>
    </row>
    <row r="514" ht="15" customHeight="1">
      <c r="A514" t="inlineStr">
        <is>
          <t>A 36557-2025</t>
        </is>
      </c>
      <c r="B514" s="1" t="n">
        <v>45870.34482638889</v>
      </c>
      <c r="C514" s="1" t="n">
        <v>45972</v>
      </c>
      <c r="D514" t="inlineStr">
        <is>
          <t>NORRBOTTENS LÄN</t>
        </is>
      </c>
      <c r="E514" t="inlineStr">
        <is>
          <t>GÄLLIVARE</t>
        </is>
      </c>
      <c r="G514" t="n">
        <v>2</v>
      </c>
      <c r="H514" t="n">
        <v>0</v>
      </c>
      <c r="I514" t="n">
        <v>0</v>
      </c>
      <c r="J514" t="n">
        <v>0</v>
      </c>
      <c r="K514" t="n">
        <v>0</v>
      </c>
      <c r="L514" t="n">
        <v>0</v>
      </c>
      <c r="M514" t="n">
        <v>0</v>
      </c>
      <c r="N514" t="n">
        <v>0</v>
      </c>
      <c r="O514" t="n">
        <v>0</v>
      </c>
      <c r="P514" t="n">
        <v>0</v>
      </c>
      <c r="Q514" t="n">
        <v>0</v>
      </c>
      <c r="R514" s="2" t="inlineStr"/>
    </row>
    <row r="515" ht="15" customHeight="1">
      <c r="A515" t="inlineStr">
        <is>
          <t>A 36623-2025</t>
        </is>
      </c>
      <c r="B515" s="1" t="n">
        <v>45870.65719907408</v>
      </c>
      <c r="C515" s="1" t="n">
        <v>45972</v>
      </c>
      <c r="D515" t="inlineStr">
        <is>
          <t>NORRBOTTENS LÄN</t>
        </is>
      </c>
      <c r="E515" t="inlineStr">
        <is>
          <t>GÄLLIVARE</t>
        </is>
      </c>
      <c r="G515" t="n">
        <v>2.5</v>
      </c>
      <c r="H515" t="n">
        <v>0</v>
      </c>
      <c r="I515" t="n">
        <v>0</v>
      </c>
      <c r="J515" t="n">
        <v>0</v>
      </c>
      <c r="K515" t="n">
        <v>0</v>
      </c>
      <c r="L515" t="n">
        <v>0</v>
      </c>
      <c r="M515" t="n">
        <v>0</v>
      </c>
      <c r="N515" t="n">
        <v>0</v>
      </c>
      <c r="O515" t="n">
        <v>0</v>
      </c>
      <c r="P515" t="n">
        <v>0</v>
      </c>
      <c r="Q515" t="n">
        <v>0</v>
      </c>
      <c r="R515" s="2" t="inlineStr"/>
    </row>
    <row r="516" ht="15" customHeight="1">
      <c r="A516" t="inlineStr">
        <is>
          <t>A 36555-2025</t>
        </is>
      </c>
      <c r="B516" s="1" t="n">
        <v>45870.34471064815</v>
      </c>
      <c r="C516" s="1" t="n">
        <v>45972</v>
      </c>
      <c r="D516" t="inlineStr">
        <is>
          <t>NORRBOTTENS LÄN</t>
        </is>
      </c>
      <c r="E516" t="inlineStr">
        <is>
          <t>GÄLLIVARE</t>
        </is>
      </c>
      <c r="G516" t="n">
        <v>9.4</v>
      </c>
      <c r="H516" t="n">
        <v>0</v>
      </c>
      <c r="I516" t="n">
        <v>0</v>
      </c>
      <c r="J516" t="n">
        <v>0</v>
      </c>
      <c r="K516" t="n">
        <v>0</v>
      </c>
      <c r="L516" t="n">
        <v>0</v>
      </c>
      <c r="M516" t="n">
        <v>0</v>
      </c>
      <c r="N516" t="n">
        <v>0</v>
      </c>
      <c r="O516" t="n">
        <v>0</v>
      </c>
      <c r="P516" t="n">
        <v>0</v>
      </c>
      <c r="Q516" t="n">
        <v>0</v>
      </c>
      <c r="R516" s="2" t="inlineStr"/>
    </row>
    <row r="517" ht="15" customHeight="1">
      <c r="A517" t="inlineStr">
        <is>
          <t>A 25935-2024</t>
        </is>
      </c>
      <c r="B517" s="1" t="n">
        <v>45467</v>
      </c>
      <c r="C517" s="1" t="n">
        <v>45972</v>
      </c>
      <c r="D517" t="inlineStr">
        <is>
          <t>NORRBOTTENS LÄN</t>
        </is>
      </c>
      <c r="E517" t="inlineStr">
        <is>
          <t>GÄLLIVARE</t>
        </is>
      </c>
      <c r="F517" t="inlineStr">
        <is>
          <t>Allmännings- och besparingsskogar</t>
        </is>
      </c>
      <c r="G517" t="n">
        <v>11</v>
      </c>
      <c r="H517" t="n">
        <v>0</v>
      </c>
      <c r="I517" t="n">
        <v>0</v>
      </c>
      <c r="J517" t="n">
        <v>0</v>
      </c>
      <c r="K517" t="n">
        <v>0</v>
      </c>
      <c r="L517" t="n">
        <v>0</v>
      </c>
      <c r="M517" t="n">
        <v>0</v>
      </c>
      <c r="N517" t="n">
        <v>0</v>
      </c>
      <c r="O517" t="n">
        <v>0</v>
      </c>
      <c r="P517" t="n">
        <v>0</v>
      </c>
      <c r="Q517" t="n">
        <v>0</v>
      </c>
      <c r="R517" s="2" t="inlineStr"/>
    </row>
    <row r="518" ht="15" customHeight="1">
      <c r="A518" t="inlineStr">
        <is>
          <t>A 36552-2025</t>
        </is>
      </c>
      <c r="B518" s="1" t="n">
        <v>45870.34417824074</v>
      </c>
      <c r="C518" s="1" t="n">
        <v>45972</v>
      </c>
      <c r="D518" t="inlineStr">
        <is>
          <t>NORRBOTTENS LÄN</t>
        </is>
      </c>
      <c r="E518" t="inlineStr">
        <is>
          <t>GÄLLIVARE</t>
        </is>
      </c>
      <c r="F518" t="inlineStr">
        <is>
          <t>SCA</t>
        </is>
      </c>
      <c r="G518" t="n">
        <v>9.4</v>
      </c>
      <c r="H518" t="n">
        <v>0</v>
      </c>
      <c r="I518" t="n">
        <v>0</v>
      </c>
      <c r="J518" t="n">
        <v>0</v>
      </c>
      <c r="K518" t="n">
        <v>0</v>
      </c>
      <c r="L518" t="n">
        <v>0</v>
      </c>
      <c r="M518" t="n">
        <v>0</v>
      </c>
      <c r="N518" t="n">
        <v>0</v>
      </c>
      <c r="O518" t="n">
        <v>0</v>
      </c>
      <c r="P518" t="n">
        <v>0</v>
      </c>
      <c r="Q518" t="n">
        <v>0</v>
      </c>
      <c r="R518" s="2" t="inlineStr"/>
    </row>
    <row r="519" ht="15" customHeight="1">
      <c r="A519" t="inlineStr">
        <is>
          <t>A 36560-2025</t>
        </is>
      </c>
      <c r="B519" s="1" t="n">
        <v>45870.36483796296</v>
      </c>
      <c r="C519" s="1" t="n">
        <v>45972</v>
      </c>
      <c r="D519" t="inlineStr">
        <is>
          <t>NORRBOTTENS LÄN</t>
        </is>
      </c>
      <c r="E519" t="inlineStr">
        <is>
          <t>GÄLLIVARE</t>
        </is>
      </c>
      <c r="G519" t="n">
        <v>6.9</v>
      </c>
      <c r="H519" t="n">
        <v>0</v>
      </c>
      <c r="I519" t="n">
        <v>0</v>
      </c>
      <c r="J519" t="n">
        <v>0</v>
      </c>
      <c r="K519" t="n">
        <v>0</v>
      </c>
      <c r="L519" t="n">
        <v>0</v>
      </c>
      <c r="M519" t="n">
        <v>0</v>
      </c>
      <c r="N519" t="n">
        <v>0</v>
      </c>
      <c r="O519" t="n">
        <v>0</v>
      </c>
      <c r="P519" t="n">
        <v>0</v>
      </c>
      <c r="Q519" t="n">
        <v>0</v>
      </c>
      <c r="R519" s="2" t="inlineStr"/>
    </row>
    <row r="520" ht="15" customHeight="1">
      <c r="A520" t="inlineStr">
        <is>
          <t>A 36624-2025</t>
        </is>
      </c>
      <c r="B520" s="1" t="n">
        <v>45870.65721064815</v>
      </c>
      <c r="C520" s="1" t="n">
        <v>45972</v>
      </c>
      <c r="D520" t="inlineStr">
        <is>
          <t>NORRBOTTENS LÄN</t>
        </is>
      </c>
      <c r="E520" t="inlineStr">
        <is>
          <t>GÄLLIVARE</t>
        </is>
      </c>
      <c r="G520" t="n">
        <v>1.4</v>
      </c>
      <c r="H520" t="n">
        <v>0</v>
      </c>
      <c r="I520" t="n">
        <v>0</v>
      </c>
      <c r="J520" t="n">
        <v>0</v>
      </c>
      <c r="K520" t="n">
        <v>0</v>
      </c>
      <c r="L520" t="n">
        <v>0</v>
      </c>
      <c r="M520" t="n">
        <v>0</v>
      </c>
      <c r="N520" t="n">
        <v>0</v>
      </c>
      <c r="O520" t="n">
        <v>0</v>
      </c>
      <c r="P520" t="n">
        <v>0</v>
      </c>
      <c r="Q520" t="n">
        <v>0</v>
      </c>
      <c r="R520" s="2" t="inlineStr"/>
    </row>
    <row r="521" ht="15" customHeight="1">
      <c r="A521" t="inlineStr">
        <is>
          <t>A 36625-2025</t>
        </is>
      </c>
      <c r="B521" s="1" t="n">
        <v>45870.65722222222</v>
      </c>
      <c r="C521" s="1" t="n">
        <v>45972</v>
      </c>
      <c r="D521" t="inlineStr">
        <is>
          <t>NORRBOTTENS LÄN</t>
        </is>
      </c>
      <c r="E521" t="inlineStr">
        <is>
          <t>GÄLLIVARE</t>
        </is>
      </c>
      <c r="G521" t="n">
        <v>1.9</v>
      </c>
      <c r="H521" t="n">
        <v>0</v>
      </c>
      <c r="I521" t="n">
        <v>0</v>
      </c>
      <c r="J521" t="n">
        <v>0</v>
      </c>
      <c r="K521" t="n">
        <v>0</v>
      </c>
      <c r="L521" t="n">
        <v>0</v>
      </c>
      <c r="M521" t="n">
        <v>0</v>
      </c>
      <c r="N521" t="n">
        <v>0</v>
      </c>
      <c r="O521" t="n">
        <v>0</v>
      </c>
      <c r="P521" t="n">
        <v>0</v>
      </c>
      <c r="Q521" t="n">
        <v>0</v>
      </c>
      <c r="R521" s="2" t="inlineStr"/>
    </row>
    <row r="522" ht="15" customHeight="1">
      <c r="A522" t="inlineStr">
        <is>
          <t>A 36568-2025</t>
        </is>
      </c>
      <c r="B522" s="1" t="n">
        <v>45870</v>
      </c>
      <c r="C522" s="1" t="n">
        <v>45972</v>
      </c>
      <c r="D522" t="inlineStr">
        <is>
          <t>NORRBOTTENS LÄN</t>
        </is>
      </c>
      <c r="E522" t="inlineStr">
        <is>
          <t>GÄLLIVARE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36554-2025</t>
        </is>
      </c>
      <c r="B523" s="1" t="n">
        <v>45870</v>
      </c>
      <c r="C523" s="1" t="n">
        <v>45972</v>
      </c>
      <c r="D523" t="inlineStr">
        <is>
          <t>NORRBOTTENS LÄN</t>
        </is>
      </c>
      <c r="E523" t="inlineStr">
        <is>
          <t>GÄLLIVARE</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36924-2025</t>
        </is>
      </c>
      <c r="B524" s="1" t="n">
        <v>45874.54712962963</v>
      </c>
      <c r="C524" s="1" t="n">
        <v>45972</v>
      </c>
      <c r="D524" t="inlineStr">
        <is>
          <t>NORRBOTTENS LÄN</t>
        </is>
      </c>
      <c r="E524" t="inlineStr">
        <is>
          <t>GÄLLIVARE</t>
        </is>
      </c>
      <c r="F524" t="inlineStr">
        <is>
          <t>Sveaskog</t>
        </is>
      </c>
      <c r="G524" t="n">
        <v>15.4</v>
      </c>
      <c r="H524" t="n">
        <v>0</v>
      </c>
      <c r="I524" t="n">
        <v>0</v>
      </c>
      <c r="J524" t="n">
        <v>0</v>
      </c>
      <c r="K524" t="n">
        <v>0</v>
      </c>
      <c r="L524" t="n">
        <v>0</v>
      </c>
      <c r="M524" t="n">
        <v>0</v>
      </c>
      <c r="N524" t="n">
        <v>0</v>
      </c>
      <c r="O524" t="n">
        <v>0</v>
      </c>
      <c r="P524" t="n">
        <v>0</v>
      </c>
      <c r="Q524" t="n">
        <v>0</v>
      </c>
      <c r="R524" s="2" t="inlineStr"/>
    </row>
    <row r="525" ht="15" customHeight="1">
      <c r="A525" t="inlineStr">
        <is>
          <t>A 36868-2025</t>
        </is>
      </c>
      <c r="B525" s="1" t="n">
        <v>45874</v>
      </c>
      <c r="C525" s="1" t="n">
        <v>45972</v>
      </c>
      <c r="D525" t="inlineStr">
        <is>
          <t>NORRBOTTENS LÄN</t>
        </is>
      </c>
      <c r="E525" t="inlineStr">
        <is>
          <t>GÄLLIVARE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36997-2025</t>
        </is>
      </c>
      <c r="B526" s="1" t="n">
        <v>45874.67802083334</v>
      </c>
      <c r="C526" s="1" t="n">
        <v>45972</v>
      </c>
      <c r="D526" t="inlineStr">
        <is>
          <t>NORRBOTTENS LÄN</t>
        </is>
      </c>
      <c r="E526" t="inlineStr">
        <is>
          <t>GÄLLIVARE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36904-2025</t>
        </is>
      </c>
      <c r="B527" s="1" t="n">
        <v>45874.49055555555</v>
      </c>
      <c r="C527" s="1" t="n">
        <v>45972</v>
      </c>
      <c r="D527" t="inlineStr">
        <is>
          <t>NORRBOTTENS LÄN</t>
        </is>
      </c>
      <c r="E527" t="inlineStr">
        <is>
          <t>GÄLLIVARE</t>
        </is>
      </c>
      <c r="F527" t="inlineStr">
        <is>
          <t>Sveaskog</t>
        </is>
      </c>
      <c r="G527" t="n">
        <v>45.8</v>
      </c>
      <c r="H527" t="n">
        <v>0</v>
      </c>
      <c r="I527" t="n">
        <v>0</v>
      </c>
      <c r="J527" t="n">
        <v>0</v>
      </c>
      <c r="K527" t="n">
        <v>0</v>
      </c>
      <c r="L527" t="n">
        <v>0</v>
      </c>
      <c r="M527" t="n">
        <v>0</v>
      </c>
      <c r="N527" t="n">
        <v>0</v>
      </c>
      <c r="O527" t="n">
        <v>0</v>
      </c>
      <c r="P527" t="n">
        <v>0</v>
      </c>
      <c r="Q527" t="n">
        <v>0</v>
      </c>
      <c r="R527" s="2" t="inlineStr"/>
    </row>
    <row r="528" ht="15" customHeight="1">
      <c r="A528" t="inlineStr">
        <is>
          <t>A 25923-2024</t>
        </is>
      </c>
      <c r="B528" s="1" t="n">
        <v>45467</v>
      </c>
      <c r="C528" s="1" t="n">
        <v>45972</v>
      </c>
      <c r="D528" t="inlineStr">
        <is>
          <t>NORRBOTTENS LÄN</t>
        </is>
      </c>
      <c r="E528" t="inlineStr">
        <is>
          <t>GÄLLIVARE</t>
        </is>
      </c>
      <c r="F528" t="inlineStr">
        <is>
          <t>Allmännings- och besparingsskogar</t>
        </is>
      </c>
      <c r="G528" t="n">
        <v>15.1</v>
      </c>
      <c r="H528" t="n">
        <v>0</v>
      </c>
      <c r="I528" t="n">
        <v>0</v>
      </c>
      <c r="J528" t="n">
        <v>0</v>
      </c>
      <c r="K528" t="n">
        <v>0</v>
      </c>
      <c r="L528" t="n">
        <v>0</v>
      </c>
      <c r="M528" t="n">
        <v>0</v>
      </c>
      <c r="N528" t="n">
        <v>0</v>
      </c>
      <c r="O528" t="n">
        <v>0</v>
      </c>
      <c r="P528" t="n">
        <v>0</v>
      </c>
      <c r="Q528" t="n">
        <v>0</v>
      </c>
      <c r="R528" s="2" t="inlineStr"/>
    </row>
    <row r="529" ht="15" customHeight="1">
      <c r="A529" t="inlineStr">
        <is>
          <t>A 54622-2025</t>
        </is>
      </c>
      <c r="B529" s="1" t="n">
        <v>45966.34513888889</v>
      </c>
      <c r="C529" s="1" t="n">
        <v>45972</v>
      </c>
      <c r="D529" t="inlineStr">
        <is>
          <t>NORRBOTTENS LÄN</t>
        </is>
      </c>
      <c r="E529" t="inlineStr">
        <is>
          <t>GÄLLIVARE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24457-2025</t>
        </is>
      </c>
      <c r="B530" s="1" t="n">
        <v>45798</v>
      </c>
      <c r="C530" s="1" t="n">
        <v>45972</v>
      </c>
      <c r="D530" t="inlineStr">
        <is>
          <t>NORRBOTTENS LÄN</t>
        </is>
      </c>
      <c r="E530" t="inlineStr">
        <is>
          <t>GÄLLIVARE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61468-2024</t>
        </is>
      </c>
      <c r="B531" s="1" t="n">
        <v>45646</v>
      </c>
      <c r="C531" s="1" t="n">
        <v>45972</v>
      </c>
      <c r="D531" t="inlineStr">
        <is>
          <t>NORRBOTTENS LÄN</t>
        </is>
      </c>
      <c r="E531" t="inlineStr">
        <is>
          <t>GÄLLIVARE</t>
        </is>
      </c>
      <c r="G531" t="n">
        <v>1.5</v>
      </c>
      <c r="H531" t="n">
        <v>0</v>
      </c>
      <c r="I531" t="n">
        <v>0</v>
      </c>
      <c r="J531" t="n">
        <v>0</v>
      </c>
      <c r="K531" t="n">
        <v>0</v>
      </c>
      <c r="L531" t="n">
        <v>0</v>
      </c>
      <c r="M531" t="n">
        <v>0</v>
      </c>
      <c r="N531" t="n">
        <v>0</v>
      </c>
      <c r="O531" t="n">
        <v>0</v>
      </c>
      <c r="P531" t="n">
        <v>0</v>
      </c>
      <c r="Q531" t="n">
        <v>0</v>
      </c>
      <c r="R531" s="2" t="inlineStr"/>
    </row>
    <row r="532" ht="15" customHeight="1">
      <c r="A532" t="inlineStr">
        <is>
          <t>A 37021-2025</t>
        </is>
      </c>
      <c r="B532" s="1" t="n">
        <v>45874</v>
      </c>
      <c r="C532" s="1" t="n">
        <v>45972</v>
      </c>
      <c r="D532" t="inlineStr">
        <is>
          <t>NORRBOTTENS LÄN</t>
        </is>
      </c>
      <c r="E532" t="inlineStr">
        <is>
          <t>GÄLLIVARE</t>
        </is>
      </c>
      <c r="F532" t="inlineStr">
        <is>
          <t>Allmännings- och besparingsskogar</t>
        </is>
      </c>
      <c r="G532" t="n">
        <v>40.5</v>
      </c>
      <c r="H532" t="n">
        <v>0</v>
      </c>
      <c r="I532" t="n">
        <v>0</v>
      </c>
      <c r="J532" t="n">
        <v>0</v>
      </c>
      <c r="K532" t="n">
        <v>0</v>
      </c>
      <c r="L532" t="n">
        <v>0</v>
      </c>
      <c r="M532" t="n">
        <v>0</v>
      </c>
      <c r="N532" t="n">
        <v>0</v>
      </c>
      <c r="O532" t="n">
        <v>0</v>
      </c>
      <c r="P532" t="n">
        <v>0</v>
      </c>
      <c r="Q532" t="n">
        <v>0</v>
      </c>
      <c r="R532" s="2" t="inlineStr"/>
    </row>
    <row r="533" ht="15" customHeight="1">
      <c r="A533" t="inlineStr">
        <is>
          <t>A 36790-2025</t>
        </is>
      </c>
      <c r="B533" s="1" t="n">
        <v>45873.63587962963</v>
      </c>
      <c r="C533" s="1" t="n">
        <v>45972</v>
      </c>
      <c r="D533" t="inlineStr">
        <is>
          <t>NORRBOTTENS LÄN</t>
        </is>
      </c>
      <c r="E533" t="inlineStr">
        <is>
          <t>GÄLLIVARE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37021-2025</t>
        </is>
      </c>
      <c r="B534" s="1" t="n">
        <v>45874</v>
      </c>
      <c r="C534" s="1" t="n">
        <v>45972</v>
      </c>
      <c r="D534" t="inlineStr">
        <is>
          <t>NORRBOTTENS LÄN</t>
        </is>
      </c>
      <c r="E534" t="inlineStr">
        <is>
          <t>GÄLLIVARE</t>
        </is>
      </c>
      <c r="F534" t="inlineStr">
        <is>
          <t>Allmännings- och besparingsskogar</t>
        </is>
      </c>
      <c r="G534" t="n">
        <v>1.3</v>
      </c>
      <c r="H534" t="n">
        <v>0</v>
      </c>
      <c r="I534" t="n">
        <v>0</v>
      </c>
      <c r="J534" t="n">
        <v>0</v>
      </c>
      <c r="K534" t="n">
        <v>0</v>
      </c>
      <c r="L534" t="n">
        <v>0</v>
      </c>
      <c r="M534" t="n">
        <v>0</v>
      </c>
      <c r="N534" t="n">
        <v>0</v>
      </c>
      <c r="O534" t="n">
        <v>0</v>
      </c>
      <c r="P534" t="n">
        <v>0</v>
      </c>
      <c r="Q534" t="n">
        <v>0</v>
      </c>
      <c r="R534" s="2" t="inlineStr"/>
    </row>
    <row r="535" ht="15" customHeight="1">
      <c r="A535" t="inlineStr">
        <is>
          <t>A 37683-2025</t>
        </is>
      </c>
      <c r="B535" s="1" t="n">
        <v>45880.55248842593</v>
      </c>
      <c r="C535" s="1" t="n">
        <v>45972</v>
      </c>
      <c r="D535" t="inlineStr">
        <is>
          <t>NORRBOTTENS LÄN</t>
        </is>
      </c>
      <c r="E535" t="inlineStr">
        <is>
          <t>GÄLLIVARE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37594-2025</t>
        </is>
      </c>
      <c r="B536" s="1" t="n">
        <v>45880.41603009259</v>
      </c>
      <c r="C536" s="1" t="n">
        <v>45972</v>
      </c>
      <c r="D536" t="inlineStr">
        <is>
          <t>NORRBOTTENS LÄN</t>
        </is>
      </c>
      <c r="E536" t="inlineStr">
        <is>
          <t>GÄLLIVARE</t>
        </is>
      </c>
      <c r="F536" t="inlineStr">
        <is>
          <t>Sveaskog</t>
        </is>
      </c>
      <c r="G536" t="n">
        <v>13.3</v>
      </c>
      <c r="H536" t="n">
        <v>0</v>
      </c>
      <c r="I536" t="n">
        <v>0</v>
      </c>
      <c r="J536" t="n">
        <v>0</v>
      </c>
      <c r="K536" t="n">
        <v>0</v>
      </c>
      <c r="L536" t="n">
        <v>0</v>
      </c>
      <c r="M536" t="n">
        <v>0</v>
      </c>
      <c r="N536" t="n">
        <v>0</v>
      </c>
      <c r="O536" t="n">
        <v>0</v>
      </c>
      <c r="P536" t="n">
        <v>0</v>
      </c>
      <c r="Q536" t="n">
        <v>0</v>
      </c>
      <c r="R536" s="2" t="inlineStr"/>
    </row>
    <row r="537" ht="15" customHeight="1">
      <c r="A537" t="inlineStr">
        <is>
          <t>A 37652-2025</t>
        </is>
      </c>
      <c r="B537" s="1" t="n">
        <v>45880.49027777778</v>
      </c>
      <c r="C537" s="1" t="n">
        <v>45972</v>
      </c>
      <c r="D537" t="inlineStr">
        <is>
          <t>NORRBOTTENS LÄN</t>
        </is>
      </c>
      <c r="E537" t="inlineStr">
        <is>
          <t>GÄLLIVARE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37659-2025</t>
        </is>
      </c>
      <c r="B538" s="1" t="n">
        <v>45880.49833333334</v>
      </c>
      <c r="C538" s="1" t="n">
        <v>45972</v>
      </c>
      <c r="D538" t="inlineStr">
        <is>
          <t>NORRBOTTENS LÄN</t>
        </is>
      </c>
      <c r="E538" t="inlineStr">
        <is>
          <t>GÄLLIVARE</t>
        </is>
      </c>
      <c r="F538" t="inlineStr">
        <is>
          <t>Sveaskog</t>
        </is>
      </c>
      <c r="G538" t="n">
        <v>13.7</v>
      </c>
      <c r="H538" t="n">
        <v>0</v>
      </c>
      <c r="I538" t="n">
        <v>0</v>
      </c>
      <c r="J538" t="n">
        <v>0</v>
      </c>
      <c r="K538" t="n">
        <v>0</v>
      </c>
      <c r="L538" t="n">
        <v>0</v>
      </c>
      <c r="M538" t="n">
        <v>0</v>
      </c>
      <c r="N538" t="n">
        <v>0</v>
      </c>
      <c r="O538" t="n">
        <v>0</v>
      </c>
      <c r="P538" t="n">
        <v>0</v>
      </c>
      <c r="Q538" t="n">
        <v>0</v>
      </c>
      <c r="R538" s="2" t="inlineStr"/>
    </row>
    <row r="539" ht="15" customHeight="1">
      <c r="A539" t="inlineStr">
        <is>
          <t>A 38204-2025</t>
        </is>
      </c>
      <c r="B539" s="1" t="n">
        <v>45882.69832175926</v>
      </c>
      <c r="C539" s="1" t="n">
        <v>45972</v>
      </c>
      <c r="D539" t="inlineStr">
        <is>
          <t>NORRBOTTENS LÄN</t>
        </is>
      </c>
      <c r="E539" t="inlineStr">
        <is>
          <t>GÄLLIVARE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37961-2025</t>
        </is>
      </c>
      <c r="B540" s="1" t="n">
        <v>45881</v>
      </c>
      <c r="C540" s="1" t="n">
        <v>45972</v>
      </c>
      <c r="D540" t="inlineStr">
        <is>
          <t>NORRBOTTENS LÄN</t>
        </is>
      </c>
      <c r="E540" t="inlineStr">
        <is>
          <t>GÄLLIVARE</t>
        </is>
      </c>
      <c r="G540" t="n">
        <v>2.6</v>
      </c>
      <c r="H540" t="n">
        <v>0</v>
      </c>
      <c r="I540" t="n">
        <v>0</v>
      </c>
      <c r="J540" t="n">
        <v>0</v>
      </c>
      <c r="K540" t="n">
        <v>0</v>
      </c>
      <c r="L540" t="n">
        <v>0</v>
      </c>
      <c r="M540" t="n">
        <v>0</v>
      </c>
      <c r="N540" t="n">
        <v>0</v>
      </c>
      <c r="O540" t="n">
        <v>0</v>
      </c>
      <c r="P540" t="n">
        <v>0</v>
      </c>
      <c r="Q540" t="n">
        <v>0</v>
      </c>
      <c r="R540" s="2" t="inlineStr"/>
    </row>
    <row r="541" ht="15" customHeight="1">
      <c r="A541" t="inlineStr">
        <is>
          <t>A 38029-2025</t>
        </is>
      </c>
      <c r="B541" s="1" t="n">
        <v>45882.36502314815</v>
      </c>
      <c r="C541" s="1" t="n">
        <v>45972</v>
      </c>
      <c r="D541" t="inlineStr">
        <is>
          <t>NORRBOTTENS LÄN</t>
        </is>
      </c>
      <c r="E541" t="inlineStr">
        <is>
          <t>GÄLLIVARE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38049-2025</t>
        </is>
      </c>
      <c r="B542" s="1" t="n">
        <v>45882.40704861111</v>
      </c>
      <c r="C542" s="1" t="n">
        <v>45972</v>
      </c>
      <c r="D542" t="inlineStr">
        <is>
          <t>NORRBOTTENS LÄN</t>
        </is>
      </c>
      <c r="E542" t="inlineStr">
        <is>
          <t>GÄLLIVARE</t>
        </is>
      </c>
      <c r="F542" t="inlineStr">
        <is>
          <t>SCA</t>
        </is>
      </c>
      <c r="G542" t="n">
        <v>11.2</v>
      </c>
      <c r="H542" t="n">
        <v>0</v>
      </c>
      <c r="I542" t="n">
        <v>0</v>
      </c>
      <c r="J542" t="n">
        <v>0</v>
      </c>
      <c r="K542" t="n">
        <v>0</v>
      </c>
      <c r="L542" t="n">
        <v>0</v>
      </c>
      <c r="M542" t="n">
        <v>0</v>
      </c>
      <c r="N542" t="n">
        <v>0</v>
      </c>
      <c r="O542" t="n">
        <v>0</v>
      </c>
      <c r="P542" t="n">
        <v>0</v>
      </c>
      <c r="Q542" t="n">
        <v>0</v>
      </c>
      <c r="R542" s="2" t="inlineStr"/>
    </row>
    <row r="543" ht="15" customHeight="1">
      <c r="A543" t="inlineStr">
        <is>
          <t>A 6781-2023</t>
        </is>
      </c>
      <c r="B543" s="1" t="n">
        <v>44966</v>
      </c>
      <c r="C543" s="1" t="n">
        <v>45972</v>
      </c>
      <c r="D543" t="inlineStr">
        <is>
          <t>NORRBOTTENS LÄN</t>
        </is>
      </c>
      <c r="E543" t="inlineStr">
        <is>
          <t>GÄLLIVARE</t>
        </is>
      </c>
      <c r="F543" t="inlineStr">
        <is>
          <t>SCA</t>
        </is>
      </c>
      <c r="G543" t="n">
        <v>14.1</v>
      </c>
      <c r="H543" t="n">
        <v>0</v>
      </c>
      <c r="I543" t="n">
        <v>0</v>
      </c>
      <c r="J543" t="n">
        <v>0</v>
      </c>
      <c r="K543" t="n">
        <v>0</v>
      </c>
      <c r="L543" t="n">
        <v>0</v>
      </c>
      <c r="M543" t="n">
        <v>0</v>
      </c>
      <c r="N543" t="n">
        <v>0</v>
      </c>
      <c r="O543" t="n">
        <v>0</v>
      </c>
      <c r="P543" t="n">
        <v>0</v>
      </c>
      <c r="Q543" t="n">
        <v>0</v>
      </c>
      <c r="R543" s="2" t="inlineStr"/>
    </row>
    <row r="544" ht="15" customHeight="1">
      <c r="A544" t="inlineStr">
        <is>
          <t>A 38062-2025</t>
        </is>
      </c>
      <c r="B544" s="1" t="n">
        <v>45882.42844907408</v>
      </c>
      <c r="C544" s="1" t="n">
        <v>45972</v>
      </c>
      <c r="D544" t="inlineStr">
        <is>
          <t>NORRBOTTENS LÄN</t>
        </is>
      </c>
      <c r="E544" t="inlineStr">
        <is>
          <t>GÄLLIVARE</t>
        </is>
      </c>
      <c r="F544" t="inlineStr">
        <is>
          <t>SCA</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46318-2025</t>
        </is>
      </c>
      <c r="B545" s="1" t="n">
        <v>45925</v>
      </c>
      <c r="C545" s="1" t="n">
        <v>45972</v>
      </c>
      <c r="D545" t="inlineStr">
        <is>
          <t>NORRBOTTENS LÄN</t>
        </is>
      </c>
      <c r="E545" t="inlineStr">
        <is>
          <t>GÄLLIVARE</t>
        </is>
      </c>
      <c r="G545" t="n">
        <v>10.2</v>
      </c>
      <c r="H545" t="n">
        <v>0</v>
      </c>
      <c r="I545" t="n">
        <v>0</v>
      </c>
      <c r="J545" t="n">
        <v>0</v>
      </c>
      <c r="K545" t="n">
        <v>0</v>
      </c>
      <c r="L545" t="n">
        <v>0</v>
      </c>
      <c r="M545" t="n">
        <v>0</v>
      </c>
      <c r="N545" t="n">
        <v>0</v>
      </c>
      <c r="O545" t="n">
        <v>0</v>
      </c>
      <c r="P545" t="n">
        <v>0</v>
      </c>
      <c r="Q545" t="n">
        <v>0</v>
      </c>
      <c r="R545" s="2" t="inlineStr"/>
    </row>
    <row r="546" ht="15" customHeight="1">
      <c r="A546" t="inlineStr">
        <is>
          <t>A 63155-2021</t>
        </is>
      </c>
      <c r="B546" s="1" t="n">
        <v>44505</v>
      </c>
      <c r="C546" s="1" t="n">
        <v>45972</v>
      </c>
      <c r="D546" t="inlineStr">
        <is>
          <t>NORRBOTTENS LÄN</t>
        </is>
      </c>
      <c r="E546" t="inlineStr">
        <is>
          <t>GÄLLIVARE</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291-2021</t>
        </is>
      </c>
      <c r="B547" s="1" t="n">
        <v>44200</v>
      </c>
      <c r="C547" s="1" t="n">
        <v>45972</v>
      </c>
      <c r="D547" t="inlineStr">
        <is>
          <t>NORRBOTTENS LÄN</t>
        </is>
      </c>
      <c r="E547" t="inlineStr">
        <is>
          <t>GÄLLIVARE</t>
        </is>
      </c>
      <c r="F547" t="inlineStr">
        <is>
          <t>Allmännings- och besparingsskogar</t>
        </is>
      </c>
      <c r="G547" t="n">
        <v>2.6</v>
      </c>
      <c r="H547" t="n">
        <v>0</v>
      </c>
      <c r="I547" t="n">
        <v>0</v>
      </c>
      <c r="J547" t="n">
        <v>0</v>
      </c>
      <c r="K547" t="n">
        <v>0</v>
      </c>
      <c r="L547" t="n">
        <v>0</v>
      </c>
      <c r="M547" t="n">
        <v>0</v>
      </c>
      <c r="N547" t="n">
        <v>0</v>
      </c>
      <c r="O547" t="n">
        <v>0</v>
      </c>
      <c r="P547" t="n">
        <v>0</v>
      </c>
      <c r="Q547" t="n">
        <v>0</v>
      </c>
      <c r="R547" s="2" t="inlineStr"/>
    </row>
    <row r="548" ht="15" customHeight="1">
      <c r="A548" t="inlineStr">
        <is>
          <t>A 6271-2024</t>
        </is>
      </c>
      <c r="B548" s="1" t="n">
        <v>45337</v>
      </c>
      <c r="C548" s="1" t="n">
        <v>45972</v>
      </c>
      <c r="D548" t="inlineStr">
        <is>
          <t>NORRBOTTENS LÄN</t>
        </is>
      </c>
      <c r="E548" t="inlineStr">
        <is>
          <t>GÄLLIVARE</t>
        </is>
      </c>
      <c r="G548" t="n">
        <v>14.7</v>
      </c>
      <c r="H548" t="n">
        <v>0</v>
      </c>
      <c r="I548" t="n">
        <v>0</v>
      </c>
      <c r="J548" t="n">
        <v>0</v>
      </c>
      <c r="K548" t="n">
        <v>0</v>
      </c>
      <c r="L548" t="n">
        <v>0</v>
      </c>
      <c r="M548" t="n">
        <v>0</v>
      </c>
      <c r="N548" t="n">
        <v>0</v>
      </c>
      <c r="O548" t="n">
        <v>0</v>
      </c>
      <c r="P548" t="n">
        <v>0</v>
      </c>
      <c r="Q548" t="n">
        <v>0</v>
      </c>
      <c r="R548" s="2" t="inlineStr"/>
    </row>
    <row r="549" ht="15" customHeight="1">
      <c r="A549" t="inlineStr">
        <is>
          <t>A 6272-2024</t>
        </is>
      </c>
      <c r="B549" s="1" t="n">
        <v>45337</v>
      </c>
      <c r="C549" s="1" t="n">
        <v>45972</v>
      </c>
      <c r="D549" t="inlineStr">
        <is>
          <t>NORRBOTTENS LÄN</t>
        </is>
      </c>
      <c r="E549" t="inlineStr">
        <is>
          <t>GÄLLIVARE</t>
        </is>
      </c>
      <c r="G549" t="n">
        <v>5.3</v>
      </c>
      <c r="H549" t="n">
        <v>0</v>
      </c>
      <c r="I549" t="n">
        <v>0</v>
      </c>
      <c r="J549" t="n">
        <v>0</v>
      </c>
      <c r="K549" t="n">
        <v>0</v>
      </c>
      <c r="L549" t="n">
        <v>0</v>
      </c>
      <c r="M549" t="n">
        <v>0</v>
      </c>
      <c r="N549" t="n">
        <v>0</v>
      </c>
      <c r="O549" t="n">
        <v>0</v>
      </c>
      <c r="P549" t="n">
        <v>0</v>
      </c>
      <c r="Q549" t="n">
        <v>0</v>
      </c>
      <c r="R549" s="2" t="inlineStr"/>
    </row>
    <row r="550" ht="15" customHeight="1">
      <c r="A550" t="inlineStr">
        <is>
          <t>A 53785-2022</t>
        </is>
      </c>
      <c r="B550" s="1" t="n">
        <v>44875</v>
      </c>
      <c r="C550" s="1" t="n">
        <v>45972</v>
      </c>
      <c r="D550" t="inlineStr">
        <is>
          <t>NORRBOTTENS LÄN</t>
        </is>
      </c>
      <c r="E550" t="inlineStr">
        <is>
          <t>GÄLLIVARE</t>
        </is>
      </c>
      <c r="G550" t="n">
        <v>3</v>
      </c>
      <c r="H550" t="n">
        <v>0</v>
      </c>
      <c r="I550" t="n">
        <v>0</v>
      </c>
      <c r="J550" t="n">
        <v>0</v>
      </c>
      <c r="K550" t="n">
        <v>0</v>
      </c>
      <c r="L550" t="n">
        <v>0</v>
      </c>
      <c r="M550" t="n">
        <v>0</v>
      </c>
      <c r="N550" t="n">
        <v>0</v>
      </c>
      <c r="O550" t="n">
        <v>0</v>
      </c>
      <c r="P550" t="n">
        <v>0</v>
      </c>
      <c r="Q550" t="n">
        <v>0</v>
      </c>
      <c r="R550" s="2" t="inlineStr"/>
    </row>
    <row r="551" ht="15" customHeight="1">
      <c r="A551" t="inlineStr">
        <is>
          <t>A 46418-2025</t>
        </is>
      </c>
      <c r="B551" s="1" t="n">
        <v>45925.59481481482</v>
      </c>
      <c r="C551" s="1" t="n">
        <v>45972</v>
      </c>
      <c r="D551" t="inlineStr">
        <is>
          <t>NORRBOTTENS LÄN</t>
        </is>
      </c>
      <c r="E551" t="inlineStr">
        <is>
          <t>GÄLLIVARE</t>
        </is>
      </c>
      <c r="F551" t="inlineStr">
        <is>
          <t>SCA</t>
        </is>
      </c>
      <c r="G551" t="n">
        <v>8.4</v>
      </c>
      <c r="H551" t="n">
        <v>0</v>
      </c>
      <c r="I551" t="n">
        <v>0</v>
      </c>
      <c r="J551" t="n">
        <v>0</v>
      </c>
      <c r="K551" t="n">
        <v>0</v>
      </c>
      <c r="L551" t="n">
        <v>0</v>
      </c>
      <c r="M551" t="n">
        <v>0</v>
      </c>
      <c r="N551" t="n">
        <v>0</v>
      </c>
      <c r="O551" t="n">
        <v>0</v>
      </c>
      <c r="P551" t="n">
        <v>0</v>
      </c>
      <c r="Q551" t="n">
        <v>0</v>
      </c>
      <c r="R551" s="2" t="inlineStr"/>
    </row>
    <row r="552" ht="15" customHeight="1">
      <c r="A552" t="inlineStr">
        <is>
          <t>A 50763-2025</t>
        </is>
      </c>
      <c r="B552" s="1" t="n">
        <v>45946</v>
      </c>
      <c r="C552" s="1" t="n">
        <v>45972</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c r="A553" t="inlineStr">
        <is>
          <t>A 46386-2025</t>
        </is>
      </c>
      <c r="B553" s="1" t="n">
        <v>45925.53197916667</v>
      </c>
      <c r="C553" s="1" t="n">
        <v>45972</v>
      </c>
      <c r="D553" t="inlineStr">
        <is>
          <t>NORRBOTTENS LÄN</t>
        </is>
      </c>
      <c r="E553" t="inlineStr">
        <is>
          <t>GÄLLIVARE</t>
        </is>
      </c>
      <c r="F553" t="inlineStr">
        <is>
          <t>SCA</t>
        </is>
      </c>
      <c r="G553" t="n">
        <v>7.3</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2025-11-11T10:10:43Z</dcterms:created>
  <dcterms:modified xmlns:dcterms="http://purl.org/dc/terms/" xmlns:xsi="http://www.w3.org/2001/XMLSchema-instance" xsi:type="dcterms:W3CDTF">2025-11-11T10:10:44Z</dcterms:modified>
</cp:coreProperties>
</file>